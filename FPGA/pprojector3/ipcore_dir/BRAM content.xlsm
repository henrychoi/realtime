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548" activeTab="1"/>
  </bookViews>
  <sheets>
    <sheet name="SmallFP" sheetId="4" r:id="rId1"/>
    <sheet name="ZMW data" sheetId="2" r:id="rId2"/>
    <sheet name="Pulse data" sheetId="6" r:id="rId3"/>
    <sheet name="Pulse Intensity" sheetId="7" r:id="rId4"/>
  </sheets>
  <functionGroups builtInGroupCount="17"/>
  <calcPr calcId="145621"/>
</workbook>
</file>

<file path=xl/calcChain.xml><?xml version="1.0" encoding="utf-8"?>
<calcChain xmlns="http://schemas.openxmlformats.org/spreadsheetml/2006/main">
  <c r="T2" i="2" l="1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AQ3" i="2" l="1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Q83" i="2"/>
  <c r="AQ84" i="2"/>
  <c r="AQ85" i="2"/>
  <c r="AQ86" i="2"/>
  <c r="AQ87" i="2"/>
  <c r="AQ88" i="2"/>
  <c r="AQ89" i="2"/>
  <c r="AQ90" i="2"/>
  <c r="AQ91" i="2"/>
  <c r="AQ92" i="2"/>
  <c r="AQ93" i="2"/>
  <c r="AQ94" i="2"/>
  <c r="AQ95" i="2"/>
  <c r="AQ96" i="2"/>
  <c r="AQ97" i="2"/>
  <c r="AQ98" i="2"/>
  <c r="AQ99" i="2"/>
  <c r="AQ100" i="2"/>
  <c r="AQ101" i="2"/>
  <c r="AQ102" i="2"/>
  <c r="AQ103" i="2"/>
  <c r="AQ104" i="2"/>
  <c r="AQ105" i="2"/>
  <c r="AQ106" i="2"/>
  <c r="AQ107" i="2"/>
  <c r="AQ108" i="2"/>
  <c r="AQ109" i="2"/>
  <c r="AQ110" i="2"/>
  <c r="AQ111" i="2"/>
  <c r="AQ112" i="2"/>
  <c r="AQ113" i="2"/>
  <c r="AQ114" i="2"/>
  <c r="AQ115" i="2"/>
  <c r="AQ116" i="2"/>
  <c r="AQ117" i="2"/>
  <c r="AQ118" i="2"/>
  <c r="AQ119" i="2"/>
  <c r="AQ120" i="2"/>
  <c r="AQ121" i="2"/>
  <c r="AQ122" i="2"/>
  <c r="AQ123" i="2"/>
  <c r="AQ124" i="2"/>
  <c r="AQ125" i="2"/>
  <c r="AQ126" i="2"/>
  <c r="AQ127" i="2"/>
  <c r="AQ128" i="2"/>
  <c r="AQ129" i="2"/>
  <c r="AQ2" i="2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2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G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2" i="2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W5" i="6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J5" i="6"/>
  <c r="J7" i="6"/>
  <c r="J9" i="6"/>
  <c r="J11" i="6"/>
  <c r="J13" i="6"/>
  <c r="J15" i="6"/>
  <c r="J17" i="6"/>
  <c r="J19" i="6"/>
  <c r="J21" i="6"/>
  <c r="J23" i="6"/>
  <c r="J25" i="6"/>
  <c r="J27" i="6"/>
  <c r="J29" i="6"/>
  <c r="J31" i="6"/>
  <c r="J33" i="6"/>
  <c r="J35" i="6"/>
  <c r="J37" i="6"/>
  <c r="J39" i="6"/>
  <c r="J41" i="6"/>
  <c r="J43" i="6"/>
  <c r="J45" i="6"/>
  <c r="J47" i="6"/>
  <c r="J49" i="6"/>
  <c r="J51" i="6"/>
  <c r="J53" i="6"/>
  <c r="J55" i="6"/>
  <c r="J57" i="6"/>
  <c r="J59" i="6"/>
  <c r="J61" i="6"/>
  <c r="J63" i="6"/>
  <c r="J65" i="6"/>
  <c r="J67" i="6"/>
  <c r="J69" i="6"/>
  <c r="J71" i="6"/>
  <c r="J73" i="6"/>
  <c r="J75" i="6"/>
  <c r="J77" i="6"/>
  <c r="J79" i="6"/>
  <c r="J81" i="6"/>
  <c r="J83" i="6"/>
  <c r="J85" i="6"/>
  <c r="J87" i="6"/>
  <c r="J89" i="6"/>
  <c r="J91" i="6"/>
  <c r="J93" i="6"/>
  <c r="J95" i="6"/>
  <c r="J97" i="6"/>
  <c r="J99" i="6"/>
  <c r="J101" i="6"/>
  <c r="J103" i="6"/>
  <c r="J105" i="6"/>
  <c r="J107" i="6"/>
  <c r="J109" i="6"/>
  <c r="J111" i="6"/>
  <c r="J113" i="6"/>
  <c r="J115" i="6"/>
  <c r="J117" i="6"/>
  <c r="J119" i="6"/>
  <c r="J121" i="6"/>
  <c r="J123" i="6"/>
  <c r="J125" i="6"/>
  <c r="J127" i="6"/>
  <c r="J129" i="6"/>
  <c r="J131" i="6"/>
  <c r="J6" i="6"/>
  <c r="J8" i="6"/>
  <c r="J10" i="6"/>
  <c r="J12" i="6"/>
  <c r="J14" i="6"/>
  <c r="J16" i="6"/>
  <c r="J18" i="6"/>
  <c r="J20" i="6"/>
  <c r="J22" i="6"/>
  <c r="J24" i="6"/>
  <c r="J26" i="6"/>
  <c r="J28" i="6"/>
  <c r="J30" i="6"/>
  <c r="J32" i="6"/>
  <c r="J34" i="6"/>
  <c r="J36" i="6"/>
  <c r="J38" i="6"/>
  <c r="J40" i="6"/>
  <c r="J42" i="6"/>
  <c r="J44" i="6"/>
  <c r="J46" i="6"/>
  <c r="J48" i="6"/>
  <c r="J50" i="6"/>
  <c r="J52" i="6"/>
  <c r="J54" i="6"/>
  <c r="J56" i="6"/>
  <c r="J58" i="6"/>
  <c r="J60" i="6"/>
  <c r="J62" i="6"/>
  <c r="J64" i="6"/>
  <c r="J66" i="6"/>
  <c r="J68" i="6"/>
  <c r="J70" i="6"/>
  <c r="J72" i="6"/>
  <c r="J74" i="6"/>
  <c r="J76" i="6"/>
  <c r="J78" i="6"/>
  <c r="J80" i="6"/>
  <c r="J82" i="6"/>
  <c r="J84" i="6"/>
  <c r="J86" i="6"/>
  <c r="J88" i="6"/>
  <c r="J90" i="6"/>
  <c r="J92" i="6"/>
  <c r="J94" i="6"/>
  <c r="J96" i="6"/>
  <c r="J98" i="6"/>
  <c r="J100" i="6"/>
  <c r="J102" i="6"/>
  <c r="J104" i="6"/>
  <c r="J106" i="6"/>
  <c r="J108" i="6"/>
  <c r="J110" i="6"/>
  <c r="J112" i="6"/>
  <c r="J114" i="6"/>
  <c r="J116" i="6"/>
  <c r="J118" i="6"/>
  <c r="J120" i="6"/>
  <c r="J122" i="6"/>
  <c r="J124" i="6"/>
  <c r="J126" i="6"/>
  <c r="J128" i="6"/>
  <c r="J130" i="6"/>
  <c r="J132" i="6"/>
  <c r="I5" i="6"/>
  <c r="I7" i="6"/>
  <c r="I9" i="6"/>
  <c r="I11" i="6"/>
  <c r="I13" i="6"/>
  <c r="I15" i="6"/>
  <c r="I17" i="6"/>
  <c r="I19" i="6"/>
  <c r="I21" i="6"/>
  <c r="I23" i="6"/>
  <c r="I25" i="6"/>
  <c r="I27" i="6"/>
  <c r="I29" i="6"/>
  <c r="I31" i="6"/>
  <c r="I33" i="6"/>
  <c r="I35" i="6"/>
  <c r="I37" i="6"/>
  <c r="I39" i="6"/>
  <c r="I41" i="6"/>
  <c r="I43" i="6"/>
  <c r="I45" i="6"/>
  <c r="I47" i="6"/>
  <c r="I49" i="6"/>
  <c r="I51" i="6"/>
  <c r="I53" i="6"/>
  <c r="I55" i="6"/>
  <c r="I57" i="6"/>
  <c r="I59" i="6"/>
  <c r="I61" i="6"/>
  <c r="I63" i="6"/>
  <c r="I65" i="6"/>
  <c r="I67" i="6"/>
  <c r="I69" i="6"/>
  <c r="I71" i="6"/>
  <c r="I73" i="6"/>
  <c r="I75" i="6"/>
  <c r="I77" i="6"/>
  <c r="I79" i="6"/>
  <c r="I81" i="6"/>
  <c r="I83" i="6"/>
  <c r="I85" i="6"/>
  <c r="I87" i="6"/>
  <c r="I89" i="6"/>
  <c r="I91" i="6"/>
  <c r="I93" i="6"/>
  <c r="I95" i="6"/>
  <c r="I97" i="6"/>
  <c r="I99" i="6"/>
  <c r="I101" i="6"/>
  <c r="I103" i="6"/>
  <c r="I105" i="6"/>
  <c r="I107" i="6"/>
  <c r="I109" i="6"/>
  <c r="I111" i="6"/>
  <c r="I113" i="6"/>
  <c r="I115" i="6"/>
  <c r="I117" i="6"/>
  <c r="I119" i="6"/>
  <c r="I121" i="6"/>
  <c r="I123" i="6"/>
  <c r="I125" i="6"/>
  <c r="I127" i="6"/>
  <c r="I129" i="6"/>
  <c r="I131" i="6"/>
  <c r="I6" i="6"/>
  <c r="I8" i="6"/>
  <c r="I10" i="6"/>
  <c r="I12" i="6"/>
  <c r="I14" i="6"/>
  <c r="I16" i="6"/>
  <c r="I18" i="6"/>
  <c r="I20" i="6"/>
  <c r="I22" i="6"/>
  <c r="I24" i="6"/>
  <c r="I26" i="6"/>
  <c r="I28" i="6"/>
  <c r="I30" i="6"/>
  <c r="I32" i="6"/>
  <c r="I34" i="6"/>
  <c r="I36" i="6"/>
  <c r="I38" i="6"/>
  <c r="I40" i="6"/>
  <c r="I42" i="6"/>
  <c r="I44" i="6"/>
  <c r="I46" i="6"/>
  <c r="I48" i="6"/>
  <c r="I50" i="6"/>
  <c r="I52" i="6"/>
  <c r="I54" i="6"/>
  <c r="I56" i="6"/>
  <c r="I58" i="6"/>
  <c r="I60" i="6"/>
  <c r="I62" i="6"/>
  <c r="I64" i="6"/>
  <c r="I66" i="6"/>
  <c r="I68" i="6"/>
  <c r="I70" i="6"/>
  <c r="I72" i="6"/>
  <c r="I74" i="6"/>
  <c r="I76" i="6"/>
  <c r="I78" i="6"/>
  <c r="I80" i="6"/>
  <c r="I82" i="6"/>
  <c r="I84" i="6"/>
  <c r="I86" i="6"/>
  <c r="I88" i="6"/>
  <c r="I90" i="6"/>
  <c r="I92" i="6"/>
  <c r="I94" i="6"/>
  <c r="I96" i="6"/>
  <c r="I98" i="6"/>
  <c r="I100" i="6"/>
  <c r="I102" i="6"/>
  <c r="I104" i="6"/>
  <c r="I106" i="6"/>
  <c r="I108" i="6"/>
  <c r="I110" i="6"/>
  <c r="I112" i="6"/>
  <c r="I114" i="6"/>
  <c r="I116" i="6"/>
  <c r="I118" i="6"/>
  <c r="I120" i="6"/>
  <c r="I122" i="6"/>
  <c r="I124" i="6"/>
  <c r="I126" i="6"/>
  <c r="I128" i="6"/>
  <c r="I130" i="6"/>
  <c r="I132" i="6"/>
  <c r="H5" i="6"/>
  <c r="H7" i="6"/>
  <c r="H9" i="6"/>
  <c r="H11" i="6"/>
  <c r="H13" i="6"/>
  <c r="H15" i="6"/>
  <c r="H17" i="6"/>
  <c r="H19" i="6"/>
  <c r="H21" i="6"/>
  <c r="H23" i="6"/>
  <c r="H25" i="6"/>
  <c r="H27" i="6"/>
  <c r="H29" i="6"/>
  <c r="H31" i="6"/>
  <c r="H33" i="6"/>
  <c r="H35" i="6"/>
  <c r="H37" i="6"/>
  <c r="H39" i="6"/>
  <c r="H41" i="6"/>
  <c r="H43" i="6"/>
  <c r="H45" i="6"/>
  <c r="H47" i="6"/>
  <c r="H49" i="6"/>
  <c r="H51" i="6"/>
  <c r="H53" i="6"/>
  <c r="H55" i="6"/>
  <c r="H57" i="6"/>
  <c r="H59" i="6"/>
  <c r="H61" i="6"/>
  <c r="H63" i="6"/>
  <c r="H65" i="6"/>
  <c r="H67" i="6"/>
  <c r="H69" i="6"/>
  <c r="H71" i="6"/>
  <c r="H73" i="6"/>
  <c r="H75" i="6"/>
  <c r="H77" i="6"/>
  <c r="H79" i="6"/>
  <c r="H81" i="6"/>
  <c r="H83" i="6"/>
  <c r="H85" i="6"/>
  <c r="H87" i="6"/>
  <c r="H89" i="6"/>
  <c r="H91" i="6"/>
  <c r="H93" i="6"/>
  <c r="H95" i="6"/>
  <c r="H97" i="6"/>
  <c r="H99" i="6"/>
  <c r="H101" i="6"/>
  <c r="H103" i="6"/>
  <c r="H105" i="6"/>
  <c r="H107" i="6"/>
  <c r="H109" i="6"/>
  <c r="H111" i="6"/>
  <c r="H113" i="6"/>
  <c r="H115" i="6"/>
  <c r="H117" i="6"/>
  <c r="H119" i="6"/>
  <c r="H121" i="6"/>
  <c r="H123" i="6"/>
  <c r="H125" i="6"/>
  <c r="H127" i="6"/>
  <c r="H129" i="6"/>
  <c r="H131" i="6"/>
  <c r="H6" i="6"/>
  <c r="H8" i="6"/>
  <c r="H10" i="6"/>
  <c r="H12" i="6"/>
  <c r="H14" i="6"/>
  <c r="H16" i="6"/>
  <c r="H18" i="6"/>
  <c r="H20" i="6"/>
  <c r="H22" i="6"/>
  <c r="H24" i="6"/>
  <c r="H26" i="6"/>
  <c r="H28" i="6"/>
  <c r="H30" i="6"/>
  <c r="H32" i="6"/>
  <c r="H34" i="6"/>
  <c r="H36" i="6"/>
  <c r="H38" i="6"/>
  <c r="H40" i="6"/>
  <c r="H42" i="6"/>
  <c r="H44" i="6"/>
  <c r="H46" i="6"/>
  <c r="H48" i="6"/>
  <c r="H50" i="6"/>
  <c r="H52" i="6"/>
  <c r="H54" i="6"/>
  <c r="H56" i="6"/>
  <c r="H58" i="6"/>
  <c r="H60" i="6"/>
  <c r="H62" i="6"/>
  <c r="H64" i="6"/>
  <c r="H66" i="6"/>
  <c r="H68" i="6"/>
  <c r="H70" i="6"/>
  <c r="H72" i="6"/>
  <c r="H74" i="6"/>
  <c r="H76" i="6"/>
  <c r="H78" i="6"/>
  <c r="H80" i="6"/>
  <c r="H82" i="6"/>
  <c r="H84" i="6"/>
  <c r="H86" i="6"/>
  <c r="H88" i="6"/>
  <c r="H90" i="6"/>
  <c r="H92" i="6"/>
  <c r="H94" i="6"/>
  <c r="H96" i="6"/>
  <c r="H98" i="6"/>
  <c r="H100" i="6"/>
  <c r="H102" i="6"/>
  <c r="H104" i="6"/>
  <c r="H106" i="6"/>
  <c r="H108" i="6"/>
  <c r="H110" i="6"/>
  <c r="H112" i="6"/>
  <c r="H114" i="6"/>
  <c r="H116" i="6"/>
  <c r="H118" i="6"/>
  <c r="H120" i="6"/>
  <c r="H122" i="6"/>
  <c r="H124" i="6"/>
  <c r="H126" i="6"/>
  <c r="H128" i="6"/>
  <c r="H130" i="6"/>
  <c r="H132" i="6"/>
  <c r="G5" i="6"/>
  <c r="G7" i="6"/>
  <c r="G9" i="6"/>
  <c r="G11" i="6"/>
  <c r="G13" i="6"/>
  <c r="G15" i="6"/>
  <c r="G17" i="6"/>
  <c r="G19" i="6"/>
  <c r="G21" i="6"/>
  <c r="G23" i="6"/>
  <c r="G25" i="6"/>
  <c r="G27" i="6"/>
  <c r="G29" i="6"/>
  <c r="G31" i="6"/>
  <c r="G33" i="6"/>
  <c r="G35" i="6"/>
  <c r="G37" i="6"/>
  <c r="G39" i="6"/>
  <c r="G41" i="6"/>
  <c r="G43" i="6"/>
  <c r="G45" i="6"/>
  <c r="G47" i="6"/>
  <c r="G49" i="6"/>
  <c r="G51" i="6"/>
  <c r="G53" i="6"/>
  <c r="G55" i="6"/>
  <c r="G57" i="6"/>
  <c r="G59" i="6"/>
  <c r="G61" i="6"/>
  <c r="G63" i="6"/>
  <c r="G65" i="6"/>
  <c r="G67" i="6"/>
  <c r="G69" i="6"/>
  <c r="G71" i="6"/>
  <c r="G73" i="6"/>
  <c r="G75" i="6"/>
  <c r="G77" i="6"/>
  <c r="G79" i="6"/>
  <c r="G81" i="6"/>
  <c r="G83" i="6"/>
  <c r="G85" i="6"/>
  <c r="G87" i="6"/>
  <c r="G89" i="6"/>
  <c r="G91" i="6"/>
  <c r="G93" i="6"/>
  <c r="G95" i="6"/>
  <c r="G97" i="6"/>
  <c r="G99" i="6"/>
  <c r="G101" i="6"/>
  <c r="G103" i="6"/>
  <c r="G105" i="6"/>
  <c r="G107" i="6"/>
  <c r="G109" i="6"/>
  <c r="G111" i="6"/>
  <c r="G113" i="6"/>
  <c r="G115" i="6"/>
  <c r="G117" i="6"/>
  <c r="G119" i="6"/>
  <c r="G121" i="6"/>
  <c r="G123" i="6"/>
  <c r="G125" i="6"/>
  <c r="G127" i="6"/>
  <c r="G129" i="6"/>
  <c r="G131" i="6"/>
  <c r="G6" i="6"/>
  <c r="G8" i="6"/>
  <c r="G10" i="6"/>
  <c r="G12" i="6"/>
  <c r="G14" i="6"/>
  <c r="G16" i="6"/>
  <c r="G18" i="6"/>
  <c r="G20" i="6"/>
  <c r="G22" i="6"/>
  <c r="G24" i="6"/>
  <c r="G26" i="6"/>
  <c r="G28" i="6"/>
  <c r="G30" i="6"/>
  <c r="G32" i="6"/>
  <c r="G34" i="6"/>
  <c r="G36" i="6"/>
  <c r="G38" i="6"/>
  <c r="G40" i="6"/>
  <c r="G42" i="6"/>
  <c r="G44" i="6"/>
  <c r="G46" i="6"/>
  <c r="G48" i="6"/>
  <c r="G50" i="6"/>
  <c r="G52" i="6"/>
  <c r="G54" i="6"/>
  <c r="G56" i="6"/>
  <c r="G58" i="6"/>
  <c r="G60" i="6"/>
  <c r="G62" i="6"/>
  <c r="G64" i="6"/>
  <c r="G66" i="6"/>
  <c r="G68" i="6"/>
  <c r="G70" i="6"/>
  <c r="G72" i="6"/>
  <c r="G74" i="6"/>
  <c r="G76" i="6"/>
  <c r="G78" i="6"/>
  <c r="G80" i="6"/>
  <c r="G82" i="6"/>
  <c r="G84" i="6"/>
  <c r="G86" i="6"/>
  <c r="G88" i="6"/>
  <c r="G90" i="6"/>
  <c r="G92" i="6"/>
  <c r="G94" i="6"/>
  <c r="G96" i="6"/>
  <c r="G98" i="6"/>
  <c r="G100" i="6"/>
  <c r="G102" i="6"/>
  <c r="G104" i="6"/>
  <c r="G106" i="6"/>
  <c r="G108" i="6"/>
  <c r="G110" i="6"/>
  <c r="G112" i="6"/>
  <c r="G114" i="6"/>
  <c r="G116" i="6"/>
  <c r="G118" i="6"/>
  <c r="G120" i="6"/>
  <c r="G122" i="6"/>
  <c r="G124" i="6"/>
  <c r="G126" i="6"/>
  <c r="G128" i="6"/>
  <c r="G130" i="6"/>
  <c r="G132" i="6"/>
  <c r="AY5" i="6" l="1"/>
  <c r="AZ5" i="6" s="1"/>
  <c r="AY6" i="6"/>
  <c r="AZ6" i="6" s="1"/>
  <c r="AY7" i="6"/>
  <c r="AZ7" i="6" s="1"/>
  <c r="AY8" i="6"/>
  <c r="AZ8" i="6" s="1"/>
  <c r="AY9" i="6"/>
  <c r="AZ9" i="6" s="1"/>
  <c r="AY10" i="6"/>
  <c r="AZ10" i="6" s="1"/>
  <c r="AY11" i="6"/>
  <c r="AZ11" i="6" s="1"/>
  <c r="AY12" i="6"/>
  <c r="AZ12" i="6" s="1"/>
  <c r="AY13" i="6"/>
  <c r="AZ13" i="6" s="1"/>
  <c r="AY14" i="6"/>
  <c r="AZ14" i="6" s="1"/>
  <c r="AY15" i="6"/>
  <c r="AZ15" i="6" s="1"/>
  <c r="AY16" i="6"/>
  <c r="AZ16" i="6" s="1"/>
  <c r="AY17" i="6"/>
  <c r="AZ17" i="6" s="1"/>
  <c r="AY18" i="6"/>
  <c r="AZ18" i="6" s="1"/>
  <c r="AY19" i="6"/>
  <c r="AZ19" i="6" s="1"/>
  <c r="AY20" i="6"/>
  <c r="AZ20" i="6" s="1"/>
  <c r="AY21" i="6"/>
  <c r="AZ21" i="6" s="1"/>
  <c r="AY22" i="6"/>
  <c r="AZ22" i="6" s="1"/>
  <c r="AY23" i="6"/>
  <c r="AZ23" i="6" s="1"/>
  <c r="AY24" i="6"/>
  <c r="AZ24" i="6" s="1"/>
  <c r="AY25" i="6"/>
  <c r="AZ25" i="6" s="1"/>
  <c r="AY26" i="6"/>
  <c r="AZ26" i="6" s="1"/>
  <c r="AY27" i="6"/>
  <c r="AZ27" i="6" s="1"/>
  <c r="AY28" i="6"/>
  <c r="AZ28" i="6" s="1"/>
  <c r="AY29" i="6"/>
  <c r="AZ29" i="6" s="1"/>
  <c r="AY30" i="6"/>
  <c r="AZ30" i="6" s="1"/>
  <c r="AY31" i="6"/>
  <c r="AZ31" i="6" s="1"/>
  <c r="AY32" i="6"/>
  <c r="AZ32" i="6" s="1"/>
  <c r="AY33" i="6"/>
  <c r="AZ33" i="6" s="1"/>
  <c r="AY34" i="6"/>
  <c r="AZ34" i="6" s="1"/>
  <c r="AY35" i="6"/>
  <c r="AZ35" i="6" s="1"/>
  <c r="AY36" i="6"/>
  <c r="AZ36" i="6" s="1"/>
  <c r="AY37" i="6"/>
  <c r="AZ37" i="6" s="1"/>
  <c r="AY38" i="6"/>
  <c r="AZ38" i="6" s="1"/>
  <c r="AY39" i="6"/>
  <c r="AZ39" i="6" s="1"/>
  <c r="AY40" i="6"/>
  <c r="AZ40" i="6" s="1"/>
  <c r="AY41" i="6"/>
  <c r="AZ41" i="6" s="1"/>
  <c r="AY42" i="6"/>
  <c r="AZ42" i="6" s="1"/>
  <c r="AY43" i="6"/>
  <c r="AZ43" i="6" s="1"/>
  <c r="AY44" i="6"/>
  <c r="AZ44" i="6" s="1"/>
  <c r="AY45" i="6"/>
  <c r="AZ45" i="6" s="1"/>
  <c r="AY46" i="6"/>
  <c r="AZ46" i="6" s="1"/>
  <c r="AY47" i="6"/>
  <c r="AZ47" i="6" s="1"/>
  <c r="AY48" i="6"/>
  <c r="AZ48" i="6" s="1"/>
  <c r="AY49" i="6"/>
  <c r="AZ49" i="6" s="1"/>
  <c r="AY50" i="6"/>
  <c r="AZ50" i="6" s="1"/>
  <c r="AY51" i="6"/>
  <c r="AZ51" i="6" s="1"/>
  <c r="AY52" i="6"/>
  <c r="AZ52" i="6" s="1"/>
  <c r="AY53" i="6"/>
  <c r="AZ53" i="6" s="1"/>
  <c r="AY54" i="6"/>
  <c r="AZ54" i="6" s="1"/>
  <c r="AY55" i="6"/>
  <c r="AZ55" i="6" s="1"/>
  <c r="AY56" i="6"/>
  <c r="AZ56" i="6" s="1"/>
  <c r="AY57" i="6"/>
  <c r="AZ57" i="6" s="1"/>
  <c r="AY58" i="6"/>
  <c r="AZ58" i="6" s="1"/>
  <c r="AY59" i="6"/>
  <c r="AZ59" i="6" s="1"/>
  <c r="AY60" i="6"/>
  <c r="AZ60" i="6" s="1"/>
  <c r="AY61" i="6"/>
  <c r="AZ61" i="6" s="1"/>
  <c r="AY62" i="6"/>
  <c r="AZ62" i="6" s="1"/>
  <c r="AY63" i="6"/>
  <c r="AZ63" i="6" s="1"/>
  <c r="AY64" i="6"/>
  <c r="AZ64" i="6" s="1"/>
  <c r="AY65" i="6"/>
  <c r="AZ65" i="6" s="1"/>
  <c r="AY66" i="6"/>
  <c r="AZ66" i="6" s="1"/>
  <c r="AY67" i="6"/>
  <c r="AZ67" i="6" s="1"/>
  <c r="AY68" i="6"/>
  <c r="AZ68" i="6" s="1"/>
  <c r="AY69" i="6"/>
  <c r="AZ69" i="6" s="1"/>
  <c r="AY70" i="6"/>
  <c r="AZ70" i="6" s="1"/>
  <c r="AY71" i="6"/>
  <c r="AZ71" i="6" s="1"/>
  <c r="AY72" i="6"/>
  <c r="AZ72" i="6" s="1"/>
  <c r="AY73" i="6"/>
  <c r="AZ73" i="6" s="1"/>
  <c r="AY74" i="6"/>
  <c r="AZ74" i="6" s="1"/>
  <c r="AY75" i="6"/>
  <c r="AZ75" i="6" s="1"/>
  <c r="AY76" i="6"/>
  <c r="AZ76" i="6" s="1"/>
  <c r="AY77" i="6"/>
  <c r="AZ77" i="6" s="1"/>
  <c r="AY78" i="6"/>
  <c r="AZ78" i="6" s="1"/>
  <c r="AY79" i="6"/>
  <c r="AZ79" i="6" s="1"/>
  <c r="AY80" i="6"/>
  <c r="AZ80" i="6" s="1"/>
  <c r="AY81" i="6"/>
  <c r="AZ81" i="6" s="1"/>
  <c r="AY82" i="6"/>
  <c r="AZ82" i="6" s="1"/>
  <c r="AY83" i="6"/>
  <c r="AZ83" i="6" s="1"/>
  <c r="AY84" i="6"/>
  <c r="AZ84" i="6" s="1"/>
  <c r="AY85" i="6"/>
  <c r="AZ85" i="6" s="1"/>
  <c r="AY86" i="6"/>
  <c r="AZ86" i="6" s="1"/>
  <c r="AY87" i="6"/>
  <c r="AZ87" i="6" s="1"/>
  <c r="AY88" i="6"/>
  <c r="AZ88" i="6" s="1"/>
  <c r="AY89" i="6"/>
  <c r="AZ89" i="6" s="1"/>
  <c r="AY90" i="6"/>
  <c r="AZ90" i="6" s="1"/>
  <c r="AY91" i="6"/>
  <c r="AZ91" i="6" s="1"/>
  <c r="AY92" i="6"/>
  <c r="AZ92" i="6" s="1"/>
  <c r="AY93" i="6"/>
  <c r="AZ93" i="6" s="1"/>
  <c r="AY94" i="6"/>
  <c r="AZ94" i="6" s="1"/>
  <c r="AY95" i="6"/>
  <c r="AZ95" i="6" s="1"/>
  <c r="AY96" i="6"/>
  <c r="AZ96" i="6" s="1"/>
  <c r="AY97" i="6"/>
  <c r="AZ97" i="6" s="1"/>
  <c r="AY98" i="6"/>
  <c r="AZ98" i="6" s="1"/>
  <c r="AY99" i="6"/>
  <c r="AZ99" i="6" s="1"/>
  <c r="AY100" i="6"/>
  <c r="AZ100" i="6" s="1"/>
  <c r="AY101" i="6"/>
  <c r="AZ101" i="6" s="1"/>
  <c r="AY102" i="6"/>
  <c r="AZ102" i="6" s="1"/>
  <c r="AY103" i="6"/>
  <c r="AZ103" i="6" s="1"/>
  <c r="AY104" i="6"/>
  <c r="AZ104" i="6" s="1"/>
  <c r="AY105" i="6"/>
  <c r="AZ105" i="6" s="1"/>
  <c r="AY106" i="6"/>
  <c r="AZ106" i="6" s="1"/>
  <c r="AY107" i="6"/>
  <c r="AZ107" i="6" s="1"/>
  <c r="AY108" i="6"/>
  <c r="AZ108" i="6" s="1"/>
  <c r="AY109" i="6"/>
  <c r="AZ109" i="6" s="1"/>
  <c r="AY110" i="6"/>
  <c r="AZ110" i="6" s="1"/>
  <c r="AY111" i="6"/>
  <c r="AZ111" i="6" s="1"/>
  <c r="AY112" i="6"/>
  <c r="AZ112" i="6" s="1"/>
  <c r="AY113" i="6"/>
  <c r="AZ113" i="6" s="1"/>
  <c r="AY114" i="6"/>
  <c r="AZ114" i="6" s="1"/>
  <c r="AY115" i="6"/>
  <c r="AZ115" i="6" s="1"/>
  <c r="AY116" i="6"/>
  <c r="AZ116" i="6" s="1"/>
  <c r="AY117" i="6"/>
  <c r="AZ117" i="6" s="1"/>
  <c r="AY118" i="6"/>
  <c r="AZ118" i="6" s="1"/>
  <c r="AY119" i="6"/>
  <c r="AZ119" i="6" s="1"/>
  <c r="AY120" i="6"/>
  <c r="AZ120" i="6" s="1"/>
  <c r="AY121" i="6"/>
  <c r="AZ121" i="6" s="1"/>
  <c r="AY122" i="6"/>
  <c r="AZ122" i="6" s="1"/>
  <c r="AY123" i="6"/>
  <c r="AZ123" i="6" s="1"/>
  <c r="AY124" i="6"/>
  <c r="AZ124" i="6" s="1"/>
  <c r="AY125" i="6"/>
  <c r="AZ125" i="6" s="1"/>
  <c r="AY126" i="6"/>
  <c r="AZ126" i="6" s="1"/>
  <c r="AY127" i="6"/>
  <c r="AZ127" i="6" s="1"/>
  <c r="AY128" i="6"/>
  <c r="AZ128" i="6" s="1"/>
  <c r="AY129" i="6"/>
  <c r="AZ129" i="6" s="1"/>
  <c r="AY130" i="6"/>
  <c r="AZ130" i="6" s="1"/>
  <c r="AY131" i="6"/>
  <c r="AZ131" i="6" s="1"/>
  <c r="AY132" i="6"/>
  <c r="AZ132" i="6" s="1"/>
  <c r="AO5" i="6"/>
  <c r="AP5" i="6" s="1"/>
  <c r="AO6" i="6"/>
  <c r="AP6" i="6" s="1"/>
  <c r="AO7" i="6"/>
  <c r="AP7" i="6" s="1"/>
  <c r="AO8" i="6"/>
  <c r="AP8" i="6" s="1"/>
  <c r="AO9" i="6"/>
  <c r="AP9" i="6" s="1"/>
  <c r="AO10" i="6"/>
  <c r="AP10" i="6" s="1"/>
  <c r="AO11" i="6"/>
  <c r="AP11" i="6" s="1"/>
  <c r="AO12" i="6"/>
  <c r="AP12" i="6" s="1"/>
  <c r="AO13" i="6"/>
  <c r="AP13" i="6" s="1"/>
  <c r="AO14" i="6"/>
  <c r="AP14" i="6" s="1"/>
  <c r="AO15" i="6"/>
  <c r="AP15" i="6" s="1"/>
  <c r="AO16" i="6"/>
  <c r="AP16" i="6" s="1"/>
  <c r="AO17" i="6"/>
  <c r="AP17" i="6" s="1"/>
  <c r="AO18" i="6"/>
  <c r="AP18" i="6" s="1"/>
  <c r="AO19" i="6"/>
  <c r="AP19" i="6" s="1"/>
  <c r="AO20" i="6"/>
  <c r="AP20" i="6" s="1"/>
  <c r="AO21" i="6"/>
  <c r="AP21" i="6" s="1"/>
  <c r="AO22" i="6"/>
  <c r="AP22" i="6" s="1"/>
  <c r="AO23" i="6"/>
  <c r="AP23" i="6" s="1"/>
  <c r="AO24" i="6"/>
  <c r="AP24" i="6" s="1"/>
  <c r="AO25" i="6"/>
  <c r="AP25" i="6" s="1"/>
  <c r="AO26" i="6"/>
  <c r="AP26" i="6" s="1"/>
  <c r="AO27" i="6"/>
  <c r="AP27" i="6" s="1"/>
  <c r="AO28" i="6"/>
  <c r="AP28" i="6" s="1"/>
  <c r="AO29" i="6"/>
  <c r="AP29" i="6" s="1"/>
  <c r="AO30" i="6"/>
  <c r="AP30" i="6" s="1"/>
  <c r="AO31" i="6"/>
  <c r="AP31" i="6" s="1"/>
  <c r="AO32" i="6"/>
  <c r="AP32" i="6" s="1"/>
  <c r="AO33" i="6"/>
  <c r="AP33" i="6" s="1"/>
  <c r="AO34" i="6"/>
  <c r="AP34" i="6" s="1"/>
  <c r="AO35" i="6"/>
  <c r="AP35" i="6" s="1"/>
  <c r="AO36" i="6"/>
  <c r="AP36" i="6" s="1"/>
  <c r="AO37" i="6"/>
  <c r="AP37" i="6" s="1"/>
  <c r="AO38" i="6"/>
  <c r="AP38" i="6" s="1"/>
  <c r="AO39" i="6"/>
  <c r="AP39" i="6" s="1"/>
  <c r="AO40" i="6"/>
  <c r="AP40" i="6" s="1"/>
  <c r="AO41" i="6"/>
  <c r="AP41" i="6" s="1"/>
  <c r="AO42" i="6"/>
  <c r="AP42" i="6" s="1"/>
  <c r="AO43" i="6"/>
  <c r="AP43" i="6" s="1"/>
  <c r="AO44" i="6"/>
  <c r="AP44" i="6" s="1"/>
  <c r="AO45" i="6"/>
  <c r="AP45" i="6" s="1"/>
  <c r="AO46" i="6"/>
  <c r="AP46" i="6" s="1"/>
  <c r="AO47" i="6"/>
  <c r="AP47" i="6" s="1"/>
  <c r="AO48" i="6"/>
  <c r="AP48" i="6" s="1"/>
  <c r="AO49" i="6"/>
  <c r="AP49" i="6" s="1"/>
  <c r="AO50" i="6"/>
  <c r="AP50" i="6" s="1"/>
  <c r="AO51" i="6"/>
  <c r="AP51" i="6" s="1"/>
  <c r="AO52" i="6"/>
  <c r="AP52" i="6" s="1"/>
  <c r="AO53" i="6"/>
  <c r="AP53" i="6" s="1"/>
  <c r="AO54" i="6"/>
  <c r="AP54" i="6" s="1"/>
  <c r="AO55" i="6"/>
  <c r="AP55" i="6" s="1"/>
  <c r="AO56" i="6"/>
  <c r="AP56" i="6" s="1"/>
  <c r="AO57" i="6"/>
  <c r="AP57" i="6" s="1"/>
  <c r="AO58" i="6"/>
  <c r="AP58" i="6" s="1"/>
  <c r="AO59" i="6"/>
  <c r="AP59" i="6" s="1"/>
  <c r="AO60" i="6"/>
  <c r="AP60" i="6" s="1"/>
  <c r="AO61" i="6"/>
  <c r="AP61" i="6" s="1"/>
  <c r="AO62" i="6"/>
  <c r="AP62" i="6" s="1"/>
  <c r="AO63" i="6"/>
  <c r="AP63" i="6" s="1"/>
  <c r="AO64" i="6"/>
  <c r="AP64" i="6" s="1"/>
  <c r="AO65" i="6"/>
  <c r="AP65" i="6" s="1"/>
  <c r="AO66" i="6"/>
  <c r="AP66" i="6" s="1"/>
  <c r="AO67" i="6"/>
  <c r="AP67" i="6" s="1"/>
  <c r="AO68" i="6"/>
  <c r="AP68" i="6" s="1"/>
  <c r="AO69" i="6"/>
  <c r="AP69" i="6" s="1"/>
  <c r="AO70" i="6"/>
  <c r="AP70" i="6" s="1"/>
  <c r="AO71" i="6"/>
  <c r="AP71" i="6" s="1"/>
  <c r="AO72" i="6"/>
  <c r="AP72" i="6" s="1"/>
  <c r="AO73" i="6"/>
  <c r="AP73" i="6" s="1"/>
  <c r="AO74" i="6"/>
  <c r="AP74" i="6" s="1"/>
  <c r="AO75" i="6"/>
  <c r="AP75" i="6" s="1"/>
  <c r="AO76" i="6"/>
  <c r="AP76" i="6" s="1"/>
  <c r="AO77" i="6"/>
  <c r="AP77" i="6" s="1"/>
  <c r="AO78" i="6"/>
  <c r="AP78" i="6" s="1"/>
  <c r="AO79" i="6"/>
  <c r="AP79" i="6" s="1"/>
  <c r="AO80" i="6"/>
  <c r="AP80" i="6" s="1"/>
  <c r="AO81" i="6"/>
  <c r="AP81" i="6" s="1"/>
  <c r="AO82" i="6"/>
  <c r="AP82" i="6" s="1"/>
  <c r="AO83" i="6"/>
  <c r="AP83" i="6" s="1"/>
  <c r="AO84" i="6"/>
  <c r="AP84" i="6" s="1"/>
  <c r="AO85" i="6"/>
  <c r="AP85" i="6" s="1"/>
  <c r="AO86" i="6"/>
  <c r="AP86" i="6" s="1"/>
  <c r="AO87" i="6"/>
  <c r="AP87" i="6" s="1"/>
  <c r="AO88" i="6"/>
  <c r="AP88" i="6" s="1"/>
  <c r="AO89" i="6"/>
  <c r="AP89" i="6" s="1"/>
  <c r="AO90" i="6"/>
  <c r="AP90" i="6" s="1"/>
  <c r="AO91" i="6"/>
  <c r="AP91" i="6" s="1"/>
  <c r="AO92" i="6"/>
  <c r="AP92" i="6" s="1"/>
  <c r="AO93" i="6"/>
  <c r="AP93" i="6" s="1"/>
  <c r="AO94" i="6"/>
  <c r="AP94" i="6" s="1"/>
  <c r="AO95" i="6"/>
  <c r="AP95" i="6" s="1"/>
  <c r="AO96" i="6"/>
  <c r="AP96" i="6" s="1"/>
  <c r="AO97" i="6"/>
  <c r="AP97" i="6" s="1"/>
  <c r="AO98" i="6"/>
  <c r="AP98" i="6" s="1"/>
  <c r="AO99" i="6"/>
  <c r="AP99" i="6" s="1"/>
  <c r="AO100" i="6"/>
  <c r="AP100" i="6" s="1"/>
  <c r="AO101" i="6"/>
  <c r="AP101" i="6" s="1"/>
  <c r="AO102" i="6"/>
  <c r="AP102" i="6" s="1"/>
  <c r="AO103" i="6"/>
  <c r="AP103" i="6" s="1"/>
  <c r="AO104" i="6"/>
  <c r="AP104" i="6" s="1"/>
  <c r="AO105" i="6"/>
  <c r="AP105" i="6" s="1"/>
  <c r="AO106" i="6"/>
  <c r="AP106" i="6" s="1"/>
  <c r="AO107" i="6"/>
  <c r="AP107" i="6" s="1"/>
  <c r="AO108" i="6"/>
  <c r="AP108" i="6" s="1"/>
  <c r="AO109" i="6"/>
  <c r="AP109" i="6" s="1"/>
  <c r="AO110" i="6"/>
  <c r="AP110" i="6" s="1"/>
  <c r="AO111" i="6"/>
  <c r="AP111" i="6" s="1"/>
  <c r="AO112" i="6"/>
  <c r="AP112" i="6" s="1"/>
  <c r="AO113" i="6"/>
  <c r="AP113" i="6" s="1"/>
  <c r="AO114" i="6"/>
  <c r="AP114" i="6" s="1"/>
  <c r="AO115" i="6"/>
  <c r="AP115" i="6" s="1"/>
  <c r="AO116" i="6"/>
  <c r="AP116" i="6" s="1"/>
  <c r="AO117" i="6"/>
  <c r="AP117" i="6" s="1"/>
  <c r="AO118" i="6"/>
  <c r="AP118" i="6" s="1"/>
  <c r="AO119" i="6"/>
  <c r="AP119" i="6" s="1"/>
  <c r="AO120" i="6"/>
  <c r="AP120" i="6" s="1"/>
  <c r="AO121" i="6"/>
  <c r="AP121" i="6" s="1"/>
  <c r="AO122" i="6"/>
  <c r="AP122" i="6" s="1"/>
  <c r="AO123" i="6"/>
  <c r="AP123" i="6" s="1"/>
  <c r="AO124" i="6"/>
  <c r="AP124" i="6" s="1"/>
  <c r="AO125" i="6"/>
  <c r="AP125" i="6" s="1"/>
  <c r="AO126" i="6"/>
  <c r="AP126" i="6" s="1"/>
  <c r="AO127" i="6"/>
  <c r="AP127" i="6" s="1"/>
  <c r="AO128" i="6"/>
  <c r="AP128" i="6" s="1"/>
  <c r="AO129" i="6"/>
  <c r="AP129" i="6" s="1"/>
  <c r="AO130" i="6"/>
  <c r="AP130" i="6" s="1"/>
  <c r="AO131" i="6"/>
  <c r="AP131" i="6" s="1"/>
  <c r="AO132" i="6"/>
  <c r="AP132" i="6" s="1"/>
  <c r="AE5" i="6"/>
  <c r="AF5" i="6" s="1"/>
  <c r="AE6" i="6"/>
  <c r="AF6" i="6" s="1"/>
  <c r="AE7" i="6"/>
  <c r="AF7" i="6" s="1"/>
  <c r="AE8" i="6"/>
  <c r="AF8" i="6" s="1"/>
  <c r="AE9" i="6"/>
  <c r="AF9" i="6" s="1"/>
  <c r="AE10" i="6"/>
  <c r="AF10" i="6" s="1"/>
  <c r="AE11" i="6"/>
  <c r="AF11" i="6" s="1"/>
  <c r="AE12" i="6"/>
  <c r="AF12" i="6" s="1"/>
  <c r="AE13" i="6"/>
  <c r="AF13" i="6" s="1"/>
  <c r="AE14" i="6"/>
  <c r="AF14" i="6" s="1"/>
  <c r="AE15" i="6"/>
  <c r="AF15" i="6" s="1"/>
  <c r="AE16" i="6"/>
  <c r="AF16" i="6" s="1"/>
  <c r="AE17" i="6"/>
  <c r="AF17" i="6" s="1"/>
  <c r="AE18" i="6"/>
  <c r="AF18" i="6" s="1"/>
  <c r="AE19" i="6"/>
  <c r="AF19" i="6" s="1"/>
  <c r="AE20" i="6"/>
  <c r="AF20" i="6" s="1"/>
  <c r="AE21" i="6"/>
  <c r="AF21" i="6" s="1"/>
  <c r="AE22" i="6"/>
  <c r="AF22" i="6" s="1"/>
  <c r="AE23" i="6"/>
  <c r="AF23" i="6" s="1"/>
  <c r="AE24" i="6"/>
  <c r="AF24" i="6" s="1"/>
  <c r="AE25" i="6"/>
  <c r="AF25" i="6" s="1"/>
  <c r="AE26" i="6"/>
  <c r="AF26" i="6" s="1"/>
  <c r="AE27" i="6"/>
  <c r="AF27" i="6" s="1"/>
  <c r="AE28" i="6"/>
  <c r="AF28" i="6" s="1"/>
  <c r="AE29" i="6"/>
  <c r="AF29" i="6" s="1"/>
  <c r="AE30" i="6"/>
  <c r="AF30" i="6" s="1"/>
  <c r="AE31" i="6"/>
  <c r="AF31" i="6" s="1"/>
  <c r="AE32" i="6"/>
  <c r="AF32" i="6" s="1"/>
  <c r="AE33" i="6"/>
  <c r="AF33" i="6" s="1"/>
  <c r="AE34" i="6"/>
  <c r="AF34" i="6" s="1"/>
  <c r="AE35" i="6"/>
  <c r="AF35" i="6" s="1"/>
  <c r="AE36" i="6"/>
  <c r="AF36" i="6" s="1"/>
  <c r="AE37" i="6"/>
  <c r="AF37" i="6" s="1"/>
  <c r="AE38" i="6"/>
  <c r="AF38" i="6" s="1"/>
  <c r="AE39" i="6"/>
  <c r="AF39" i="6" s="1"/>
  <c r="AE40" i="6"/>
  <c r="AF40" i="6" s="1"/>
  <c r="AE41" i="6"/>
  <c r="AF41" i="6" s="1"/>
  <c r="AE42" i="6"/>
  <c r="AF42" i="6" s="1"/>
  <c r="AE43" i="6"/>
  <c r="AF43" i="6" s="1"/>
  <c r="AE44" i="6"/>
  <c r="AF44" i="6" s="1"/>
  <c r="AE45" i="6"/>
  <c r="AF45" i="6" s="1"/>
  <c r="AE46" i="6"/>
  <c r="AF46" i="6" s="1"/>
  <c r="AE47" i="6"/>
  <c r="AF47" i="6" s="1"/>
  <c r="AE48" i="6"/>
  <c r="AF48" i="6" s="1"/>
  <c r="AE49" i="6"/>
  <c r="AF49" i="6" s="1"/>
  <c r="AE50" i="6"/>
  <c r="AF50" i="6" s="1"/>
  <c r="AE51" i="6"/>
  <c r="AF51" i="6" s="1"/>
  <c r="AE52" i="6"/>
  <c r="AF52" i="6" s="1"/>
  <c r="AE53" i="6"/>
  <c r="AF53" i="6" s="1"/>
  <c r="AE54" i="6"/>
  <c r="AF54" i="6" s="1"/>
  <c r="AE55" i="6"/>
  <c r="AF55" i="6" s="1"/>
  <c r="AE56" i="6"/>
  <c r="AF56" i="6" s="1"/>
  <c r="AE57" i="6"/>
  <c r="AF57" i="6" s="1"/>
  <c r="AE58" i="6"/>
  <c r="AF58" i="6" s="1"/>
  <c r="AE59" i="6"/>
  <c r="AF59" i="6" s="1"/>
  <c r="AE60" i="6"/>
  <c r="AF60" i="6" s="1"/>
  <c r="AE61" i="6"/>
  <c r="AF61" i="6" s="1"/>
  <c r="AE62" i="6"/>
  <c r="AF62" i="6" s="1"/>
  <c r="AE63" i="6"/>
  <c r="AF63" i="6" s="1"/>
  <c r="AE64" i="6"/>
  <c r="AF64" i="6" s="1"/>
  <c r="AE65" i="6"/>
  <c r="AF65" i="6" s="1"/>
  <c r="AE66" i="6"/>
  <c r="AF66" i="6" s="1"/>
  <c r="AE67" i="6"/>
  <c r="AF67" i="6" s="1"/>
  <c r="AE68" i="6"/>
  <c r="AF68" i="6" s="1"/>
  <c r="AE69" i="6"/>
  <c r="AF69" i="6" s="1"/>
  <c r="AE70" i="6"/>
  <c r="AF70" i="6" s="1"/>
  <c r="AE71" i="6"/>
  <c r="AF71" i="6" s="1"/>
  <c r="AE72" i="6"/>
  <c r="AF72" i="6" s="1"/>
  <c r="AE73" i="6"/>
  <c r="AF73" i="6" s="1"/>
  <c r="AE74" i="6"/>
  <c r="AF74" i="6" s="1"/>
  <c r="AE75" i="6"/>
  <c r="AF75" i="6" s="1"/>
  <c r="AE76" i="6"/>
  <c r="AF76" i="6" s="1"/>
  <c r="AE77" i="6"/>
  <c r="AF77" i="6" s="1"/>
  <c r="AE78" i="6"/>
  <c r="AF78" i="6" s="1"/>
  <c r="AE79" i="6"/>
  <c r="AF79" i="6" s="1"/>
  <c r="AE80" i="6"/>
  <c r="AF80" i="6" s="1"/>
  <c r="AE81" i="6"/>
  <c r="AF81" i="6" s="1"/>
  <c r="AE82" i="6"/>
  <c r="AF82" i="6" s="1"/>
  <c r="AE83" i="6"/>
  <c r="AF83" i="6" s="1"/>
  <c r="AE84" i="6"/>
  <c r="AF84" i="6" s="1"/>
  <c r="AE85" i="6"/>
  <c r="AF85" i="6" s="1"/>
  <c r="AE86" i="6"/>
  <c r="AF86" i="6" s="1"/>
  <c r="AE87" i="6"/>
  <c r="AF87" i="6" s="1"/>
  <c r="AE88" i="6"/>
  <c r="AF88" i="6" s="1"/>
  <c r="AE89" i="6"/>
  <c r="AF89" i="6" s="1"/>
  <c r="AE90" i="6"/>
  <c r="AF90" i="6" s="1"/>
  <c r="AE91" i="6"/>
  <c r="AF91" i="6" s="1"/>
  <c r="AE92" i="6"/>
  <c r="AF92" i="6" s="1"/>
  <c r="AE93" i="6"/>
  <c r="AF93" i="6" s="1"/>
  <c r="AE94" i="6"/>
  <c r="AF94" i="6" s="1"/>
  <c r="AE95" i="6"/>
  <c r="AF95" i="6" s="1"/>
  <c r="AE96" i="6"/>
  <c r="AF96" i="6" s="1"/>
  <c r="AE97" i="6"/>
  <c r="AF97" i="6" s="1"/>
  <c r="AE98" i="6"/>
  <c r="AF98" i="6" s="1"/>
  <c r="AE99" i="6"/>
  <c r="AF99" i="6" s="1"/>
  <c r="AE100" i="6"/>
  <c r="AF100" i="6" s="1"/>
  <c r="AE101" i="6"/>
  <c r="AF101" i="6" s="1"/>
  <c r="AE102" i="6"/>
  <c r="AF102" i="6" s="1"/>
  <c r="AE103" i="6"/>
  <c r="AF103" i="6" s="1"/>
  <c r="AE104" i="6"/>
  <c r="AF104" i="6" s="1"/>
  <c r="AE105" i="6"/>
  <c r="AF105" i="6" s="1"/>
  <c r="AE106" i="6"/>
  <c r="AF106" i="6" s="1"/>
  <c r="AE107" i="6"/>
  <c r="AF107" i="6" s="1"/>
  <c r="AE108" i="6"/>
  <c r="AF108" i="6" s="1"/>
  <c r="AE109" i="6"/>
  <c r="AF109" i="6" s="1"/>
  <c r="AE110" i="6"/>
  <c r="AF110" i="6" s="1"/>
  <c r="AE111" i="6"/>
  <c r="AF111" i="6" s="1"/>
  <c r="AE112" i="6"/>
  <c r="AF112" i="6" s="1"/>
  <c r="AE113" i="6"/>
  <c r="AF113" i="6" s="1"/>
  <c r="AE114" i="6"/>
  <c r="AF114" i="6" s="1"/>
  <c r="AE115" i="6"/>
  <c r="AF115" i="6" s="1"/>
  <c r="AE116" i="6"/>
  <c r="AF116" i="6" s="1"/>
  <c r="AE117" i="6"/>
  <c r="AF117" i="6" s="1"/>
  <c r="AE118" i="6"/>
  <c r="AF118" i="6" s="1"/>
  <c r="AE119" i="6"/>
  <c r="AF119" i="6" s="1"/>
  <c r="AE120" i="6"/>
  <c r="AF120" i="6" s="1"/>
  <c r="AE121" i="6"/>
  <c r="AF121" i="6" s="1"/>
  <c r="AE122" i="6"/>
  <c r="AF122" i="6" s="1"/>
  <c r="AE123" i="6"/>
  <c r="AF123" i="6" s="1"/>
  <c r="AE124" i="6"/>
  <c r="AF124" i="6" s="1"/>
  <c r="AE125" i="6"/>
  <c r="AF125" i="6" s="1"/>
  <c r="AE126" i="6"/>
  <c r="AF126" i="6" s="1"/>
  <c r="AE127" i="6"/>
  <c r="AF127" i="6" s="1"/>
  <c r="AE128" i="6"/>
  <c r="AF128" i="6" s="1"/>
  <c r="AE129" i="6"/>
  <c r="AF129" i="6" s="1"/>
  <c r="AE130" i="6"/>
  <c r="AF130" i="6" s="1"/>
  <c r="AE131" i="6"/>
  <c r="AF131" i="6" s="1"/>
  <c r="AE132" i="6"/>
  <c r="AF132" i="6" s="1"/>
  <c r="BL5" i="6"/>
  <c r="BL6" i="6"/>
  <c r="BL7" i="6"/>
  <c r="BL8" i="6"/>
  <c r="BL9" i="6"/>
  <c r="BL10" i="6"/>
  <c r="BL11" i="6"/>
  <c r="BL12" i="6"/>
  <c r="BL13" i="6"/>
  <c r="BL14" i="6"/>
  <c r="BL15" i="6"/>
  <c r="BL16" i="6"/>
  <c r="BL17" i="6"/>
  <c r="BL18" i="6"/>
  <c r="BL19" i="6"/>
  <c r="BL20" i="6"/>
  <c r="BL21" i="6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BL42" i="6"/>
  <c r="BL43" i="6"/>
  <c r="BL44" i="6"/>
  <c r="BL45" i="6"/>
  <c r="BL46" i="6"/>
  <c r="BL47" i="6"/>
  <c r="BL48" i="6"/>
  <c r="BL49" i="6"/>
  <c r="BL50" i="6"/>
  <c r="BL51" i="6"/>
  <c r="BL52" i="6"/>
  <c r="BL53" i="6"/>
  <c r="BL54" i="6"/>
  <c r="BL55" i="6"/>
  <c r="BL56" i="6"/>
  <c r="BL57" i="6"/>
  <c r="BL58" i="6"/>
  <c r="BL59" i="6"/>
  <c r="BL60" i="6"/>
  <c r="BL61" i="6"/>
  <c r="BL62" i="6"/>
  <c r="BL63" i="6"/>
  <c r="BL64" i="6"/>
  <c r="BL65" i="6"/>
  <c r="BL66" i="6"/>
  <c r="BL67" i="6"/>
  <c r="BL68" i="6"/>
  <c r="BL69" i="6"/>
  <c r="BL70" i="6"/>
  <c r="BL71" i="6"/>
  <c r="BL72" i="6"/>
  <c r="BL73" i="6"/>
  <c r="BL74" i="6"/>
  <c r="BL75" i="6"/>
  <c r="BL76" i="6"/>
  <c r="BL77" i="6"/>
  <c r="BL78" i="6"/>
  <c r="BL79" i="6"/>
  <c r="BL80" i="6"/>
  <c r="BL81" i="6"/>
  <c r="BL82" i="6"/>
  <c r="BL83" i="6"/>
  <c r="BL84" i="6"/>
  <c r="BL85" i="6"/>
  <c r="BL86" i="6"/>
  <c r="BL87" i="6"/>
  <c r="BL88" i="6"/>
  <c r="BL89" i="6"/>
  <c r="BL90" i="6"/>
  <c r="BL91" i="6"/>
  <c r="BL92" i="6"/>
  <c r="BL93" i="6"/>
  <c r="BL94" i="6"/>
  <c r="BL95" i="6"/>
  <c r="BL96" i="6"/>
  <c r="BL97" i="6"/>
  <c r="BL98" i="6"/>
  <c r="BL99" i="6"/>
  <c r="BL100" i="6"/>
  <c r="BL101" i="6"/>
  <c r="BL102" i="6"/>
  <c r="BL103" i="6"/>
  <c r="BL104" i="6"/>
  <c r="BL105" i="6"/>
  <c r="BL106" i="6"/>
  <c r="BL107" i="6"/>
  <c r="BL108" i="6"/>
  <c r="BL109" i="6"/>
  <c r="BL110" i="6"/>
  <c r="BL111" i="6"/>
  <c r="BL112" i="6"/>
  <c r="BL113" i="6"/>
  <c r="BL114" i="6"/>
  <c r="BL115" i="6"/>
  <c r="BL116" i="6"/>
  <c r="BL117" i="6"/>
  <c r="BL118" i="6"/>
  <c r="BL119" i="6"/>
  <c r="BL120" i="6"/>
  <c r="BL121" i="6"/>
  <c r="BL122" i="6"/>
  <c r="BL123" i="6"/>
  <c r="BL124" i="6"/>
  <c r="BL125" i="6"/>
  <c r="BL126" i="6"/>
  <c r="BL127" i="6"/>
  <c r="BL128" i="6"/>
  <c r="BL129" i="6"/>
  <c r="BL130" i="6"/>
  <c r="BL131" i="6"/>
  <c r="BL132" i="6"/>
  <c r="D2" i="6"/>
  <c r="BC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31" i="6"/>
  <c r="BC32" i="6"/>
  <c r="BC33" i="6"/>
  <c r="BC34" i="6"/>
  <c r="BC35" i="6"/>
  <c r="BC36" i="6"/>
  <c r="BC37" i="6"/>
  <c r="BC38" i="6"/>
  <c r="BC39" i="6"/>
  <c r="BC40" i="6"/>
  <c r="BC41" i="6"/>
  <c r="BC42" i="6"/>
  <c r="BC43" i="6"/>
  <c r="BC44" i="6"/>
  <c r="BC45" i="6"/>
  <c r="BC46" i="6"/>
  <c r="BC47" i="6"/>
  <c r="BC48" i="6"/>
  <c r="BC49" i="6"/>
  <c r="BC50" i="6"/>
  <c r="BC51" i="6"/>
  <c r="BC52" i="6"/>
  <c r="BC53" i="6"/>
  <c r="BC54" i="6"/>
  <c r="BC55" i="6"/>
  <c r="BC56" i="6"/>
  <c r="BC57" i="6"/>
  <c r="BC58" i="6"/>
  <c r="BC59" i="6"/>
  <c r="BC60" i="6"/>
  <c r="BC61" i="6"/>
  <c r="BC62" i="6"/>
  <c r="BC63" i="6"/>
  <c r="BC64" i="6"/>
  <c r="BC65" i="6"/>
  <c r="BC66" i="6"/>
  <c r="BC67" i="6"/>
  <c r="BC68" i="6"/>
  <c r="BC69" i="6"/>
  <c r="BC70" i="6"/>
  <c r="BC71" i="6"/>
  <c r="BC72" i="6"/>
  <c r="BC73" i="6"/>
  <c r="BC74" i="6"/>
  <c r="BC75" i="6"/>
  <c r="BC76" i="6"/>
  <c r="BC77" i="6"/>
  <c r="BC78" i="6"/>
  <c r="BC79" i="6"/>
  <c r="BC80" i="6"/>
  <c r="BC81" i="6"/>
  <c r="BC82" i="6"/>
  <c r="BC83" i="6"/>
  <c r="BC84" i="6"/>
  <c r="BC85" i="6"/>
  <c r="BC86" i="6"/>
  <c r="BC87" i="6"/>
  <c r="BC88" i="6"/>
  <c r="BC89" i="6"/>
  <c r="BC90" i="6"/>
  <c r="BC91" i="6"/>
  <c r="BC92" i="6"/>
  <c r="BC93" i="6"/>
  <c r="BC94" i="6"/>
  <c r="BC95" i="6"/>
  <c r="BC96" i="6"/>
  <c r="BC97" i="6"/>
  <c r="BC98" i="6"/>
  <c r="BC99" i="6"/>
  <c r="BC100" i="6"/>
  <c r="BC101" i="6"/>
  <c r="BC102" i="6"/>
  <c r="BC103" i="6"/>
  <c r="BC104" i="6"/>
  <c r="BC105" i="6"/>
  <c r="BC106" i="6"/>
  <c r="BC107" i="6"/>
  <c r="BC108" i="6"/>
  <c r="BC109" i="6"/>
  <c r="BC110" i="6"/>
  <c r="BC111" i="6"/>
  <c r="BC112" i="6"/>
  <c r="BC113" i="6"/>
  <c r="BC114" i="6"/>
  <c r="BC115" i="6"/>
  <c r="BC116" i="6"/>
  <c r="BC117" i="6"/>
  <c r="BC118" i="6"/>
  <c r="BC119" i="6"/>
  <c r="BC120" i="6"/>
  <c r="BC121" i="6"/>
  <c r="BC122" i="6"/>
  <c r="BC123" i="6"/>
  <c r="BC124" i="6"/>
  <c r="BC125" i="6"/>
  <c r="BC126" i="6"/>
  <c r="BC127" i="6"/>
  <c r="BC128" i="6"/>
  <c r="BC129" i="6"/>
  <c r="BC130" i="6"/>
  <c r="BC131" i="6"/>
  <c r="BC132" i="6"/>
  <c r="AS5" i="6"/>
  <c r="AS6" i="6"/>
  <c r="AS7" i="6"/>
  <c r="AS8" i="6"/>
  <c r="AS9" i="6"/>
  <c r="AS10" i="6"/>
  <c r="AS11" i="6"/>
  <c r="AS12" i="6"/>
  <c r="AS13" i="6"/>
  <c r="AS14" i="6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38" i="6"/>
  <c r="AS39" i="6"/>
  <c r="AS40" i="6"/>
  <c r="AS41" i="6"/>
  <c r="AS42" i="6"/>
  <c r="AS43" i="6"/>
  <c r="AS44" i="6"/>
  <c r="AS45" i="6"/>
  <c r="AS46" i="6"/>
  <c r="AS47" i="6"/>
  <c r="AS48" i="6"/>
  <c r="AS49" i="6"/>
  <c r="AS50" i="6"/>
  <c r="AS51" i="6"/>
  <c r="AS52" i="6"/>
  <c r="AS53" i="6"/>
  <c r="AS54" i="6"/>
  <c r="AS55" i="6"/>
  <c r="AS56" i="6"/>
  <c r="AS57" i="6"/>
  <c r="AS58" i="6"/>
  <c r="AS59" i="6"/>
  <c r="AS60" i="6"/>
  <c r="AS61" i="6"/>
  <c r="AS62" i="6"/>
  <c r="AS63" i="6"/>
  <c r="AS64" i="6"/>
  <c r="AS65" i="6"/>
  <c r="AS66" i="6"/>
  <c r="AS67" i="6"/>
  <c r="AS68" i="6"/>
  <c r="AS69" i="6"/>
  <c r="AS70" i="6"/>
  <c r="AS71" i="6"/>
  <c r="AS72" i="6"/>
  <c r="AS73" i="6"/>
  <c r="AS74" i="6"/>
  <c r="AS75" i="6"/>
  <c r="AS76" i="6"/>
  <c r="AS77" i="6"/>
  <c r="AS78" i="6"/>
  <c r="AS79" i="6"/>
  <c r="AS80" i="6"/>
  <c r="AS81" i="6"/>
  <c r="AS82" i="6"/>
  <c r="AS83" i="6"/>
  <c r="AS84" i="6"/>
  <c r="AS85" i="6"/>
  <c r="AS86" i="6"/>
  <c r="AS87" i="6"/>
  <c r="AS88" i="6"/>
  <c r="AS89" i="6"/>
  <c r="AS90" i="6"/>
  <c r="AS91" i="6"/>
  <c r="AS92" i="6"/>
  <c r="AS93" i="6"/>
  <c r="AS94" i="6"/>
  <c r="AS95" i="6"/>
  <c r="AS96" i="6"/>
  <c r="AS97" i="6"/>
  <c r="AS98" i="6"/>
  <c r="AS99" i="6"/>
  <c r="AS100" i="6"/>
  <c r="AS101" i="6"/>
  <c r="AS102" i="6"/>
  <c r="AS103" i="6"/>
  <c r="AS104" i="6"/>
  <c r="AS105" i="6"/>
  <c r="AS106" i="6"/>
  <c r="AS107" i="6"/>
  <c r="AS108" i="6"/>
  <c r="AS109" i="6"/>
  <c r="AS110" i="6"/>
  <c r="AS111" i="6"/>
  <c r="AS112" i="6"/>
  <c r="AS113" i="6"/>
  <c r="AS114" i="6"/>
  <c r="AS115" i="6"/>
  <c r="AS116" i="6"/>
  <c r="AS117" i="6"/>
  <c r="AS118" i="6"/>
  <c r="AS119" i="6"/>
  <c r="AS120" i="6"/>
  <c r="AS121" i="6"/>
  <c r="AS122" i="6"/>
  <c r="AS123" i="6"/>
  <c r="AS124" i="6"/>
  <c r="AS125" i="6"/>
  <c r="AS126" i="6"/>
  <c r="AS127" i="6"/>
  <c r="AS128" i="6"/>
  <c r="AS129" i="6"/>
  <c r="AS130" i="6"/>
  <c r="AS131" i="6"/>
  <c r="AS132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BE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41" i="6"/>
  <c r="BE42" i="6"/>
  <c r="BE43" i="6"/>
  <c r="BE44" i="6"/>
  <c r="BE45" i="6"/>
  <c r="BE46" i="6"/>
  <c r="BE47" i="6"/>
  <c r="BE48" i="6"/>
  <c r="BE49" i="6"/>
  <c r="BE50" i="6"/>
  <c r="BE51" i="6"/>
  <c r="BE52" i="6"/>
  <c r="BE53" i="6"/>
  <c r="BE54" i="6"/>
  <c r="BE55" i="6"/>
  <c r="BE56" i="6"/>
  <c r="BE57" i="6"/>
  <c r="BE58" i="6"/>
  <c r="BE59" i="6"/>
  <c r="BE60" i="6"/>
  <c r="BE61" i="6"/>
  <c r="BE62" i="6"/>
  <c r="BE63" i="6"/>
  <c r="BE64" i="6"/>
  <c r="BE65" i="6"/>
  <c r="BE66" i="6"/>
  <c r="BE67" i="6"/>
  <c r="BE68" i="6"/>
  <c r="BE69" i="6"/>
  <c r="BE70" i="6"/>
  <c r="BE71" i="6"/>
  <c r="BE72" i="6"/>
  <c r="BE73" i="6"/>
  <c r="BE74" i="6"/>
  <c r="BE75" i="6"/>
  <c r="BE76" i="6"/>
  <c r="BE77" i="6"/>
  <c r="BE78" i="6"/>
  <c r="BE79" i="6"/>
  <c r="BE80" i="6"/>
  <c r="BE81" i="6"/>
  <c r="BE82" i="6"/>
  <c r="BE83" i="6"/>
  <c r="BE84" i="6"/>
  <c r="BE85" i="6"/>
  <c r="BE86" i="6"/>
  <c r="BE87" i="6"/>
  <c r="BE88" i="6"/>
  <c r="BE89" i="6"/>
  <c r="BE90" i="6"/>
  <c r="BE91" i="6"/>
  <c r="BE92" i="6"/>
  <c r="BE93" i="6"/>
  <c r="BE94" i="6"/>
  <c r="BE95" i="6"/>
  <c r="BE96" i="6"/>
  <c r="BE97" i="6"/>
  <c r="BE98" i="6"/>
  <c r="BE99" i="6"/>
  <c r="BE100" i="6"/>
  <c r="BE101" i="6"/>
  <c r="BE102" i="6"/>
  <c r="BE103" i="6"/>
  <c r="BE104" i="6"/>
  <c r="BE105" i="6"/>
  <c r="BE106" i="6"/>
  <c r="BE107" i="6"/>
  <c r="BE108" i="6"/>
  <c r="BE109" i="6"/>
  <c r="BE110" i="6"/>
  <c r="BE111" i="6"/>
  <c r="BE112" i="6"/>
  <c r="BE113" i="6"/>
  <c r="BE114" i="6"/>
  <c r="BE115" i="6"/>
  <c r="BE116" i="6"/>
  <c r="BE117" i="6"/>
  <c r="BE118" i="6"/>
  <c r="BE119" i="6"/>
  <c r="BE120" i="6"/>
  <c r="BE121" i="6"/>
  <c r="BE122" i="6"/>
  <c r="BE123" i="6"/>
  <c r="BE124" i="6"/>
  <c r="BE125" i="6"/>
  <c r="BE126" i="6"/>
  <c r="BE127" i="6"/>
  <c r="BE128" i="6"/>
  <c r="BE129" i="6"/>
  <c r="BE130" i="6"/>
  <c r="BE131" i="6"/>
  <c r="BE132" i="6"/>
  <c r="AU5" i="6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U48" i="6"/>
  <c r="AU49" i="6"/>
  <c r="AU50" i="6"/>
  <c r="AU51" i="6"/>
  <c r="AU52" i="6"/>
  <c r="AU53" i="6"/>
  <c r="AU54" i="6"/>
  <c r="AU55" i="6"/>
  <c r="AU56" i="6"/>
  <c r="AU57" i="6"/>
  <c r="AU58" i="6"/>
  <c r="AU59" i="6"/>
  <c r="AU60" i="6"/>
  <c r="AU61" i="6"/>
  <c r="AU62" i="6"/>
  <c r="AU63" i="6"/>
  <c r="AU64" i="6"/>
  <c r="AU65" i="6"/>
  <c r="AU66" i="6"/>
  <c r="AU67" i="6"/>
  <c r="AU68" i="6"/>
  <c r="AU69" i="6"/>
  <c r="AU70" i="6"/>
  <c r="AU71" i="6"/>
  <c r="AU72" i="6"/>
  <c r="AU73" i="6"/>
  <c r="AU74" i="6"/>
  <c r="AU75" i="6"/>
  <c r="AU76" i="6"/>
  <c r="AU77" i="6"/>
  <c r="AU78" i="6"/>
  <c r="AU79" i="6"/>
  <c r="AU80" i="6"/>
  <c r="AU81" i="6"/>
  <c r="AU82" i="6"/>
  <c r="AU83" i="6"/>
  <c r="AU84" i="6"/>
  <c r="AU85" i="6"/>
  <c r="AU86" i="6"/>
  <c r="AU87" i="6"/>
  <c r="AU88" i="6"/>
  <c r="AU89" i="6"/>
  <c r="AU90" i="6"/>
  <c r="AU91" i="6"/>
  <c r="AU92" i="6"/>
  <c r="AU93" i="6"/>
  <c r="AU94" i="6"/>
  <c r="AU95" i="6"/>
  <c r="AU96" i="6"/>
  <c r="AU97" i="6"/>
  <c r="AU98" i="6"/>
  <c r="AU99" i="6"/>
  <c r="AU100" i="6"/>
  <c r="AU101" i="6"/>
  <c r="AU102" i="6"/>
  <c r="AU103" i="6"/>
  <c r="AU104" i="6"/>
  <c r="AU105" i="6"/>
  <c r="AU106" i="6"/>
  <c r="AU107" i="6"/>
  <c r="AU108" i="6"/>
  <c r="AU109" i="6"/>
  <c r="AU110" i="6"/>
  <c r="AU111" i="6"/>
  <c r="AU112" i="6"/>
  <c r="AU113" i="6"/>
  <c r="AU114" i="6"/>
  <c r="AU115" i="6"/>
  <c r="AU116" i="6"/>
  <c r="AU117" i="6"/>
  <c r="AU118" i="6"/>
  <c r="AU119" i="6"/>
  <c r="AU120" i="6"/>
  <c r="AU121" i="6"/>
  <c r="AU122" i="6"/>
  <c r="AU123" i="6"/>
  <c r="AU124" i="6"/>
  <c r="AU125" i="6"/>
  <c r="AU126" i="6"/>
  <c r="AU127" i="6"/>
  <c r="AU128" i="6"/>
  <c r="AU129" i="6"/>
  <c r="AU130" i="6"/>
  <c r="AU131" i="6"/>
  <c r="AU132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W5" i="6" l="1"/>
  <c r="BA5" i="6" s="1"/>
  <c r="AW7" i="6"/>
  <c r="AW9" i="6"/>
  <c r="BA9" i="6" s="1"/>
  <c r="BD9" i="6" s="1"/>
  <c r="AW11" i="6"/>
  <c r="AW13" i="6"/>
  <c r="BA13" i="6" s="1"/>
  <c r="BD13" i="6" s="1"/>
  <c r="AW15" i="6"/>
  <c r="AW17" i="6"/>
  <c r="BA17" i="6" s="1"/>
  <c r="AW19" i="6"/>
  <c r="AW21" i="6"/>
  <c r="BA21" i="6" s="1"/>
  <c r="AW23" i="6"/>
  <c r="AW25" i="6"/>
  <c r="BA25" i="6" s="1"/>
  <c r="BD25" i="6" s="1"/>
  <c r="AW27" i="6"/>
  <c r="AW29" i="6"/>
  <c r="BA29" i="6" s="1"/>
  <c r="BD29" i="6" s="1"/>
  <c r="AW31" i="6"/>
  <c r="AW33" i="6"/>
  <c r="BA33" i="6" s="1"/>
  <c r="AW35" i="6"/>
  <c r="AW37" i="6"/>
  <c r="BA37" i="6" s="1"/>
  <c r="AW39" i="6"/>
  <c r="AW41" i="6"/>
  <c r="BA41" i="6" s="1"/>
  <c r="BD41" i="6" s="1"/>
  <c r="AW43" i="6"/>
  <c r="AW45" i="6"/>
  <c r="BA45" i="6" s="1"/>
  <c r="BD45" i="6" s="1"/>
  <c r="AW47" i="6"/>
  <c r="AW49" i="6"/>
  <c r="BA49" i="6" s="1"/>
  <c r="AW51" i="6"/>
  <c r="AW53" i="6"/>
  <c r="BA53" i="6" s="1"/>
  <c r="AW55" i="6"/>
  <c r="AW57" i="6"/>
  <c r="BA57" i="6" s="1"/>
  <c r="BD57" i="6" s="1"/>
  <c r="AW59" i="6"/>
  <c r="AW61" i="6"/>
  <c r="BA61" i="6" s="1"/>
  <c r="BD61" i="6" s="1"/>
  <c r="AW63" i="6"/>
  <c r="AW65" i="6"/>
  <c r="BA65" i="6" s="1"/>
  <c r="AW67" i="6"/>
  <c r="AW69" i="6"/>
  <c r="BA69" i="6" s="1"/>
  <c r="AW71" i="6"/>
  <c r="AW73" i="6"/>
  <c r="BA73" i="6" s="1"/>
  <c r="BD73" i="6" s="1"/>
  <c r="AW75" i="6"/>
  <c r="AW77" i="6"/>
  <c r="BA77" i="6" s="1"/>
  <c r="BD77" i="6" s="1"/>
  <c r="AW79" i="6"/>
  <c r="AW81" i="6"/>
  <c r="BA81" i="6" s="1"/>
  <c r="AW83" i="6"/>
  <c r="AW85" i="6"/>
  <c r="BA85" i="6" s="1"/>
  <c r="AW87" i="6"/>
  <c r="AW89" i="6"/>
  <c r="BA89" i="6" s="1"/>
  <c r="BD89" i="6" s="1"/>
  <c r="AW91" i="6"/>
  <c r="AW93" i="6"/>
  <c r="BA93" i="6" s="1"/>
  <c r="BD93" i="6" s="1"/>
  <c r="AW95" i="6"/>
  <c r="AW97" i="6"/>
  <c r="BA97" i="6" s="1"/>
  <c r="AW99" i="6"/>
  <c r="AW101" i="6"/>
  <c r="BA101" i="6" s="1"/>
  <c r="AW103" i="6"/>
  <c r="AW105" i="6"/>
  <c r="BA105" i="6" s="1"/>
  <c r="BD105" i="6" s="1"/>
  <c r="AW107" i="6"/>
  <c r="AW109" i="6"/>
  <c r="BA109" i="6" s="1"/>
  <c r="BD109" i="6" s="1"/>
  <c r="AW111" i="6"/>
  <c r="AW113" i="6"/>
  <c r="BA113" i="6" s="1"/>
  <c r="AW115" i="6"/>
  <c r="AW117" i="6"/>
  <c r="BA117" i="6" s="1"/>
  <c r="AW119" i="6"/>
  <c r="AW121" i="6"/>
  <c r="BA121" i="6" s="1"/>
  <c r="BD121" i="6" s="1"/>
  <c r="AW123" i="6"/>
  <c r="AW125" i="6"/>
  <c r="BA125" i="6" s="1"/>
  <c r="BD125" i="6" s="1"/>
  <c r="AW127" i="6"/>
  <c r="AW129" i="6"/>
  <c r="BA129" i="6" s="1"/>
  <c r="AW131" i="6"/>
  <c r="AM5" i="6"/>
  <c r="AQ5" i="6" s="1"/>
  <c r="AM7" i="6"/>
  <c r="AM9" i="6"/>
  <c r="AQ9" i="6" s="1"/>
  <c r="AT9" i="6" s="1"/>
  <c r="AM11" i="6"/>
  <c r="AM13" i="6"/>
  <c r="AQ13" i="6" s="1"/>
  <c r="AT13" i="6" s="1"/>
  <c r="AM15" i="6"/>
  <c r="AM17" i="6"/>
  <c r="AQ17" i="6" s="1"/>
  <c r="AM19" i="6"/>
  <c r="AM21" i="6"/>
  <c r="AQ21" i="6" s="1"/>
  <c r="AM23" i="6"/>
  <c r="AM25" i="6"/>
  <c r="AQ25" i="6" s="1"/>
  <c r="AT25" i="6" s="1"/>
  <c r="AM27" i="6"/>
  <c r="AM29" i="6"/>
  <c r="AQ29" i="6" s="1"/>
  <c r="AT29" i="6" s="1"/>
  <c r="AM31" i="6"/>
  <c r="AM33" i="6"/>
  <c r="AQ33" i="6" s="1"/>
  <c r="AM35" i="6"/>
  <c r="AM37" i="6"/>
  <c r="AQ37" i="6" s="1"/>
  <c r="AM39" i="6"/>
  <c r="AW6" i="6"/>
  <c r="BA6" i="6" s="1"/>
  <c r="BD6" i="6" s="1"/>
  <c r="AW8" i="6"/>
  <c r="AW10" i="6"/>
  <c r="BA10" i="6" s="1"/>
  <c r="BD10" i="6" s="1"/>
  <c r="AW12" i="6"/>
  <c r="AW14" i="6"/>
  <c r="BA14" i="6" s="1"/>
  <c r="BD14" i="6" s="1"/>
  <c r="AW16" i="6"/>
  <c r="AW18" i="6"/>
  <c r="BA18" i="6" s="1"/>
  <c r="BD18" i="6" s="1"/>
  <c r="AW20" i="6"/>
  <c r="AW22" i="6"/>
  <c r="BA22" i="6" s="1"/>
  <c r="BD22" i="6" s="1"/>
  <c r="AW24" i="6"/>
  <c r="AW26" i="6"/>
  <c r="BA26" i="6" s="1"/>
  <c r="BD26" i="6" s="1"/>
  <c r="AW28" i="6"/>
  <c r="AW30" i="6"/>
  <c r="BA30" i="6" s="1"/>
  <c r="BD30" i="6" s="1"/>
  <c r="AW32" i="6"/>
  <c r="AW34" i="6"/>
  <c r="BA34" i="6" s="1"/>
  <c r="BD34" i="6" s="1"/>
  <c r="AW36" i="6"/>
  <c r="BA36" i="6" s="1"/>
  <c r="BD36" i="6" s="1"/>
  <c r="AW38" i="6"/>
  <c r="BA38" i="6" s="1"/>
  <c r="BD38" i="6" s="1"/>
  <c r="AW40" i="6"/>
  <c r="BA40" i="6" s="1"/>
  <c r="BD40" i="6" s="1"/>
  <c r="AW42" i="6"/>
  <c r="BA42" i="6" s="1"/>
  <c r="BD42" i="6" s="1"/>
  <c r="AW44" i="6"/>
  <c r="AW46" i="6"/>
  <c r="BA46" i="6" s="1"/>
  <c r="BD46" i="6" s="1"/>
  <c r="AW48" i="6"/>
  <c r="BA48" i="6" s="1"/>
  <c r="BD48" i="6" s="1"/>
  <c r="AW50" i="6"/>
  <c r="BA50" i="6" s="1"/>
  <c r="BD50" i="6" s="1"/>
  <c r="AW52" i="6"/>
  <c r="AW54" i="6"/>
  <c r="BA54" i="6" s="1"/>
  <c r="BD54" i="6" s="1"/>
  <c r="AW56" i="6"/>
  <c r="BA56" i="6" s="1"/>
  <c r="BD56" i="6" s="1"/>
  <c r="AW58" i="6"/>
  <c r="BA58" i="6" s="1"/>
  <c r="BD58" i="6" s="1"/>
  <c r="AW60" i="6"/>
  <c r="AW62" i="6"/>
  <c r="BA62" i="6" s="1"/>
  <c r="BD62" i="6" s="1"/>
  <c r="AW64" i="6"/>
  <c r="BA64" i="6" s="1"/>
  <c r="BD64" i="6" s="1"/>
  <c r="AW66" i="6"/>
  <c r="BA66" i="6" s="1"/>
  <c r="BD66" i="6" s="1"/>
  <c r="AW68" i="6"/>
  <c r="AW70" i="6"/>
  <c r="BA70" i="6" s="1"/>
  <c r="BD70" i="6" s="1"/>
  <c r="AW72" i="6"/>
  <c r="BA72" i="6" s="1"/>
  <c r="BD72" i="6" s="1"/>
  <c r="AW74" i="6"/>
  <c r="BA74" i="6" s="1"/>
  <c r="BD74" i="6" s="1"/>
  <c r="AW76" i="6"/>
  <c r="AW78" i="6"/>
  <c r="BA78" i="6" s="1"/>
  <c r="BD78" i="6" s="1"/>
  <c r="AW80" i="6"/>
  <c r="BA80" i="6" s="1"/>
  <c r="BD80" i="6" s="1"/>
  <c r="AW82" i="6"/>
  <c r="BA82" i="6" s="1"/>
  <c r="BD82" i="6" s="1"/>
  <c r="AW84" i="6"/>
  <c r="AW86" i="6"/>
  <c r="BA86" i="6" s="1"/>
  <c r="BD86" i="6" s="1"/>
  <c r="AW88" i="6"/>
  <c r="BA88" i="6" s="1"/>
  <c r="BD88" i="6" s="1"/>
  <c r="AW90" i="6"/>
  <c r="BA90" i="6" s="1"/>
  <c r="BD90" i="6" s="1"/>
  <c r="AW92" i="6"/>
  <c r="AW94" i="6"/>
  <c r="BA94" i="6" s="1"/>
  <c r="BD94" i="6" s="1"/>
  <c r="AW96" i="6"/>
  <c r="BA96" i="6" s="1"/>
  <c r="BD96" i="6" s="1"/>
  <c r="AW98" i="6"/>
  <c r="BA98" i="6" s="1"/>
  <c r="BD98" i="6" s="1"/>
  <c r="AW100" i="6"/>
  <c r="AW102" i="6"/>
  <c r="BA102" i="6" s="1"/>
  <c r="BD102" i="6" s="1"/>
  <c r="AW104" i="6"/>
  <c r="BA104" i="6" s="1"/>
  <c r="BD104" i="6" s="1"/>
  <c r="AW106" i="6"/>
  <c r="BA106" i="6" s="1"/>
  <c r="BD106" i="6" s="1"/>
  <c r="AW108" i="6"/>
  <c r="AW110" i="6"/>
  <c r="BA110" i="6" s="1"/>
  <c r="BD110" i="6" s="1"/>
  <c r="AW112" i="6"/>
  <c r="BA112" i="6" s="1"/>
  <c r="BD112" i="6" s="1"/>
  <c r="AW114" i="6"/>
  <c r="BA114" i="6" s="1"/>
  <c r="BD114" i="6" s="1"/>
  <c r="AW116" i="6"/>
  <c r="AW118" i="6"/>
  <c r="BA118" i="6" s="1"/>
  <c r="BD118" i="6" s="1"/>
  <c r="AW120" i="6"/>
  <c r="BA120" i="6" s="1"/>
  <c r="BD120" i="6" s="1"/>
  <c r="AW122" i="6"/>
  <c r="BA122" i="6" s="1"/>
  <c r="BD122" i="6" s="1"/>
  <c r="AW124" i="6"/>
  <c r="AW126" i="6"/>
  <c r="BA126" i="6" s="1"/>
  <c r="BD126" i="6" s="1"/>
  <c r="AW128" i="6"/>
  <c r="BA128" i="6" s="1"/>
  <c r="BD128" i="6" s="1"/>
  <c r="AW130" i="6"/>
  <c r="BA130" i="6" s="1"/>
  <c r="BD130" i="6" s="1"/>
  <c r="AW132" i="6"/>
  <c r="AM6" i="6"/>
  <c r="AQ6" i="6" s="1"/>
  <c r="AT6" i="6" s="1"/>
  <c r="AM8" i="6"/>
  <c r="AQ8" i="6" s="1"/>
  <c r="AT8" i="6" s="1"/>
  <c r="AM10" i="6"/>
  <c r="AQ10" i="6" s="1"/>
  <c r="AT10" i="6" s="1"/>
  <c r="AM12" i="6"/>
  <c r="AM14" i="6"/>
  <c r="AQ14" i="6" s="1"/>
  <c r="AT14" i="6" s="1"/>
  <c r="AM16" i="6"/>
  <c r="AQ16" i="6" s="1"/>
  <c r="AT16" i="6" s="1"/>
  <c r="AM18" i="6"/>
  <c r="AQ18" i="6" s="1"/>
  <c r="AT18" i="6" s="1"/>
  <c r="AM20" i="6"/>
  <c r="AM22" i="6"/>
  <c r="AQ22" i="6" s="1"/>
  <c r="AT22" i="6" s="1"/>
  <c r="AM24" i="6"/>
  <c r="AQ24" i="6" s="1"/>
  <c r="AT24" i="6" s="1"/>
  <c r="AM26" i="6"/>
  <c r="AQ26" i="6" s="1"/>
  <c r="AT26" i="6" s="1"/>
  <c r="AM28" i="6"/>
  <c r="AM30" i="6"/>
  <c r="AQ30" i="6" s="1"/>
  <c r="AT30" i="6" s="1"/>
  <c r="AM32" i="6"/>
  <c r="AQ32" i="6" s="1"/>
  <c r="AT32" i="6" s="1"/>
  <c r="AM34" i="6"/>
  <c r="AQ34" i="6" s="1"/>
  <c r="AT34" i="6" s="1"/>
  <c r="AM36" i="6"/>
  <c r="AM38" i="6"/>
  <c r="AQ38" i="6" s="1"/>
  <c r="AT38" i="6" s="1"/>
  <c r="AM40" i="6"/>
  <c r="AQ40" i="6" s="1"/>
  <c r="AT40" i="6" s="1"/>
  <c r="AM42" i="6"/>
  <c r="AQ42" i="6" s="1"/>
  <c r="AT42" i="6" s="1"/>
  <c r="AM44" i="6"/>
  <c r="AM46" i="6"/>
  <c r="AQ46" i="6" s="1"/>
  <c r="AT46" i="6" s="1"/>
  <c r="AM41" i="6"/>
  <c r="AM45" i="6"/>
  <c r="AQ45" i="6" s="1"/>
  <c r="AM48" i="6"/>
  <c r="AQ48" i="6" s="1"/>
  <c r="AT48" i="6" s="1"/>
  <c r="AM50" i="6"/>
  <c r="AQ50" i="6" s="1"/>
  <c r="AT50" i="6" s="1"/>
  <c r="AM52" i="6"/>
  <c r="AM54" i="6"/>
  <c r="AQ54" i="6" s="1"/>
  <c r="AT54" i="6" s="1"/>
  <c r="AM56" i="6"/>
  <c r="AQ56" i="6" s="1"/>
  <c r="AT56" i="6" s="1"/>
  <c r="AM58" i="6"/>
  <c r="AQ58" i="6" s="1"/>
  <c r="AT58" i="6" s="1"/>
  <c r="AM60" i="6"/>
  <c r="AM62" i="6"/>
  <c r="AQ62" i="6" s="1"/>
  <c r="AT62" i="6" s="1"/>
  <c r="AM64" i="6"/>
  <c r="AQ64" i="6" s="1"/>
  <c r="AT64" i="6" s="1"/>
  <c r="AM66" i="6"/>
  <c r="AQ66" i="6" s="1"/>
  <c r="AT66" i="6" s="1"/>
  <c r="AM68" i="6"/>
  <c r="AM70" i="6"/>
  <c r="AQ70" i="6" s="1"/>
  <c r="AT70" i="6" s="1"/>
  <c r="AM72" i="6"/>
  <c r="AQ72" i="6" s="1"/>
  <c r="AT72" i="6" s="1"/>
  <c r="AM74" i="6"/>
  <c r="AQ74" i="6" s="1"/>
  <c r="AT74" i="6" s="1"/>
  <c r="AM76" i="6"/>
  <c r="AM78" i="6"/>
  <c r="AQ78" i="6" s="1"/>
  <c r="AT78" i="6" s="1"/>
  <c r="AM80" i="6"/>
  <c r="AQ80" i="6" s="1"/>
  <c r="AT80" i="6" s="1"/>
  <c r="AM82" i="6"/>
  <c r="AQ82" i="6" s="1"/>
  <c r="AT82" i="6" s="1"/>
  <c r="AM84" i="6"/>
  <c r="AM86" i="6"/>
  <c r="AQ86" i="6" s="1"/>
  <c r="AT86" i="6" s="1"/>
  <c r="AM88" i="6"/>
  <c r="AQ88" i="6" s="1"/>
  <c r="AT88" i="6" s="1"/>
  <c r="AM90" i="6"/>
  <c r="AQ90" i="6" s="1"/>
  <c r="AT90" i="6" s="1"/>
  <c r="AM92" i="6"/>
  <c r="AM94" i="6"/>
  <c r="AQ94" i="6" s="1"/>
  <c r="AT94" i="6" s="1"/>
  <c r="AM96" i="6"/>
  <c r="AQ96" i="6" s="1"/>
  <c r="AT96" i="6" s="1"/>
  <c r="AM98" i="6"/>
  <c r="AQ98" i="6" s="1"/>
  <c r="AT98" i="6" s="1"/>
  <c r="AM100" i="6"/>
  <c r="AM102" i="6"/>
  <c r="AQ102" i="6" s="1"/>
  <c r="AT102" i="6" s="1"/>
  <c r="AM104" i="6"/>
  <c r="AQ104" i="6" s="1"/>
  <c r="AT104" i="6" s="1"/>
  <c r="AM106" i="6"/>
  <c r="AQ106" i="6" s="1"/>
  <c r="AT106" i="6" s="1"/>
  <c r="AM108" i="6"/>
  <c r="AM110" i="6"/>
  <c r="AQ110" i="6" s="1"/>
  <c r="AT110" i="6" s="1"/>
  <c r="AM112" i="6"/>
  <c r="AQ112" i="6" s="1"/>
  <c r="AT112" i="6" s="1"/>
  <c r="AM114" i="6"/>
  <c r="AQ114" i="6" s="1"/>
  <c r="AT114" i="6" s="1"/>
  <c r="AM116" i="6"/>
  <c r="AM118" i="6"/>
  <c r="AQ118" i="6" s="1"/>
  <c r="AT118" i="6" s="1"/>
  <c r="AM120" i="6"/>
  <c r="AQ120" i="6" s="1"/>
  <c r="AT120" i="6" s="1"/>
  <c r="AM122" i="6"/>
  <c r="AQ122" i="6" s="1"/>
  <c r="AT122" i="6" s="1"/>
  <c r="AM124" i="6"/>
  <c r="AM126" i="6"/>
  <c r="AQ126" i="6" s="1"/>
  <c r="AT126" i="6" s="1"/>
  <c r="AM128" i="6"/>
  <c r="AQ128" i="6" s="1"/>
  <c r="AT128" i="6" s="1"/>
  <c r="AM130" i="6"/>
  <c r="AQ130" i="6" s="1"/>
  <c r="AT130" i="6" s="1"/>
  <c r="AM132" i="6"/>
  <c r="AC6" i="6"/>
  <c r="AG6" i="6" s="1"/>
  <c r="AC8" i="6"/>
  <c r="AG8" i="6" s="1"/>
  <c r="AJ8" i="6" s="1"/>
  <c r="AC10" i="6"/>
  <c r="AG10" i="6" s="1"/>
  <c r="AC12" i="6"/>
  <c r="AC14" i="6"/>
  <c r="AG14" i="6" s="1"/>
  <c r="AC16" i="6"/>
  <c r="AG16" i="6" s="1"/>
  <c r="AJ16" i="6" s="1"/>
  <c r="AC18" i="6"/>
  <c r="AG18" i="6" s="1"/>
  <c r="AC20" i="6"/>
  <c r="AC22" i="6"/>
  <c r="AG22" i="6" s="1"/>
  <c r="AC24" i="6"/>
  <c r="AG24" i="6" s="1"/>
  <c r="AJ24" i="6" s="1"/>
  <c r="AC26" i="6"/>
  <c r="AG26" i="6" s="1"/>
  <c r="AC28" i="6"/>
  <c r="AC30" i="6"/>
  <c r="AG30" i="6" s="1"/>
  <c r="AC32" i="6"/>
  <c r="AG32" i="6" s="1"/>
  <c r="AJ32" i="6" s="1"/>
  <c r="AC34" i="6"/>
  <c r="AG34" i="6" s="1"/>
  <c r="AC36" i="6"/>
  <c r="AC38" i="6"/>
  <c r="AG38" i="6" s="1"/>
  <c r="AC40" i="6"/>
  <c r="AG40" i="6" s="1"/>
  <c r="AJ40" i="6" s="1"/>
  <c r="AC42" i="6"/>
  <c r="AG42" i="6" s="1"/>
  <c r="AC44" i="6"/>
  <c r="AC46" i="6"/>
  <c r="AG46" i="6" s="1"/>
  <c r="AC48" i="6"/>
  <c r="AG48" i="6" s="1"/>
  <c r="AC50" i="6"/>
  <c r="AG50" i="6" s="1"/>
  <c r="AC52" i="6"/>
  <c r="AG52" i="6" s="1"/>
  <c r="AC54" i="6"/>
  <c r="AG54" i="6" s="1"/>
  <c r="AC56" i="6"/>
  <c r="AG56" i="6" s="1"/>
  <c r="AC58" i="6"/>
  <c r="AG58" i="6" s="1"/>
  <c r="AC60" i="6"/>
  <c r="AG60" i="6" s="1"/>
  <c r="AC62" i="6"/>
  <c r="AG62" i="6" s="1"/>
  <c r="AC64" i="6"/>
  <c r="AG64" i="6" s="1"/>
  <c r="AC66" i="6"/>
  <c r="AG66" i="6" s="1"/>
  <c r="AC68" i="6"/>
  <c r="AG68" i="6" s="1"/>
  <c r="AC70" i="6"/>
  <c r="AG70" i="6" s="1"/>
  <c r="AC72" i="6"/>
  <c r="AG72" i="6" s="1"/>
  <c r="AC74" i="6"/>
  <c r="AG74" i="6" s="1"/>
  <c r="AC76" i="6"/>
  <c r="AG76" i="6" s="1"/>
  <c r="AC78" i="6"/>
  <c r="AG78" i="6" s="1"/>
  <c r="AC80" i="6"/>
  <c r="AG80" i="6" s="1"/>
  <c r="AC82" i="6"/>
  <c r="AG82" i="6" s="1"/>
  <c r="AC84" i="6"/>
  <c r="AG84" i="6" s="1"/>
  <c r="AM43" i="6"/>
  <c r="AQ43" i="6" s="1"/>
  <c r="AT43" i="6" s="1"/>
  <c r="AM47" i="6"/>
  <c r="AQ47" i="6" s="1"/>
  <c r="AT47" i="6" s="1"/>
  <c r="AM49" i="6"/>
  <c r="AQ49" i="6" s="1"/>
  <c r="AM51" i="6"/>
  <c r="AM53" i="6"/>
  <c r="AQ53" i="6" s="1"/>
  <c r="AT53" i="6" s="1"/>
  <c r="AM55" i="6"/>
  <c r="AQ55" i="6" s="1"/>
  <c r="AT55" i="6" s="1"/>
  <c r="AM57" i="6"/>
  <c r="AQ57" i="6" s="1"/>
  <c r="AT57" i="6" s="1"/>
  <c r="AM59" i="6"/>
  <c r="AM61" i="6"/>
  <c r="AQ61" i="6" s="1"/>
  <c r="AM63" i="6"/>
  <c r="AQ63" i="6" s="1"/>
  <c r="AT63" i="6" s="1"/>
  <c r="AM65" i="6"/>
  <c r="AQ65" i="6" s="1"/>
  <c r="AM67" i="6"/>
  <c r="AM69" i="6"/>
  <c r="AQ69" i="6" s="1"/>
  <c r="AT69" i="6" s="1"/>
  <c r="AM71" i="6"/>
  <c r="AQ71" i="6" s="1"/>
  <c r="AT71" i="6" s="1"/>
  <c r="AM73" i="6"/>
  <c r="AQ73" i="6" s="1"/>
  <c r="AT73" i="6" s="1"/>
  <c r="AM75" i="6"/>
  <c r="AM77" i="6"/>
  <c r="AQ77" i="6" s="1"/>
  <c r="AT77" i="6" s="1"/>
  <c r="AM79" i="6"/>
  <c r="AQ79" i="6" s="1"/>
  <c r="AT79" i="6" s="1"/>
  <c r="AM81" i="6"/>
  <c r="AQ81" i="6" s="1"/>
  <c r="AT81" i="6" s="1"/>
  <c r="AM83" i="6"/>
  <c r="AM85" i="6"/>
  <c r="AQ85" i="6" s="1"/>
  <c r="AT85" i="6" s="1"/>
  <c r="AM87" i="6"/>
  <c r="AQ87" i="6" s="1"/>
  <c r="AT87" i="6" s="1"/>
  <c r="AM89" i="6"/>
  <c r="AQ89" i="6" s="1"/>
  <c r="AT89" i="6" s="1"/>
  <c r="AM91" i="6"/>
  <c r="AM93" i="6"/>
  <c r="AQ93" i="6" s="1"/>
  <c r="AT93" i="6" s="1"/>
  <c r="AM95" i="6"/>
  <c r="AQ95" i="6" s="1"/>
  <c r="AT95" i="6" s="1"/>
  <c r="AM97" i="6"/>
  <c r="AQ97" i="6" s="1"/>
  <c r="AT97" i="6" s="1"/>
  <c r="AM99" i="6"/>
  <c r="AM101" i="6"/>
  <c r="AQ101" i="6" s="1"/>
  <c r="AT101" i="6" s="1"/>
  <c r="AM103" i="6"/>
  <c r="AQ103" i="6" s="1"/>
  <c r="AM105" i="6"/>
  <c r="AQ105" i="6" s="1"/>
  <c r="AT105" i="6" s="1"/>
  <c r="AM107" i="6"/>
  <c r="AQ107" i="6" s="1"/>
  <c r="AM109" i="6"/>
  <c r="AQ109" i="6" s="1"/>
  <c r="AT109" i="6" s="1"/>
  <c r="AM111" i="6"/>
  <c r="AQ111" i="6" s="1"/>
  <c r="AM113" i="6"/>
  <c r="AQ113" i="6" s="1"/>
  <c r="AT113" i="6" s="1"/>
  <c r="AM115" i="6"/>
  <c r="AQ115" i="6" s="1"/>
  <c r="AM117" i="6"/>
  <c r="AQ117" i="6" s="1"/>
  <c r="AT117" i="6" s="1"/>
  <c r="AM119" i="6"/>
  <c r="AQ119" i="6" s="1"/>
  <c r="AM121" i="6"/>
  <c r="AQ121" i="6" s="1"/>
  <c r="AT121" i="6" s="1"/>
  <c r="AM123" i="6"/>
  <c r="AQ123" i="6" s="1"/>
  <c r="AM125" i="6"/>
  <c r="AQ125" i="6" s="1"/>
  <c r="AT125" i="6" s="1"/>
  <c r="AM127" i="6"/>
  <c r="AQ127" i="6" s="1"/>
  <c r="AM129" i="6"/>
  <c r="AM131" i="6"/>
  <c r="AQ131" i="6" s="1"/>
  <c r="AC5" i="6"/>
  <c r="AG5" i="6" s="1"/>
  <c r="AC7" i="6"/>
  <c r="AG7" i="6" s="1"/>
  <c r="AJ7" i="6" s="1"/>
  <c r="AC9" i="6"/>
  <c r="AG9" i="6" s="1"/>
  <c r="AC11" i="6"/>
  <c r="AG11" i="6" s="1"/>
  <c r="AJ11" i="6" s="1"/>
  <c r="AC13" i="6"/>
  <c r="AG13" i="6" s="1"/>
  <c r="AC15" i="6"/>
  <c r="AG15" i="6" s="1"/>
  <c r="AJ15" i="6" s="1"/>
  <c r="AC17" i="6"/>
  <c r="AG17" i="6" s="1"/>
  <c r="AJ17" i="6" s="1"/>
  <c r="AC19" i="6"/>
  <c r="AG19" i="6" s="1"/>
  <c r="AC21" i="6"/>
  <c r="AG21" i="6" s="1"/>
  <c r="AC23" i="6"/>
  <c r="AG23" i="6" s="1"/>
  <c r="AC25" i="6"/>
  <c r="AG25" i="6" s="1"/>
  <c r="AC27" i="6"/>
  <c r="AG27" i="6" s="1"/>
  <c r="AC29" i="6"/>
  <c r="AG29" i="6" s="1"/>
  <c r="AC31" i="6"/>
  <c r="AG31" i="6" s="1"/>
  <c r="AC33" i="6"/>
  <c r="AG33" i="6" s="1"/>
  <c r="AJ33" i="6" s="1"/>
  <c r="AC35" i="6"/>
  <c r="AG35" i="6" s="1"/>
  <c r="AJ35" i="6" s="1"/>
  <c r="AC37" i="6"/>
  <c r="AG37" i="6" s="1"/>
  <c r="AJ37" i="6" s="1"/>
  <c r="AC39" i="6"/>
  <c r="AG39" i="6" s="1"/>
  <c r="AC41" i="6"/>
  <c r="AG41" i="6" s="1"/>
  <c r="AJ41" i="6" s="1"/>
  <c r="AC43" i="6"/>
  <c r="AG43" i="6" s="1"/>
  <c r="AJ43" i="6" s="1"/>
  <c r="AC45" i="6"/>
  <c r="AG45" i="6" s="1"/>
  <c r="AJ45" i="6" s="1"/>
  <c r="AC47" i="6"/>
  <c r="AG47" i="6" s="1"/>
  <c r="AC49" i="6"/>
  <c r="AG49" i="6" s="1"/>
  <c r="AJ49" i="6" s="1"/>
  <c r="AC51" i="6"/>
  <c r="AG51" i="6" s="1"/>
  <c r="AJ51" i="6" s="1"/>
  <c r="AC53" i="6"/>
  <c r="AG53" i="6" s="1"/>
  <c r="AJ53" i="6" s="1"/>
  <c r="AC55" i="6"/>
  <c r="AG55" i="6" s="1"/>
  <c r="AC57" i="6"/>
  <c r="AG57" i="6" s="1"/>
  <c r="AJ57" i="6" s="1"/>
  <c r="AC59" i="6"/>
  <c r="AG59" i="6" s="1"/>
  <c r="AJ59" i="6" s="1"/>
  <c r="AC61" i="6"/>
  <c r="AG61" i="6" s="1"/>
  <c r="AJ61" i="6" s="1"/>
  <c r="AC63" i="6"/>
  <c r="AG63" i="6" s="1"/>
  <c r="AC65" i="6"/>
  <c r="AG65" i="6" s="1"/>
  <c r="AJ65" i="6" s="1"/>
  <c r="AC67" i="6"/>
  <c r="AG67" i="6" s="1"/>
  <c r="AJ67" i="6" s="1"/>
  <c r="AC69" i="6"/>
  <c r="AG69" i="6" s="1"/>
  <c r="AJ69" i="6" s="1"/>
  <c r="AC71" i="6"/>
  <c r="AG71" i="6" s="1"/>
  <c r="AC73" i="6"/>
  <c r="AG73" i="6" s="1"/>
  <c r="AJ73" i="6" s="1"/>
  <c r="AC75" i="6"/>
  <c r="AG75" i="6" s="1"/>
  <c r="AJ75" i="6" s="1"/>
  <c r="AC77" i="6"/>
  <c r="AG77" i="6" s="1"/>
  <c r="AJ77" i="6" s="1"/>
  <c r="AC79" i="6"/>
  <c r="AG79" i="6" s="1"/>
  <c r="AC81" i="6"/>
  <c r="AG81" i="6" s="1"/>
  <c r="AJ81" i="6" s="1"/>
  <c r="AC83" i="6"/>
  <c r="AG83" i="6" s="1"/>
  <c r="AJ83" i="6" s="1"/>
  <c r="AC85" i="6"/>
  <c r="AG85" i="6" s="1"/>
  <c r="AJ85" i="6" s="1"/>
  <c r="AC87" i="6"/>
  <c r="AG87" i="6" s="1"/>
  <c r="AC89" i="6"/>
  <c r="AG89" i="6" s="1"/>
  <c r="AJ89" i="6" s="1"/>
  <c r="AC91" i="6"/>
  <c r="AG91" i="6" s="1"/>
  <c r="AJ91" i="6" s="1"/>
  <c r="AC93" i="6"/>
  <c r="AG93" i="6" s="1"/>
  <c r="AJ93" i="6" s="1"/>
  <c r="AC95" i="6"/>
  <c r="AG95" i="6" s="1"/>
  <c r="AC97" i="6"/>
  <c r="AG97" i="6" s="1"/>
  <c r="AJ97" i="6" s="1"/>
  <c r="AC99" i="6"/>
  <c r="AG99" i="6" s="1"/>
  <c r="AC101" i="6"/>
  <c r="AG101" i="6" s="1"/>
  <c r="AJ101" i="6" s="1"/>
  <c r="AC103" i="6"/>
  <c r="AG103" i="6" s="1"/>
  <c r="AC105" i="6"/>
  <c r="AG105" i="6" s="1"/>
  <c r="AJ105" i="6" s="1"/>
  <c r="AC107" i="6"/>
  <c r="AG107" i="6" s="1"/>
  <c r="AC109" i="6"/>
  <c r="AG109" i="6" s="1"/>
  <c r="AJ109" i="6" s="1"/>
  <c r="AC111" i="6"/>
  <c r="AG111" i="6" s="1"/>
  <c r="AC113" i="6"/>
  <c r="AG113" i="6" s="1"/>
  <c r="AJ113" i="6" s="1"/>
  <c r="AC86" i="6"/>
  <c r="AG86" i="6" s="1"/>
  <c r="AC90" i="6"/>
  <c r="AG90" i="6" s="1"/>
  <c r="AC94" i="6"/>
  <c r="AG94" i="6" s="1"/>
  <c r="AC98" i="6"/>
  <c r="AG98" i="6" s="1"/>
  <c r="AC102" i="6"/>
  <c r="AG102" i="6" s="1"/>
  <c r="AC106" i="6"/>
  <c r="AG106" i="6" s="1"/>
  <c r="AC110" i="6"/>
  <c r="AG110" i="6" s="1"/>
  <c r="AC114" i="6"/>
  <c r="AG114" i="6" s="1"/>
  <c r="AC116" i="6"/>
  <c r="AG116" i="6" s="1"/>
  <c r="AC118" i="6"/>
  <c r="AG118" i="6" s="1"/>
  <c r="AC120" i="6"/>
  <c r="AG120" i="6" s="1"/>
  <c r="AC122" i="6"/>
  <c r="AG122" i="6" s="1"/>
  <c r="AC124" i="6"/>
  <c r="AG124" i="6" s="1"/>
  <c r="AC126" i="6"/>
  <c r="AG126" i="6" s="1"/>
  <c r="AC128" i="6"/>
  <c r="AG128" i="6" s="1"/>
  <c r="AC130" i="6"/>
  <c r="AG130" i="6" s="1"/>
  <c r="AC132" i="6"/>
  <c r="AG132" i="6" s="1"/>
  <c r="AC88" i="6"/>
  <c r="AG88" i="6" s="1"/>
  <c r="AC92" i="6"/>
  <c r="AG92" i="6" s="1"/>
  <c r="AC96" i="6"/>
  <c r="AG96" i="6" s="1"/>
  <c r="AC100" i="6"/>
  <c r="AG100" i="6" s="1"/>
  <c r="AC104" i="6"/>
  <c r="AG104" i="6" s="1"/>
  <c r="AC108" i="6"/>
  <c r="AG108" i="6" s="1"/>
  <c r="AC112" i="6"/>
  <c r="AG112" i="6" s="1"/>
  <c r="AC115" i="6"/>
  <c r="AG115" i="6" s="1"/>
  <c r="AC117" i="6"/>
  <c r="AG117" i="6" s="1"/>
  <c r="AJ117" i="6" s="1"/>
  <c r="AC119" i="6"/>
  <c r="AG119" i="6" s="1"/>
  <c r="AC121" i="6"/>
  <c r="AG121" i="6" s="1"/>
  <c r="AJ121" i="6" s="1"/>
  <c r="AC123" i="6"/>
  <c r="AG123" i="6" s="1"/>
  <c r="AC125" i="6"/>
  <c r="AG125" i="6" s="1"/>
  <c r="AJ125" i="6" s="1"/>
  <c r="AC127" i="6"/>
  <c r="AG127" i="6" s="1"/>
  <c r="AC129" i="6"/>
  <c r="AG129" i="6" s="1"/>
  <c r="AJ129" i="6" s="1"/>
  <c r="AC131" i="6"/>
  <c r="AG131" i="6" s="1"/>
  <c r="AQ129" i="6"/>
  <c r="AT129" i="6" s="1"/>
  <c r="AQ99" i="6"/>
  <c r="AT99" i="6" s="1"/>
  <c r="AQ91" i="6"/>
  <c r="AT91" i="6" s="1"/>
  <c r="AQ83" i="6"/>
  <c r="AT83" i="6" s="1"/>
  <c r="AQ75" i="6"/>
  <c r="AT75" i="6" s="1"/>
  <c r="AQ67" i="6"/>
  <c r="AT67" i="6" s="1"/>
  <c r="AQ59" i="6"/>
  <c r="AT59" i="6" s="1"/>
  <c r="AQ51" i="6"/>
  <c r="AT51" i="6" s="1"/>
  <c r="AQ41" i="6"/>
  <c r="AT41" i="6" s="1"/>
  <c r="AQ39" i="6"/>
  <c r="AT39" i="6" s="1"/>
  <c r="AQ35" i="6"/>
  <c r="AT35" i="6" s="1"/>
  <c r="AQ31" i="6"/>
  <c r="AT31" i="6" s="1"/>
  <c r="AQ27" i="6"/>
  <c r="AT27" i="6" s="1"/>
  <c r="AQ23" i="6"/>
  <c r="AT23" i="6" s="1"/>
  <c r="AQ19" i="6"/>
  <c r="AT19" i="6" s="1"/>
  <c r="AQ15" i="6"/>
  <c r="AT15" i="6" s="1"/>
  <c r="AQ11" i="6"/>
  <c r="AT11" i="6" s="1"/>
  <c r="AQ7" i="6"/>
  <c r="AT7" i="6" s="1"/>
  <c r="BA131" i="6"/>
  <c r="BD131" i="6" s="1"/>
  <c r="BA127" i="6"/>
  <c r="BD127" i="6" s="1"/>
  <c r="BA123" i="6"/>
  <c r="BD123" i="6" s="1"/>
  <c r="BA119" i="6"/>
  <c r="BD119" i="6" s="1"/>
  <c r="BA115" i="6"/>
  <c r="BD115" i="6" s="1"/>
  <c r="BA111" i="6"/>
  <c r="BD111" i="6" s="1"/>
  <c r="BA107" i="6"/>
  <c r="BD107" i="6" s="1"/>
  <c r="BA103" i="6"/>
  <c r="BD103" i="6" s="1"/>
  <c r="BA99" i="6"/>
  <c r="BD99" i="6" s="1"/>
  <c r="BA95" i="6"/>
  <c r="BD95" i="6" s="1"/>
  <c r="BA91" i="6"/>
  <c r="BD91" i="6" s="1"/>
  <c r="BA87" i="6"/>
  <c r="BD87" i="6" s="1"/>
  <c r="BA83" i="6"/>
  <c r="BD83" i="6" s="1"/>
  <c r="BA79" i="6"/>
  <c r="BD79" i="6" s="1"/>
  <c r="BA75" i="6"/>
  <c r="BD75" i="6" s="1"/>
  <c r="BA71" i="6"/>
  <c r="BD71" i="6" s="1"/>
  <c r="BA67" i="6"/>
  <c r="BD67" i="6" s="1"/>
  <c r="BA63" i="6"/>
  <c r="BD63" i="6" s="1"/>
  <c r="BA59" i="6"/>
  <c r="BD59" i="6" s="1"/>
  <c r="BA55" i="6"/>
  <c r="BD55" i="6" s="1"/>
  <c r="BA51" i="6"/>
  <c r="BD51" i="6" s="1"/>
  <c r="BA47" i="6"/>
  <c r="BD47" i="6" s="1"/>
  <c r="BA43" i="6"/>
  <c r="BD43" i="6" s="1"/>
  <c r="BA39" i="6"/>
  <c r="BD39" i="6" s="1"/>
  <c r="BA35" i="6"/>
  <c r="BD35" i="6" s="1"/>
  <c r="BA31" i="6"/>
  <c r="BD31" i="6" s="1"/>
  <c r="BA27" i="6"/>
  <c r="BD27" i="6" s="1"/>
  <c r="BA23" i="6"/>
  <c r="BD23" i="6" s="1"/>
  <c r="BA19" i="6"/>
  <c r="BD19" i="6" s="1"/>
  <c r="BA15" i="6"/>
  <c r="BD15" i="6" s="1"/>
  <c r="BA11" i="6"/>
  <c r="BD11" i="6" s="1"/>
  <c r="BA7" i="6"/>
  <c r="BD7" i="6" s="1"/>
  <c r="AG44" i="6"/>
  <c r="AJ44" i="6" s="1"/>
  <c r="AG36" i="6"/>
  <c r="AJ36" i="6" s="1"/>
  <c r="AG28" i="6"/>
  <c r="AJ28" i="6" s="1"/>
  <c r="AG20" i="6"/>
  <c r="AJ20" i="6" s="1"/>
  <c r="AG12" i="6"/>
  <c r="AJ12" i="6" s="1"/>
  <c r="AQ132" i="6"/>
  <c r="AQ124" i="6"/>
  <c r="AT124" i="6" s="1"/>
  <c r="AQ116" i="6"/>
  <c r="AQ108" i="6"/>
  <c r="AT108" i="6" s="1"/>
  <c r="AQ100" i="6"/>
  <c r="AQ92" i="6"/>
  <c r="AT92" i="6" s="1"/>
  <c r="AQ84" i="6"/>
  <c r="AQ76" i="6"/>
  <c r="AT76" i="6" s="1"/>
  <c r="AQ68" i="6"/>
  <c r="AQ60" i="6"/>
  <c r="AT60" i="6" s="1"/>
  <c r="AQ52" i="6"/>
  <c r="AQ44" i="6"/>
  <c r="AT44" i="6" s="1"/>
  <c r="AQ36" i="6"/>
  <c r="AQ28" i="6"/>
  <c r="AT28" i="6" s="1"/>
  <c r="AQ20" i="6"/>
  <c r="AQ12" i="6"/>
  <c r="AT12" i="6" s="1"/>
  <c r="BA132" i="6"/>
  <c r="BA124" i="6"/>
  <c r="BD124" i="6" s="1"/>
  <c r="BA116" i="6"/>
  <c r="BA108" i="6"/>
  <c r="BD108" i="6" s="1"/>
  <c r="BA100" i="6"/>
  <c r="BA92" i="6"/>
  <c r="BD92" i="6" s="1"/>
  <c r="BA84" i="6"/>
  <c r="BA76" i="6"/>
  <c r="BD76" i="6" s="1"/>
  <c r="BA68" i="6"/>
  <c r="BA60" i="6"/>
  <c r="BD60" i="6" s="1"/>
  <c r="BA52" i="6"/>
  <c r="BA44" i="6"/>
  <c r="BD44" i="6" s="1"/>
  <c r="BA32" i="6"/>
  <c r="BD32" i="6" s="1"/>
  <c r="BA28" i="6"/>
  <c r="BD28" i="6" s="1"/>
  <c r="BA24" i="6"/>
  <c r="BD24" i="6" s="1"/>
  <c r="BA20" i="6"/>
  <c r="BA16" i="6"/>
  <c r="BD16" i="6" s="1"/>
  <c r="BA12" i="6"/>
  <c r="BD12" i="6" s="1"/>
  <c r="BA8" i="6"/>
  <c r="BD8" i="6" s="1"/>
  <c r="AT132" i="6"/>
  <c r="AT116" i="6"/>
  <c r="AT100" i="6"/>
  <c r="AT84" i="6"/>
  <c r="AT65" i="6"/>
  <c r="AT61" i="6"/>
  <c r="AT49" i="6"/>
  <c r="AT45" i="6"/>
  <c r="AT37" i="6"/>
  <c r="AT33" i="6"/>
  <c r="AT21" i="6"/>
  <c r="AT17" i="6"/>
  <c r="AT5" i="6"/>
  <c r="BD129" i="6"/>
  <c r="BD117" i="6"/>
  <c r="BD113" i="6"/>
  <c r="BD101" i="6"/>
  <c r="BD97" i="6"/>
  <c r="BD85" i="6"/>
  <c r="BD81" i="6"/>
  <c r="BD69" i="6"/>
  <c r="BD65" i="6"/>
  <c r="BD53" i="6"/>
  <c r="BD49" i="6"/>
  <c r="BD37" i="6"/>
  <c r="BD33" i="6"/>
  <c r="BD21" i="6"/>
  <c r="BD17" i="6"/>
  <c r="BD5" i="6"/>
  <c r="AT68" i="6"/>
  <c r="AT52" i="6"/>
  <c r="AT36" i="6"/>
  <c r="AT20" i="6"/>
  <c r="BD132" i="6"/>
  <c r="BD116" i="6"/>
  <c r="BD100" i="6"/>
  <c r="BD84" i="6"/>
  <c r="BD68" i="6"/>
  <c r="BD52" i="6"/>
  <c r="BD20" i="6"/>
  <c r="AJ46" i="6"/>
  <c r="AJ42" i="6"/>
  <c r="AJ38" i="6"/>
  <c r="AJ34" i="6"/>
  <c r="AJ30" i="6"/>
  <c r="AJ26" i="6"/>
  <c r="AJ22" i="6"/>
  <c r="AJ18" i="6"/>
  <c r="AJ14" i="6"/>
  <c r="AJ10" i="6"/>
  <c r="AJ6" i="6"/>
  <c r="AJ87" i="6"/>
  <c r="AJ79" i="6"/>
  <c r="AJ71" i="6"/>
  <c r="AJ63" i="6"/>
  <c r="AJ55" i="6"/>
  <c r="AJ47" i="6"/>
  <c r="AJ39" i="6"/>
  <c r="AJ31" i="6"/>
  <c r="AJ29" i="6"/>
  <c r="AJ27" i="6"/>
  <c r="AJ25" i="6"/>
  <c r="AJ23" i="6"/>
  <c r="AJ21" i="6"/>
  <c r="AJ19" i="6"/>
  <c r="AJ13" i="6"/>
  <c r="AJ9" i="6"/>
  <c r="AJ5" i="6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B2" i="7"/>
  <c r="B6" i="7"/>
  <c r="B10" i="7"/>
  <c r="B14" i="7"/>
  <c r="B5" i="7"/>
  <c r="B9" i="7"/>
  <c r="B17" i="7"/>
  <c r="B4" i="7"/>
  <c r="B8" i="7"/>
  <c r="B12" i="7"/>
  <c r="B16" i="7"/>
  <c r="B7" i="7"/>
  <c r="B11" i="7"/>
  <c r="B15" i="7"/>
  <c r="B3" i="7"/>
  <c r="B13" i="7"/>
  <c r="BK5" i="6"/>
  <c r="BK9" i="6"/>
  <c r="BK13" i="6"/>
  <c r="BK17" i="6"/>
  <c r="BK21" i="6"/>
  <c r="BK25" i="6"/>
  <c r="BK29" i="6"/>
  <c r="BK33" i="6"/>
  <c r="BK37" i="6"/>
  <c r="BK41" i="6"/>
  <c r="BK45" i="6"/>
  <c r="BK49" i="6"/>
  <c r="BK53" i="6"/>
  <c r="BK57" i="6"/>
  <c r="BK61" i="6"/>
  <c r="BK65" i="6"/>
  <c r="BK69" i="6"/>
  <c r="BK73" i="6"/>
  <c r="BK77" i="6"/>
  <c r="BK81" i="6"/>
  <c r="BK85" i="6"/>
  <c r="BK89" i="6"/>
  <c r="BK93" i="6"/>
  <c r="BK97" i="6"/>
  <c r="BK101" i="6"/>
  <c r="BK105" i="6"/>
  <c r="BK109" i="6"/>
  <c r="BK113" i="6"/>
  <c r="BK117" i="6"/>
  <c r="BK121" i="6"/>
  <c r="BK125" i="6"/>
  <c r="BK129" i="6"/>
  <c r="BK6" i="6"/>
  <c r="BK10" i="6"/>
  <c r="BK14" i="6"/>
  <c r="BK18" i="6"/>
  <c r="BK22" i="6"/>
  <c r="BK26" i="6"/>
  <c r="BK30" i="6"/>
  <c r="BK34" i="6"/>
  <c r="BK38" i="6"/>
  <c r="BK42" i="6"/>
  <c r="BK46" i="6"/>
  <c r="BK50" i="6"/>
  <c r="BK54" i="6"/>
  <c r="BK58" i="6"/>
  <c r="BK62" i="6"/>
  <c r="BK66" i="6"/>
  <c r="BK70" i="6"/>
  <c r="BK74" i="6"/>
  <c r="BK78" i="6"/>
  <c r="BK82" i="6"/>
  <c r="BK86" i="6"/>
  <c r="BK90" i="6"/>
  <c r="BK94" i="6"/>
  <c r="BK98" i="6"/>
  <c r="BK102" i="6"/>
  <c r="BK106" i="6"/>
  <c r="BK110" i="6"/>
  <c r="BK114" i="6"/>
  <c r="BK118" i="6"/>
  <c r="BK122" i="6"/>
  <c r="BK126" i="6"/>
  <c r="BK7" i="6"/>
  <c r="BK11" i="6"/>
  <c r="BK15" i="6"/>
  <c r="BK19" i="6"/>
  <c r="BK23" i="6"/>
  <c r="BK27" i="6"/>
  <c r="BK31" i="6"/>
  <c r="BK35" i="6"/>
  <c r="BK39" i="6"/>
  <c r="BK43" i="6"/>
  <c r="BK47" i="6"/>
  <c r="BK51" i="6"/>
  <c r="BK55" i="6"/>
  <c r="BK59" i="6"/>
  <c r="BK63" i="6"/>
  <c r="BK67" i="6"/>
  <c r="BK71" i="6"/>
  <c r="BK75" i="6"/>
  <c r="BK79" i="6"/>
  <c r="BK83" i="6"/>
  <c r="BK87" i="6"/>
  <c r="BK91" i="6"/>
  <c r="BK95" i="6"/>
  <c r="BK99" i="6"/>
  <c r="BK103" i="6"/>
  <c r="BK107" i="6"/>
  <c r="BK111" i="6"/>
  <c r="BK115" i="6"/>
  <c r="BK119" i="6"/>
  <c r="BK123" i="6"/>
  <c r="BK127" i="6"/>
  <c r="BK131" i="6"/>
  <c r="BK8" i="6"/>
  <c r="BK12" i="6"/>
  <c r="BK16" i="6"/>
  <c r="BK20" i="6"/>
  <c r="BK24" i="6"/>
  <c r="BK28" i="6"/>
  <c r="BK32" i="6"/>
  <c r="BK36" i="6"/>
  <c r="BK40" i="6"/>
  <c r="BK44" i="6"/>
  <c r="BK48" i="6"/>
  <c r="BK52" i="6"/>
  <c r="BK56" i="6"/>
  <c r="BK60" i="6"/>
  <c r="BK64" i="6"/>
  <c r="BK68" i="6"/>
  <c r="BK72" i="6"/>
  <c r="BK76" i="6"/>
  <c r="BK80" i="6"/>
  <c r="BK84" i="6"/>
  <c r="BK88" i="6"/>
  <c r="BK92" i="6"/>
  <c r="BK96" i="6"/>
  <c r="BK100" i="6"/>
  <c r="BK104" i="6"/>
  <c r="BK108" i="6"/>
  <c r="BK112" i="6"/>
  <c r="BK116" i="6"/>
  <c r="BK120" i="6"/>
  <c r="BK124" i="6"/>
  <c r="BK128" i="6"/>
  <c r="BK132" i="6"/>
  <c r="BJ7" i="6"/>
  <c r="BJ11" i="6"/>
  <c r="BJ15" i="6"/>
  <c r="BJ19" i="6"/>
  <c r="BJ23" i="6"/>
  <c r="BJ27" i="6"/>
  <c r="BJ31" i="6"/>
  <c r="BJ35" i="6"/>
  <c r="BJ39" i="6"/>
  <c r="BJ43" i="6"/>
  <c r="BJ47" i="6"/>
  <c r="BJ51" i="6"/>
  <c r="BJ55" i="6"/>
  <c r="BJ59" i="6"/>
  <c r="BJ63" i="6"/>
  <c r="BJ67" i="6"/>
  <c r="BJ71" i="6"/>
  <c r="BJ75" i="6"/>
  <c r="BJ79" i="6"/>
  <c r="BJ83" i="6"/>
  <c r="BJ87" i="6"/>
  <c r="BJ91" i="6"/>
  <c r="BJ95" i="6"/>
  <c r="BJ99" i="6"/>
  <c r="BJ103" i="6"/>
  <c r="BJ107" i="6"/>
  <c r="BJ111" i="6"/>
  <c r="BJ115" i="6"/>
  <c r="BJ119" i="6"/>
  <c r="BJ123" i="6"/>
  <c r="BJ127" i="6"/>
  <c r="BJ131" i="6"/>
  <c r="BJ8" i="6"/>
  <c r="BJ12" i="6"/>
  <c r="BJ16" i="6"/>
  <c r="BJ20" i="6"/>
  <c r="BJ24" i="6"/>
  <c r="BJ28" i="6"/>
  <c r="BJ32" i="6"/>
  <c r="BJ36" i="6"/>
  <c r="BJ40" i="6"/>
  <c r="BJ44" i="6"/>
  <c r="BJ48" i="6"/>
  <c r="BJ52" i="6"/>
  <c r="BJ56" i="6"/>
  <c r="BJ60" i="6"/>
  <c r="BJ64" i="6"/>
  <c r="BJ68" i="6"/>
  <c r="BJ72" i="6"/>
  <c r="BJ76" i="6"/>
  <c r="BJ80" i="6"/>
  <c r="BJ84" i="6"/>
  <c r="BJ88" i="6"/>
  <c r="BK130" i="6"/>
  <c r="BJ9" i="6"/>
  <c r="BJ17" i="6"/>
  <c r="BJ25" i="6"/>
  <c r="BJ33" i="6"/>
  <c r="BJ41" i="6"/>
  <c r="BJ49" i="6"/>
  <c r="BJ57" i="6"/>
  <c r="BJ65" i="6"/>
  <c r="BJ73" i="6"/>
  <c r="BJ81" i="6"/>
  <c r="BJ89" i="6"/>
  <c r="BJ97" i="6"/>
  <c r="BJ105" i="6"/>
  <c r="BJ113" i="6"/>
  <c r="BJ121" i="6"/>
  <c r="BJ129" i="6"/>
  <c r="BJ10" i="6"/>
  <c r="BJ18" i="6"/>
  <c r="BJ26" i="6"/>
  <c r="BJ34" i="6"/>
  <c r="BJ42" i="6"/>
  <c r="BJ50" i="6"/>
  <c r="BJ58" i="6"/>
  <c r="BJ66" i="6"/>
  <c r="BJ74" i="6"/>
  <c r="BJ82" i="6"/>
  <c r="BJ90" i="6"/>
  <c r="BJ94" i="6"/>
  <c r="BJ98" i="6"/>
  <c r="BJ102" i="6"/>
  <c r="BJ106" i="6"/>
  <c r="BJ110" i="6"/>
  <c r="BJ114" i="6"/>
  <c r="BJ118" i="6"/>
  <c r="BJ122" i="6"/>
  <c r="BJ126" i="6"/>
  <c r="BJ130" i="6"/>
  <c r="BI5" i="6"/>
  <c r="BI9" i="6"/>
  <c r="BI13" i="6"/>
  <c r="BI17" i="6"/>
  <c r="BI21" i="6"/>
  <c r="BI25" i="6"/>
  <c r="BI29" i="6"/>
  <c r="BI33" i="6"/>
  <c r="BI37" i="6"/>
  <c r="BI41" i="6"/>
  <c r="BI45" i="6"/>
  <c r="BI49" i="6"/>
  <c r="BI53" i="6"/>
  <c r="BI57" i="6"/>
  <c r="BI61" i="6"/>
  <c r="BI65" i="6"/>
  <c r="BI69" i="6"/>
  <c r="BI73" i="6"/>
  <c r="BI77" i="6"/>
  <c r="BI81" i="6"/>
  <c r="BI85" i="6"/>
  <c r="BI89" i="6"/>
  <c r="BI93" i="6"/>
  <c r="BI97" i="6"/>
  <c r="BI101" i="6"/>
  <c r="BI105" i="6"/>
  <c r="BI109" i="6"/>
  <c r="BI113" i="6"/>
  <c r="BI117" i="6"/>
  <c r="BI121" i="6"/>
  <c r="BI125" i="6"/>
  <c r="BI129" i="6"/>
  <c r="BI6" i="6"/>
  <c r="BI10" i="6"/>
  <c r="BI14" i="6"/>
  <c r="BI18" i="6"/>
  <c r="BI22" i="6"/>
  <c r="BI26" i="6"/>
  <c r="BI30" i="6"/>
  <c r="BI34" i="6"/>
  <c r="BI38" i="6"/>
  <c r="BI42" i="6"/>
  <c r="BI46" i="6"/>
  <c r="BI50" i="6"/>
  <c r="BI54" i="6"/>
  <c r="BI58" i="6"/>
  <c r="BI62" i="6"/>
  <c r="BI66" i="6"/>
  <c r="BI70" i="6"/>
  <c r="BI74" i="6"/>
  <c r="BI78" i="6"/>
  <c r="BI82" i="6"/>
  <c r="BI86" i="6"/>
  <c r="BI90" i="6"/>
  <c r="BI94" i="6"/>
  <c r="BI98" i="6"/>
  <c r="BI102" i="6"/>
  <c r="BI106" i="6"/>
  <c r="BI110" i="6"/>
  <c r="BI114" i="6"/>
  <c r="BI118" i="6"/>
  <c r="BI122" i="6"/>
  <c r="BI126" i="6"/>
  <c r="BI130" i="6"/>
  <c r="BH5" i="6"/>
  <c r="BH9" i="6"/>
  <c r="BH13" i="6"/>
  <c r="BH17" i="6"/>
  <c r="BH21" i="6"/>
  <c r="BH25" i="6"/>
  <c r="BH29" i="6"/>
  <c r="BH33" i="6"/>
  <c r="BH37" i="6"/>
  <c r="BH41" i="6"/>
  <c r="BH45" i="6"/>
  <c r="BH49" i="6"/>
  <c r="BH53" i="6"/>
  <c r="BH57" i="6"/>
  <c r="BH61" i="6"/>
  <c r="BH65" i="6"/>
  <c r="BH69" i="6"/>
  <c r="BH73" i="6"/>
  <c r="BH77" i="6"/>
  <c r="BH81" i="6"/>
  <c r="BH85" i="6"/>
  <c r="BH89" i="6"/>
  <c r="BH93" i="6"/>
  <c r="BH97" i="6"/>
  <c r="BH101" i="6"/>
  <c r="BH105" i="6"/>
  <c r="BH109" i="6"/>
  <c r="BH113" i="6"/>
  <c r="BH117" i="6"/>
  <c r="BH121" i="6"/>
  <c r="BH125" i="6"/>
  <c r="BH129" i="6"/>
  <c r="BH6" i="6"/>
  <c r="BH10" i="6"/>
  <c r="BH14" i="6"/>
  <c r="BH18" i="6"/>
  <c r="BH22" i="6"/>
  <c r="BH26" i="6"/>
  <c r="BH30" i="6"/>
  <c r="BH34" i="6"/>
  <c r="BH38" i="6"/>
  <c r="BH42" i="6"/>
  <c r="BH46" i="6"/>
  <c r="BH50" i="6"/>
  <c r="BH54" i="6"/>
  <c r="BH58" i="6"/>
  <c r="BH62" i="6"/>
  <c r="BH66" i="6"/>
  <c r="BH70" i="6"/>
  <c r="BH74" i="6"/>
  <c r="BH78" i="6"/>
  <c r="BH82" i="6"/>
  <c r="BH86" i="6"/>
  <c r="BH90" i="6"/>
  <c r="BH94" i="6"/>
  <c r="BH98" i="6"/>
  <c r="BH102" i="6"/>
  <c r="BH106" i="6"/>
  <c r="BH110" i="6"/>
  <c r="BH114" i="6"/>
  <c r="BH118" i="6"/>
  <c r="BH122" i="6"/>
  <c r="BH126" i="6"/>
  <c r="BH130" i="6"/>
  <c r="BG5" i="6"/>
  <c r="BG9" i="6"/>
  <c r="BG13" i="6"/>
  <c r="BG17" i="6"/>
  <c r="BG21" i="6"/>
  <c r="BG25" i="6"/>
  <c r="BG29" i="6"/>
  <c r="BG33" i="6"/>
  <c r="BG37" i="6"/>
  <c r="BG41" i="6"/>
  <c r="BG45" i="6"/>
  <c r="BG49" i="6"/>
  <c r="BG53" i="6"/>
  <c r="BG57" i="6"/>
  <c r="BG61" i="6"/>
  <c r="BG65" i="6"/>
  <c r="BG69" i="6"/>
  <c r="BG73" i="6"/>
  <c r="BG77" i="6"/>
  <c r="BG81" i="6"/>
  <c r="BG85" i="6"/>
  <c r="BG89" i="6"/>
  <c r="BG93" i="6"/>
  <c r="BG97" i="6"/>
  <c r="BG101" i="6"/>
  <c r="BG105" i="6"/>
  <c r="BG109" i="6"/>
  <c r="BG113" i="6"/>
  <c r="BG117" i="6"/>
  <c r="BG121" i="6"/>
  <c r="BG125" i="6"/>
  <c r="BG129" i="6"/>
  <c r="BG6" i="6"/>
  <c r="BG10" i="6"/>
  <c r="BG14" i="6"/>
  <c r="BG18" i="6"/>
  <c r="BG22" i="6"/>
  <c r="BG26" i="6"/>
  <c r="BG30" i="6"/>
  <c r="BG34" i="6"/>
  <c r="BG38" i="6"/>
  <c r="BG42" i="6"/>
  <c r="BG46" i="6"/>
  <c r="BG50" i="6"/>
  <c r="BG54" i="6"/>
  <c r="BG58" i="6"/>
  <c r="BG62" i="6"/>
  <c r="BG66" i="6"/>
  <c r="BG70" i="6"/>
  <c r="BG74" i="6"/>
  <c r="BG78" i="6"/>
  <c r="BG82" i="6"/>
  <c r="BG86" i="6"/>
  <c r="BG90" i="6"/>
  <c r="BG94" i="6"/>
  <c r="BG98" i="6"/>
  <c r="BG102" i="6"/>
  <c r="BG106" i="6"/>
  <c r="BG110" i="6"/>
  <c r="BG114" i="6"/>
  <c r="BG118" i="6"/>
  <c r="BG122" i="6"/>
  <c r="BG126" i="6"/>
  <c r="BG130" i="6"/>
  <c r="BF5" i="6"/>
  <c r="BF9" i="6"/>
  <c r="BF13" i="6"/>
  <c r="BF17" i="6"/>
  <c r="BF21" i="6"/>
  <c r="BF25" i="6"/>
  <c r="BF29" i="6"/>
  <c r="BF33" i="6"/>
  <c r="BF37" i="6"/>
  <c r="BF41" i="6"/>
  <c r="BF45" i="6"/>
  <c r="BF49" i="6"/>
  <c r="BF53" i="6"/>
  <c r="BF57" i="6"/>
  <c r="BF61" i="6"/>
  <c r="BJ5" i="6"/>
  <c r="BJ13" i="6"/>
  <c r="BJ21" i="6"/>
  <c r="BJ29" i="6"/>
  <c r="BJ37" i="6"/>
  <c r="BJ45" i="6"/>
  <c r="BJ53" i="6"/>
  <c r="BJ61" i="6"/>
  <c r="BJ69" i="6"/>
  <c r="BJ77" i="6"/>
  <c r="BJ85" i="6"/>
  <c r="BJ93" i="6"/>
  <c r="BJ101" i="6"/>
  <c r="BJ109" i="6"/>
  <c r="BJ117" i="6"/>
  <c r="BJ125" i="6"/>
  <c r="BJ6" i="6"/>
  <c r="BJ14" i="6"/>
  <c r="BJ22" i="6"/>
  <c r="BJ30" i="6"/>
  <c r="BJ38" i="6"/>
  <c r="BJ46" i="6"/>
  <c r="BJ54" i="6"/>
  <c r="BJ62" i="6"/>
  <c r="BJ70" i="6"/>
  <c r="BJ78" i="6"/>
  <c r="BJ86" i="6"/>
  <c r="BJ92" i="6"/>
  <c r="BJ96" i="6"/>
  <c r="BJ100" i="6"/>
  <c r="BJ104" i="6"/>
  <c r="BJ108" i="6"/>
  <c r="BJ112" i="6"/>
  <c r="BJ116" i="6"/>
  <c r="BJ120" i="6"/>
  <c r="BJ124" i="6"/>
  <c r="BJ128" i="6"/>
  <c r="BJ132" i="6"/>
  <c r="BI7" i="6"/>
  <c r="BI11" i="6"/>
  <c r="BI15" i="6"/>
  <c r="BI19" i="6"/>
  <c r="BI23" i="6"/>
  <c r="BI27" i="6"/>
  <c r="BI31" i="6"/>
  <c r="BI35" i="6"/>
  <c r="BI39" i="6"/>
  <c r="BI43" i="6"/>
  <c r="BI47" i="6"/>
  <c r="BI51" i="6"/>
  <c r="BI55" i="6"/>
  <c r="BI59" i="6"/>
  <c r="BI63" i="6"/>
  <c r="BI67" i="6"/>
  <c r="BI71" i="6"/>
  <c r="BI75" i="6"/>
  <c r="BI79" i="6"/>
  <c r="BI83" i="6"/>
  <c r="BI87" i="6"/>
  <c r="BI91" i="6"/>
  <c r="BI95" i="6"/>
  <c r="BI99" i="6"/>
  <c r="BI103" i="6"/>
  <c r="BI107" i="6"/>
  <c r="BI111" i="6"/>
  <c r="BI115" i="6"/>
  <c r="BI119" i="6"/>
  <c r="BI123" i="6"/>
  <c r="BI127" i="6"/>
  <c r="BI131" i="6"/>
  <c r="BI8" i="6"/>
  <c r="BI12" i="6"/>
  <c r="BI16" i="6"/>
  <c r="BI20" i="6"/>
  <c r="BI24" i="6"/>
  <c r="BI28" i="6"/>
  <c r="BI32" i="6"/>
  <c r="BI36" i="6"/>
  <c r="BI40" i="6"/>
  <c r="BI44" i="6"/>
  <c r="BI48" i="6"/>
  <c r="BI52" i="6"/>
  <c r="BI56" i="6"/>
  <c r="BI60" i="6"/>
  <c r="BI64" i="6"/>
  <c r="BI68" i="6"/>
  <c r="BI72" i="6"/>
  <c r="BI76" i="6"/>
  <c r="BI80" i="6"/>
  <c r="BI84" i="6"/>
  <c r="BI88" i="6"/>
  <c r="BI92" i="6"/>
  <c r="BI96" i="6"/>
  <c r="BI100" i="6"/>
  <c r="BI104" i="6"/>
  <c r="BI108" i="6"/>
  <c r="BI112" i="6"/>
  <c r="BI116" i="6"/>
  <c r="BI120" i="6"/>
  <c r="BI124" i="6"/>
  <c r="BI128" i="6"/>
  <c r="BI132" i="6"/>
  <c r="BH7" i="6"/>
  <c r="BH11" i="6"/>
  <c r="BH15" i="6"/>
  <c r="BH19" i="6"/>
  <c r="BH23" i="6"/>
  <c r="BH27" i="6"/>
  <c r="BH31" i="6"/>
  <c r="BH35" i="6"/>
  <c r="BH39" i="6"/>
  <c r="BH43" i="6"/>
  <c r="BH47" i="6"/>
  <c r="BH51" i="6"/>
  <c r="BH55" i="6"/>
  <c r="BH59" i="6"/>
  <c r="BH63" i="6"/>
  <c r="BH67" i="6"/>
  <c r="BH71" i="6"/>
  <c r="BH75" i="6"/>
  <c r="BH79" i="6"/>
  <c r="BH83" i="6"/>
  <c r="BH87" i="6"/>
  <c r="BH91" i="6"/>
  <c r="BH95" i="6"/>
  <c r="BH99" i="6"/>
  <c r="BH103" i="6"/>
  <c r="BH107" i="6"/>
  <c r="BH111" i="6"/>
  <c r="BH115" i="6"/>
  <c r="BH119" i="6"/>
  <c r="BH123" i="6"/>
  <c r="BH127" i="6"/>
  <c r="BH131" i="6"/>
  <c r="BH8" i="6"/>
  <c r="BH12" i="6"/>
  <c r="BH16" i="6"/>
  <c r="BH20" i="6"/>
  <c r="BH24" i="6"/>
  <c r="BH28" i="6"/>
  <c r="BH32" i="6"/>
  <c r="BH36" i="6"/>
  <c r="BH40" i="6"/>
  <c r="BH44" i="6"/>
  <c r="BH48" i="6"/>
  <c r="BH52" i="6"/>
  <c r="BH56" i="6"/>
  <c r="BH60" i="6"/>
  <c r="BH64" i="6"/>
  <c r="BH68" i="6"/>
  <c r="BH72" i="6"/>
  <c r="BH76" i="6"/>
  <c r="BH80" i="6"/>
  <c r="BH84" i="6"/>
  <c r="BH88" i="6"/>
  <c r="BH92" i="6"/>
  <c r="BH96" i="6"/>
  <c r="BH100" i="6"/>
  <c r="BH104" i="6"/>
  <c r="BH108" i="6"/>
  <c r="BH112" i="6"/>
  <c r="BH116" i="6"/>
  <c r="BH120" i="6"/>
  <c r="BH124" i="6"/>
  <c r="BH128" i="6"/>
  <c r="BH132" i="6"/>
  <c r="BG7" i="6"/>
  <c r="BG11" i="6"/>
  <c r="BG15" i="6"/>
  <c r="BG19" i="6"/>
  <c r="BG23" i="6"/>
  <c r="BG27" i="6"/>
  <c r="BG31" i="6"/>
  <c r="BG35" i="6"/>
  <c r="BG39" i="6"/>
  <c r="BG43" i="6"/>
  <c r="BG47" i="6"/>
  <c r="BG51" i="6"/>
  <c r="BG55" i="6"/>
  <c r="BG59" i="6"/>
  <c r="BG63" i="6"/>
  <c r="BG67" i="6"/>
  <c r="BG71" i="6"/>
  <c r="BG75" i="6"/>
  <c r="BG79" i="6"/>
  <c r="BG83" i="6"/>
  <c r="BG87" i="6"/>
  <c r="BG91" i="6"/>
  <c r="BG95" i="6"/>
  <c r="BG99" i="6"/>
  <c r="BG103" i="6"/>
  <c r="BG107" i="6"/>
  <c r="BG111" i="6"/>
  <c r="BG115" i="6"/>
  <c r="BG119" i="6"/>
  <c r="BG123" i="6"/>
  <c r="BG127" i="6"/>
  <c r="BG131" i="6"/>
  <c r="BG8" i="6"/>
  <c r="BG12" i="6"/>
  <c r="BG16" i="6"/>
  <c r="BG20" i="6"/>
  <c r="BG24" i="6"/>
  <c r="BG28" i="6"/>
  <c r="BG32" i="6"/>
  <c r="BG36" i="6"/>
  <c r="BG40" i="6"/>
  <c r="BG44" i="6"/>
  <c r="BG48" i="6"/>
  <c r="BG52" i="6"/>
  <c r="BG56" i="6"/>
  <c r="BG60" i="6"/>
  <c r="BG64" i="6"/>
  <c r="BG68" i="6"/>
  <c r="BG72" i="6"/>
  <c r="BG76" i="6"/>
  <c r="BG80" i="6"/>
  <c r="BG84" i="6"/>
  <c r="BG88" i="6"/>
  <c r="BG92" i="6"/>
  <c r="BG96" i="6"/>
  <c r="BG100" i="6"/>
  <c r="BG104" i="6"/>
  <c r="BG108" i="6"/>
  <c r="BG112" i="6"/>
  <c r="BG116" i="6"/>
  <c r="BG120" i="6"/>
  <c r="BG124" i="6"/>
  <c r="BG128" i="6"/>
  <c r="BG132" i="6"/>
  <c r="BF7" i="6"/>
  <c r="BF11" i="6"/>
  <c r="BF15" i="6"/>
  <c r="BF19" i="6"/>
  <c r="BF23" i="6"/>
  <c r="BF27" i="6"/>
  <c r="BF31" i="6"/>
  <c r="BF35" i="6"/>
  <c r="BF39" i="6"/>
  <c r="BF43" i="6"/>
  <c r="BF47" i="6"/>
  <c r="BF51" i="6"/>
  <c r="BF55" i="6"/>
  <c r="BF59" i="6"/>
  <c r="BF63" i="6"/>
  <c r="BF67" i="6"/>
  <c r="BF71" i="6"/>
  <c r="BF75" i="6"/>
  <c r="BF79" i="6"/>
  <c r="BF83" i="6"/>
  <c r="BF87" i="6"/>
  <c r="BF91" i="6"/>
  <c r="BF95" i="6"/>
  <c r="BF99" i="6"/>
  <c r="BF103" i="6"/>
  <c r="BF65" i="6"/>
  <c r="BF73" i="6"/>
  <c r="BF81" i="6"/>
  <c r="BF89" i="6"/>
  <c r="BF97" i="6"/>
  <c r="BF105" i="6"/>
  <c r="BF109" i="6"/>
  <c r="BF113" i="6"/>
  <c r="BF117" i="6"/>
  <c r="BF121" i="6"/>
  <c r="BF125" i="6"/>
  <c r="BF129" i="6"/>
  <c r="BF6" i="6"/>
  <c r="BF10" i="6"/>
  <c r="BF14" i="6"/>
  <c r="BF18" i="6"/>
  <c r="BF22" i="6"/>
  <c r="BF26" i="6"/>
  <c r="BF30" i="6"/>
  <c r="BF34" i="6"/>
  <c r="BF38" i="6"/>
  <c r="BF42" i="6"/>
  <c r="BF46" i="6"/>
  <c r="BF50" i="6"/>
  <c r="BF54" i="6"/>
  <c r="BF58" i="6"/>
  <c r="BF62" i="6"/>
  <c r="BF66" i="6"/>
  <c r="BF70" i="6"/>
  <c r="BF74" i="6"/>
  <c r="BF78" i="6"/>
  <c r="BF82" i="6"/>
  <c r="BF86" i="6"/>
  <c r="BF90" i="6"/>
  <c r="BF94" i="6"/>
  <c r="BF98" i="6"/>
  <c r="BF102" i="6"/>
  <c r="BF106" i="6"/>
  <c r="BF110" i="6"/>
  <c r="BF114" i="6"/>
  <c r="BF118" i="6"/>
  <c r="BF126" i="6"/>
  <c r="BF69" i="6"/>
  <c r="BF77" i="6"/>
  <c r="BF85" i="6"/>
  <c r="BF93" i="6"/>
  <c r="BF101" i="6"/>
  <c r="BF107" i="6"/>
  <c r="BF111" i="6"/>
  <c r="BF115" i="6"/>
  <c r="BF119" i="6"/>
  <c r="BF123" i="6"/>
  <c r="BF127" i="6"/>
  <c r="BF131" i="6"/>
  <c r="BF8" i="6"/>
  <c r="BF12" i="6"/>
  <c r="BF16" i="6"/>
  <c r="BF20" i="6"/>
  <c r="BF24" i="6"/>
  <c r="BF28" i="6"/>
  <c r="BF32" i="6"/>
  <c r="BF36" i="6"/>
  <c r="BF40" i="6"/>
  <c r="BF44" i="6"/>
  <c r="BF48" i="6"/>
  <c r="BF52" i="6"/>
  <c r="BF56" i="6"/>
  <c r="BF60" i="6"/>
  <c r="BF64" i="6"/>
  <c r="BF68" i="6"/>
  <c r="BF72" i="6"/>
  <c r="BF76" i="6"/>
  <c r="BF80" i="6"/>
  <c r="BF84" i="6"/>
  <c r="BF88" i="6"/>
  <c r="BF92" i="6"/>
  <c r="BF96" i="6"/>
  <c r="BF100" i="6"/>
  <c r="BF104" i="6"/>
  <c r="BF108" i="6"/>
  <c r="BF112" i="6"/>
  <c r="BF116" i="6"/>
  <c r="BF120" i="6"/>
  <c r="BF124" i="6"/>
  <c r="BF128" i="6"/>
  <c r="BF132" i="6"/>
  <c r="BF122" i="6"/>
  <c r="BF130" i="6"/>
  <c r="A129" i="6"/>
  <c r="A121" i="6"/>
  <c r="A113" i="6"/>
  <c r="A105" i="6"/>
  <c r="A97" i="6"/>
  <c r="A89" i="6"/>
  <c r="A81" i="6"/>
  <c r="A73" i="6"/>
  <c r="A65" i="6"/>
  <c r="A57" i="6"/>
  <c r="A49" i="6"/>
  <c r="A41" i="6"/>
  <c r="A33" i="6"/>
  <c r="A25" i="6"/>
  <c r="A17" i="6"/>
  <c r="A9" i="6"/>
  <c r="B129" i="6"/>
  <c r="B121" i="6"/>
  <c r="B113" i="6"/>
  <c r="B105" i="6"/>
  <c r="B97" i="6"/>
  <c r="B89" i="6"/>
  <c r="B81" i="6"/>
  <c r="B73" i="6"/>
  <c r="B65" i="6"/>
  <c r="B57" i="6"/>
  <c r="B49" i="6"/>
  <c r="B41" i="6"/>
  <c r="B33" i="6"/>
  <c r="B25" i="6"/>
  <c r="B17" i="6"/>
  <c r="B9" i="6"/>
  <c r="C129" i="6"/>
  <c r="C121" i="6"/>
  <c r="C113" i="6"/>
  <c r="C105" i="6"/>
  <c r="C97" i="6"/>
  <c r="C89" i="6"/>
  <c r="C81" i="6"/>
  <c r="C73" i="6"/>
  <c r="C65" i="6"/>
  <c r="C57" i="6"/>
  <c r="C49" i="6"/>
  <c r="C41" i="6"/>
  <c r="C33" i="6"/>
  <c r="C25" i="6"/>
  <c r="C17" i="6"/>
  <c r="C9" i="6"/>
  <c r="A44" i="6"/>
  <c r="A36" i="6"/>
  <c r="A28" i="6"/>
  <c r="A20" i="6"/>
  <c r="A12" i="6"/>
  <c r="B132" i="6"/>
  <c r="B124" i="6"/>
  <c r="B116" i="6"/>
  <c r="B108" i="6"/>
  <c r="B100" i="6"/>
  <c r="B92" i="6"/>
  <c r="B84" i="6"/>
  <c r="B76" i="6"/>
  <c r="B68" i="6"/>
  <c r="B60" i="6"/>
  <c r="B52" i="6"/>
  <c r="B44" i="6"/>
  <c r="B36" i="6"/>
  <c r="B28" i="6"/>
  <c r="B20" i="6"/>
  <c r="B12" i="6"/>
  <c r="C132" i="6"/>
  <c r="C124" i="6"/>
  <c r="C116" i="6"/>
  <c r="C108" i="6"/>
  <c r="C100" i="6"/>
  <c r="C92" i="6"/>
  <c r="C84" i="6"/>
  <c r="C76" i="6"/>
  <c r="C68" i="6"/>
  <c r="C60" i="6"/>
  <c r="C52" i="6"/>
  <c r="C44" i="6"/>
  <c r="C36" i="6"/>
  <c r="C28" i="6"/>
  <c r="C20" i="6"/>
  <c r="C12" i="6"/>
  <c r="B99" i="6"/>
  <c r="B91" i="6"/>
  <c r="B83" i="6"/>
  <c r="B75" i="6"/>
  <c r="B67" i="6"/>
  <c r="B59" i="6"/>
  <c r="B51" i="6"/>
  <c r="B43" i="6"/>
  <c r="B35" i="6"/>
  <c r="B27" i="6"/>
  <c r="B19" i="6"/>
  <c r="B11" i="6"/>
  <c r="C131" i="6"/>
  <c r="C123" i="6"/>
  <c r="C115" i="6"/>
  <c r="C107" i="6"/>
  <c r="C99" i="6"/>
  <c r="C91" i="6"/>
  <c r="C83" i="6"/>
  <c r="C75" i="6"/>
  <c r="C67" i="6"/>
  <c r="C59" i="6"/>
  <c r="C51" i="6"/>
  <c r="C43" i="6"/>
  <c r="C35" i="6"/>
  <c r="C27" i="6"/>
  <c r="C19" i="6"/>
  <c r="C11" i="6"/>
  <c r="A46" i="6"/>
  <c r="A38" i="6"/>
  <c r="A30" i="6"/>
  <c r="A22" i="6"/>
  <c r="A14" i="6"/>
  <c r="A6" i="6"/>
  <c r="B126" i="6"/>
  <c r="B118" i="6"/>
  <c r="B110" i="6"/>
  <c r="B102" i="6"/>
  <c r="B94" i="6"/>
  <c r="B86" i="6"/>
  <c r="B78" i="6"/>
  <c r="B70" i="6"/>
  <c r="B62" i="6"/>
  <c r="B54" i="6"/>
  <c r="B46" i="6"/>
  <c r="B38" i="6"/>
  <c r="B30" i="6"/>
  <c r="B22" i="6"/>
  <c r="B14" i="6"/>
  <c r="B6" i="6"/>
  <c r="C126" i="6"/>
  <c r="C118" i="6"/>
  <c r="C110" i="6"/>
  <c r="C102" i="6"/>
  <c r="C94" i="6"/>
  <c r="C86" i="6"/>
  <c r="C78" i="6"/>
  <c r="C70" i="6"/>
  <c r="C62" i="6"/>
  <c r="C54" i="6"/>
  <c r="C46" i="6"/>
  <c r="C38" i="6"/>
  <c r="C30" i="6"/>
  <c r="C22" i="6"/>
  <c r="C14" i="6"/>
  <c r="C6" i="6"/>
  <c r="A125" i="6"/>
  <c r="A117" i="6"/>
  <c r="A109" i="6"/>
  <c r="A101" i="6"/>
  <c r="A93" i="6"/>
  <c r="A85" i="6"/>
  <c r="A77" i="6"/>
  <c r="A69" i="6"/>
  <c r="A61" i="6"/>
  <c r="A53" i="6"/>
  <c r="A45" i="6"/>
  <c r="A37" i="6"/>
  <c r="A29" i="6"/>
  <c r="A21" i="6"/>
  <c r="A13" i="6"/>
  <c r="A5" i="6"/>
  <c r="B125" i="6"/>
  <c r="B117" i="6"/>
  <c r="B109" i="6"/>
  <c r="B101" i="6"/>
  <c r="B93" i="6"/>
  <c r="B85" i="6"/>
  <c r="B77" i="6"/>
  <c r="B69" i="6"/>
  <c r="B61" i="6"/>
  <c r="B53" i="6"/>
  <c r="B45" i="6"/>
  <c r="B37" i="6"/>
  <c r="B29" i="6"/>
  <c r="B21" i="6"/>
  <c r="B13" i="6"/>
  <c r="B5" i="6"/>
  <c r="C125" i="6"/>
  <c r="C117" i="6"/>
  <c r="C109" i="6"/>
  <c r="C101" i="6"/>
  <c r="C93" i="6"/>
  <c r="C85" i="6"/>
  <c r="C77" i="6"/>
  <c r="C69" i="6"/>
  <c r="C61" i="6"/>
  <c r="C53" i="6"/>
  <c r="C45" i="6"/>
  <c r="C37" i="6"/>
  <c r="C29" i="6"/>
  <c r="C21" i="6"/>
  <c r="C13" i="6"/>
  <c r="C5" i="6"/>
  <c r="A40" i="6"/>
  <c r="A32" i="6"/>
  <c r="A24" i="6"/>
  <c r="A16" i="6"/>
  <c r="A8" i="6"/>
  <c r="B128" i="6"/>
  <c r="B120" i="6"/>
  <c r="B112" i="6"/>
  <c r="B104" i="6"/>
  <c r="B96" i="6"/>
  <c r="B88" i="6"/>
  <c r="B80" i="6"/>
  <c r="B72" i="6"/>
  <c r="B64" i="6"/>
  <c r="B56" i="6"/>
  <c r="B48" i="6"/>
  <c r="B40" i="6"/>
  <c r="B32" i="6"/>
  <c r="B24" i="6"/>
  <c r="B16" i="6"/>
  <c r="B8" i="6"/>
  <c r="C128" i="6"/>
  <c r="C120" i="6"/>
  <c r="C112" i="6"/>
  <c r="C104" i="6"/>
  <c r="C96" i="6"/>
  <c r="C88" i="6"/>
  <c r="C80" i="6"/>
  <c r="C72" i="6"/>
  <c r="C64" i="6"/>
  <c r="C56" i="6"/>
  <c r="C48" i="6"/>
  <c r="C40" i="6"/>
  <c r="C32" i="6"/>
  <c r="C24" i="6"/>
  <c r="C16" i="6"/>
  <c r="C8" i="6"/>
  <c r="B95" i="6"/>
  <c r="B87" i="6"/>
  <c r="B79" i="6"/>
  <c r="B71" i="6"/>
  <c r="B63" i="6"/>
  <c r="B55" i="6"/>
  <c r="B47" i="6"/>
  <c r="B39" i="6"/>
  <c r="B31" i="6"/>
  <c r="B23" i="6"/>
  <c r="B15" i="6"/>
  <c r="B7" i="6"/>
  <c r="C127" i="6"/>
  <c r="C119" i="6"/>
  <c r="C111" i="6"/>
  <c r="C103" i="6"/>
  <c r="C95" i="6"/>
  <c r="C87" i="6"/>
  <c r="C79" i="6"/>
  <c r="C71" i="6"/>
  <c r="C63" i="6"/>
  <c r="C55" i="6"/>
  <c r="C47" i="6"/>
  <c r="C39" i="6"/>
  <c r="C31" i="6"/>
  <c r="C23" i="6"/>
  <c r="C15" i="6"/>
  <c r="C7" i="6"/>
  <c r="A42" i="6"/>
  <c r="A34" i="6"/>
  <c r="A26" i="6"/>
  <c r="A18" i="6"/>
  <c r="A10" i="6"/>
  <c r="B130" i="6"/>
  <c r="B122" i="6"/>
  <c r="B114" i="6"/>
  <c r="B98" i="6"/>
  <c r="B82" i="6"/>
  <c r="B66" i="6"/>
  <c r="B50" i="6"/>
  <c r="B34" i="6"/>
  <c r="B18" i="6"/>
  <c r="C130" i="6"/>
  <c r="C114" i="6"/>
  <c r="C98" i="6"/>
  <c r="C82" i="6"/>
  <c r="C66" i="6"/>
  <c r="C50" i="6"/>
  <c r="C34" i="6"/>
  <c r="C18" i="6"/>
  <c r="A50" i="6"/>
  <c r="A58" i="6"/>
  <c r="A66" i="6"/>
  <c r="A74" i="6"/>
  <c r="A82" i="6"/>
  <c r="A98" i="6"/>
  <c r="A114" i="6"/>
  <c r="A122" i="6"/>
  <c r="A130" i="6"/>
  <c r="A96" i="6"/>
  <c r="A112" i="6"/>
  <c r="A52" i="6"/>
  <c r="A60" i="6"/>
  <c r="A68" i="6"/>
  <c r="A76" i="6"/>
  <c r="A84" i="6"/>
  <c r="B107" i="6"/>
  <c r="B115" i="6"/>
  <c r="B123" i="6"/>
  <c r="B131" i="6"/>
  <c r="A11" i="6"/>
  <c r="A19" i="6"/>
  <c r="A27" i="6"/>
  <c r="A35" i="6"/>
  <c r="A43" i="6"/>
  <c r="A51" i="6"/>
  <c r="A59" i="6"/>
  <c r="A67" i="6"/>
  <c r="A75" i="6"/>
  <c r="A83" i="6"/>
  <c r="A91" i="6"/>
  <c r="A99" i="6"/>
  <c r="A107" i="6"/>
  <c r="A86" i="6"/>
  <c r="A102" i="6"/>
  <c r="A116" i="6"/>
  <c r="A124" i="6"/>
  <c r="A100" i="6"/>
  <c r="A123" i="6"/>
  <c r="B106" i="6"/>
  <c r="B90" i="6"/>
  <c r="B74" i="6"/>
  <c r="B58" i="6"/>
  <c r="B42" i="6"/>
  <c r="B26" i="6"/>
  <c r="B10" i="6"/>
  <c r="C122" i="6"/>
  <c r="C106" i="6"/>
  <c r="C90" i="6"/>
  <c r="C74" i="6"/>
  <c r="C58" i="6"/>
  <c r="C42" i="6"/>
  <c r="C26" i="6"/>
  <c r="C10" i="6"/>
  <c r="A54" i="6"/>
  <c r="A62" i="6"/>
  <c r="A70" i="6"/>
  <c r="A78" i="6"/>
  <c r="A90" i="6"/>
  <c r="A106" i="6"/>
  <c r="A118" i="6"/>
  <c r="A126" i="6"/>
  <c r="A88" i="6"/>
  <c r="A104" i="6"/>
  <c r="A48" i="6"/>
  <c r="A56" i="6"/>
  <c r="A64" i="6"/>
  <c r="A72" i="6"/>
  <c r="A80" i="6"/>
  <c r="B103" i="6"/>
  <c r="B111" i="6"/>
  <c r="B119" i="6"/>
  <c r="B127" i="6"/>
  <c r="A7" i="6"/>
  <c r="A15" i="6"/>
  <c r="A23" i="6"/>
  <c r="A31" i="6"/>
  <c r="A39" i="6"/>
  <c r="A47" i="6"/>
  <c r="A55" i="6"/>
  <c r="A63" i="6"/>
  <c r="A71" i="6"/>
  <c r="A79" i="6"/>
  <c r="A87" i="6"/>
  <c r="A95" i="6"/>
  <c r="A103" i="6"/>
  <c r="A111" i="6"/>
  <c r="A94" i="6"/>
  <c r="A110" i="6"/>
  <c r="A120" i="6"/>
  <c r="A128" i="6"/>
  <c r="A92" i="6"/>
  <c r="A108" i="6"/>
  <c r="A119" i="6"/>
  <c r="A127" i="6"/>
  <c r="A132" i="6"/>
  <c r="A115" i="6"/>
  <c r="A131" i="6"/>
  <c r="BN130" i="6" l="1"/>
  <c r="BN122" i="6"/>
  <c r="BN132" i="6"/>
  <c r="BN128" i="6"/>
  <c r="BN124" i="6"/>
  <c r="BN120" i="6"/>
  <c r="BN116" i="6"/>
  <c r="BN112" i="6"/>
  <c r="BN108" i="6"/>
  <c r="BN104" i="6"/>
  <c r="BN100" i="6"/>
  <c r="BN96" i="6"/>
  <c r="BN92" i="6"/>
  <c r="BN88" i="6"/>
  <c r="BN84" i="6"/>
  <c r="BN80" i="6"/>
  <c r="BN76" i="6"/>
  <c r="BN72" i="6"/>
  <c r="BN68" i="6"/>
  <c r="BN64" i="6"/>
  <c r="BN60" i="6"/>
  <c r="BN56" i="6"/>
  <c r="BN52" i="6"/>
  <c r="BN48" i="6"/>
  <c r="BN44" i="6"/>
  <c r="BN40" i="6"/>
  <c r="BN36" i="6"/>
  <c r="BN32" i="6"/>
  <c r="BN28" i="6"/>
  <c r="BN24" i="6"/>
  <c r="BN20" i="6"/>
  <c r="BN16" i="6"/>
  <c r="BN12" i="6"/>
  <c r="BN8" i="6"/>
  <c r="BN131" i="6"/>
  <c r="BN127" i="6"/>
  <c r="BN123" i="6"/>
  <c r="BN119" i="6"/>
  <c r="BN115" i="6"/>
  <c r="BN111" i="6"/>
  <c r="BN107" i="6"/>
  <c r="BN101" i="6"/>
  <c r="BN93" i="6"/>
  <c r="BN85" i="6"/>
  <c r="BN77" i="6"/>
  <c r="BN69" i="6"/>
  <c r="BN126" i="6"/>
  <c r="BN118" i="6"/>
  <c r="BN114" i="6"/>
  <c r="BN110" i="6"/>
  <c r="BN106" i="6"/>
  <c r="BN102" i="6"/>
  <c r="BN98" i="6"/>
  <c r="BN94" i="6"/>
  <c r="BN90" i="6"/>
  <c r="BN86" i="6"/>
  <c r="BN82" i="6"/>
  <c r="BN78" i="6"/>
  <c r="BN74" i="6"/>
  <c r="BN70" i="6"/>
  <c r="BN66" i="6"/>
  <c r="BN62" i="6"/>
  <c r="BN58" i="6"/>
  <c r="BN54" i="6"/>
  <c r="BN50" i="6"/>
  <c r="BN46" i="6"/>
  <c r="BN42" i="6"/>
  <c r="BN38" i="6"/>
  <c r="BN34" i="6"/>
  <c r="BN30" i="6"/>
  <c r="BN26" i="6"/>
  <c r="BN22" i="6"/>
  <c r="BN18" i="6"/>
  <c r="BN14" i="6"/>
  <c r="BN10" i="6"/>
  <c r="BN6" i="6"/>
  <c r="BN129" i="6"/>
  <c r="BN125" i="6"/>
  <c r="BN121" i="6"/>
  <c r="BN117" i="6"/>
  <c r="BN113" i="6"/>
  <c r="BN109" i="6"/>
  <c r="BN105" i="6"/>
  <c r="BN97" i="6"/>
  <c r="BN89" i="6"/>
  <c r="BN81" i="6"/>
  <c r="BN73" i="6"/>
  <c r="BN65" i="6"/>
  <c r="BN103" i="6"/>
  <c r="BN99" i="6"/>
  <c r="BN95" i="6"/>
  <c r="BN91" i="6"/>
  <c r="BN87" i="6"/>
  <c r="BN83" i="6"/>
  <c r="BN79" i="6"/>
  <c r="BN75" i="6"/>
  <c r="BN71" i="6"/>
  <c r="BN67" i="6"/>
  <c r="BN63" i="6"/>
  <c r="BN59" i="6"/>
  <c r="BN55" i="6"/>
  <c r="BN51" i="6"/>
  <c r="BN47" i="6"/>
  <c r="BN43" i="6"/>
  <c r="BN39" i="6"/>
  <c r="BN35" i="6"/>
  <c r="BN31" i="6"/>
  <c r="BN27" i="6"/>
  <c r="BN23" i="6"/>
  <c r="BN19" i="6"/>
  <c r="BN15" i="6"/>
  <c r="BN11" i="6"/>
  <c r="BN7" i="6"/>
  <c r="BN61" i="6"/>
  <c r="BN57" i="6"/>
  <c r="BN53" i="6"/>
  <c r="BN49" i="6"/>
  <c r="BN45" i="6"/>
  <c r="BN41" i="6"/>
  <c r="BN37" i="6"/>
  <c r="BN33" i="6"/>
  <c r="BN29" i="6"/>
  <c r="BN25" i="6"/>
  <c r="BN21" i="6"/>
  <c r="BN17" i="6"/>
  <c r="BN13" i="6"/>
  <c r="BN9" i="6"/>
  <c r="BN5" i="6"/>
  <c r="F5" i="6"/>
  <c r="F7" i="6"/>
  <c r="F9" i="6"/>
  <c r="F11" i="6"/>
  <c r="F13" i="6"/>
  <c r="F15" i="6"/>
  <c r="F17" i="6"/>
  <c r="F19" i="6"/>
  <c r="F21" i="6"/>
  <c r="F23" i="6"/>
  <c r="F25" i="6"/>
  <c r="F27" i="6"/>
  <c r="F29" i="6"/>
  <c r="F31" i="6"/>
  <c r="F33" i="6"/>
  <c r="F35" i="6"/>
  <c r="F37" i="6"/>
  <c r="F39" i="6"/>
  <c r="F41" i="6"/>
  <c r="F43" i="6"/>
  <c r="F45" i="6"/>
  <c r="F47" i="6"/>
  <c r="F49" i="6"/>
  <c r="F51" i="6"/>
  <c r="F53" i="6"/>
  <c r="F55" i="6"/>
  <c r="F57" i="6"/>
  <c r="F59" i="6"/>
  <c r="F61" i="6"/>
  <c r="F63" i="6"/>
  <c r="F65" i="6"/>
  <c r="F67" i="6"/>
  <c r="F69" i="6"/>
  <c r="F71" i="6"/>
  <c r="F73" i="6"/>
  <c r="F75" i="6"/>
  <c r="F77" i="6"/>
  <c r="F79" i="6"/>
  <c r="F81" i="6"/>
  <c r="F83" i="6"/>
  <c r="F85" i="6"/>
  <c r="F87" i="6"/>
  <c r="F89" i="6"/>
  <c r="F91" i="6"/>
  <c r="F93" i="6"/>
  <c r="F95" i="6"/>
  <c r="F97" i="6"/>
  <c r="F99" i="6"/>
  <c r="F101" i="6"/>
  <c r="F103" i="6"/>
  <c r="F105" i="6"/>
  <c r="F107" i="6"/>
  <c r="F109" i="6"/>
  <c r="F111" i="6"/>
  <c r="F113" i="6"/>
  <c r="F115" i="6"/>
  <c r="F117" i="6"/>
  <c r="F119" i="6"/>
  <c r="F121" i="6"/>
  <c r="F123" i="6"/>
  <c r="F125" i="6"/>
  <c r="F127" i="6"/>
  <c r="F129" i="6"/>
  <c r="F131" i="6"/>
  <c r="E5" i="6"/>
  <c r="E7" i="6"/>
  <c r="E9" i="6"/>
  <c r="E11" i="6"/>
  <c r="E13" i="6"/>
  <c r="E15" i="6"/>
  <c r="E17" i="6"/>
  <c r="E19" i="6"/>
  <c r="E21" i="6"/>
  <c r="E23" i="6"/>
  <c r="E25" i="6"/>
  <c r="E27" i="6"/>
  <c r="E29" i="6"/>
  <c r="E31" i="6"/>
  <c r="E33" i="6"/>
  <c r="E35" i="6"/>
  <c r="E37" i="6"/>
  <c r="E39" i="6"/>
  <c r="E41" i="6"/>
  <c r="E43" i="6"/>
  <c r="E45" i="6"/>
  <c r="F6" i="6"/>
  <c r="F8" i="6"/>
  <c r="F10" i="6"/>
  <c r="F12" i="6"/>
  <c r="F14" i="6"/>
  <c r="F16" i="6"/>
  <c r="F18" i="6"/>
  <c r="F20" i="6"/>
  <c r="F22" i="6"/>
  <c r="F24" i="6"/>
  <c r="F26" i="6"/>
  <c r="F28" i="6"/>
  <c r="F30" i="6"/>
  <c r="F32" i="6"/>
  <c r="F34" i="6"/>
  <c r="F36" i="6"/>
  <c r="F38" i="6"/>
  <c r="F40" i="6"/>
  <c r="F42" i="6"/>
  <c r="F44" i="6"/>
  <c r="F46" i="6"/>
  <c r="F48" i="6"/>
  <c r="F50" i="6"/>
  <c r="F52" i="6"/>
  <c r="F54" i="6"/>
  <c r="F56" i="6"/>
  <c r="F58" i="6"/>
  <c r="F60" i="6"/>
  <c r="F62" i="6"/>
  <c r="F64" i="6"/>
  <c r="F66" i="6"/>
  <c r="F68" i="6"/>
  <c r="F70" i="6"/>
  <c r="F72" i="6"/>
  <c r="F74" i="6"/>
  <c r="F76" i="6"/>
  <c r="F78" i="6"/>
  <c r="F80" i="6"/>
  <c r="F82" i="6"/>
  <c r="F84" i="6"/>
  <c r="F86" i="6"/>
  <c r="F88" i="6"/>
  <c r="F90" i="6"/>
  <c r="F92" i="6"/>
  <c r="F94" i="6"/>
  <c r="F96" i="6"/>
  <c r="F98" i="6"/>
  <c r="F100" i="6"/>
  <c r="F102" i="6"/>
  <c r="F104" i="6"/>
  <c r="F106" i="6"/>
  <c r="F108" i="6"/>
  <c r="F110" i="6"/>
  <c r="F112" i="6"/>
  <c r="F114" i="6"/>
  <c r="F116" i="6"/>
  <c r="F118" i="6"/>
  <c r="F120" i="6"/>
  <c r="F122" i="6"/>
  <c r="F124" i="6"/>
  <c r="F126" i="6"/>
  <c r="F128" i="6"/>
  <c r="F130" i="6"/>
  <c r="F132" i="6"/>
  <c r="E6" i="6"/>
  <c r="E8" i="6"/>
  <c r="E10" i="6"/>
  <c r="E12" i="6"/>
  <c r="E14" i="6"/>
  <c r="E16" i="6"/>
  <c r="E18" i="6"/>
  <c r="E20" i="6"/>
  <c r="E22" i="6"/>
  <c r="E24" i="6"/>
  <c r="E26" i="6"/>
  <c r="E28" i="6"/>
  <c r="E30" i="6"/>
  <c r="E32" i="6"/>
  <c r="E34" i="6"/>
  <c r="E36" i="6"/>
  <c r="E40" i="6"/>
  <c r="E44" i="6"/>
  <c r="E47" i="6"/>
  <c r="E49" i="6"/>
  <c r="E51" i="6"/>
  <c r="E53" i="6"/>
  <c r="E55" i="6"/>
  <c r="E57" i="6"/>
  <c r="E59" i="6"/>
  <c r="E61" i="6"/>
  <c r="E63" i="6"/>
  <c r="E65" i="6"/>
  <c r="E67" i="6"/>
  <c r="E69" i="6"/>
  <c r="E71" i="6"/>
  <c r="E73" i="6"/>
  <c r="E75" i="6"/>
  <c r="E77" i="6"/>
  <c r="E79" i="6"/>
  <c r="E81" i="6"/>
  <c r="E83" i="6"/>
  <c r="E85" i="6"/>
  <c r="E87" i="6"/>
  <c r="E89" i="6"/>
  <c r="E91" i="6"/>
  <c r="E93" i="6"/>
  <c r="E95" i="6"/>
  <c r="E97" i="6"/>
  <c r="E99" i="6"/>
  <c r="E101" i="6"/>
  <c r="E103" i="6"/>
  <c r="E105" i="6"/>
  <c r="E107" i="6"/>
  <c r="E109" i="6"/>
  <c r="E111" i="6"/>
  <c r="E113" i="6"/>
  <c r="E115" i="6"/>
  <c r="E117" i="6"/>
  <c r="E119" i="6"/>
  <c r="E121" i="6"/>
  <c r="E123" i="6"/>
  <c r="E125" i="6"/>
  <c r="E127" i="6"/>
  <c r="E129" i="6"/>
  <c r="E131" i="6"/>
  <c r="D5" i="6"/>
  <c r="D7" i="6"/>
  <c r="D9" i="6"/>
  <c r="D11" i="6"/>
  <c r="D13" i="6"/>
  <c r="D15" i="6"/>
  <c r="D17" i="6"/>
  <c r="D19" i="6"/>
  <c r="D21" i="6"/>
  <c r="D23" i="6"/>
  <c r="D25" i="6"/>
  <c r="D27" i="6"/>
  <c r="D29" i="6"/>
  <c r="D31" i="6"/>
  <c r="D33" i="6"/>
  <c r="D35" i="6"/>
  <c r="D37" i="6"/>
  <c r="D39" i="6"/>
  <c r="D41" i="6"/>
  <c r="D43" i="6"/>
  <c r="D45" i="6"/>
  <c r="D47" i="6"/>
  <c r="D49" i="6"/>
  <c r="D51" i="6"/>
  <c r="D53" i="6"/>
  <c r="E38" i="6"/>
  <c r="E42" i="6"/>
  <c r="E46" i="6"/>
  <c r="E48" i="6"/>
  <c r="E50" i="6"/>
  <c r="E52" i="6"/>
  <c r="E54" i="6"/>
  <c r="E56" i="6"/>
  <c r="E58" i="6"/>
  <c r="E60" i="6"/>
  <c r="E62" i="6"/>
  <c r="E64" i="6"/>
  <c r="E66" i="6"/>
  <c r="E68" i="6"/>
  <c r="E70" i="6"/>
  <c r="E72" i="6"/>
  <c r="E74" i="6"/>
  <c r="E76" i="6"/>
  <c r="E78" i="6"/>
  <c r="E80" i="6"/>
  <c r="E82" i="6"/>
  <c r="E84" i="6"/>
  <c r="E86" i="6"/>
  <c r="E88" i="6"/>
  <c r="E90" i="6"/>
  <c r="E92" i="6"/>
  <c r="E94" i="6"/>
  <c r="E96" i="6"/>
  <c r="E98" i="6"/>
  <c r="E100" i="6"/>
  <c r="E102" i="6"/>
  <c r="E104" i="6"/>
  <c r="E106" i="6"/>
  <c r="E108" i="6"/>
  <c r="E110" i="6"/>
  <c r="E112" i="6"/>
  <c r="E114" i="6"/>
  <c r="E116" i="6"/>
  <c r="E118" i="6"/>
  <c r="E120" i="6"/>
  <c r="E122" i="6"/>
  <c r="E124" i="6"/>
  <c r="E126" i="6"/>
  <c r="E128" i="6"/>
  <c r="E130" i="6"/>
  <c r="E132" i="6"/>
  <c r="D6" i="6"/>
  <c r="D8" i="6"/>
  <c r="D10" i="6"/>
  <c r="D12" i="6"/>
  <c r="D14" i="6"/>
  <c r="D16" i="6"/>
  <c r="D18" i="6"/>
  <c r="D20" i="6"/>
  <c r="D22" i="6"/>
  <c r="D24" i="6"/>
  <c r="D26" i="6"/>
  <c r="D28" i="6"/>
  <c r="D30" i="6"/>
  <c r="D32" i="6"/>
  <c r="D34" i="6"/>
  <c r="D36" i="6"/>
  <c r="D38" i="6"/>
  <c r="D40" i="6"/>
  <c r="D42" i="6"/>
  <c r="D44" i="6"/>
  <c r="D46" i="6"/>
  <c r="D48" i="6"/>
  <c r="D50" i="6"/>
  <c r="D52" i="6"/>
  <c r="D54" i="6"/>
  <c r="D56" i="6"/>
  <c r="D58" i="6"/>
  <c r="D60" i="6"/>
  <c r="D62" i="6"/>
  <c r="D64" i="6"/>
  <c r="D66" i="6"/>
  <c r="D68" i="6"/>
  <c r="D70" i="6"/>
  <c r="D72" i="6"/>
  <c r="D74" i="6"/>
  <c r="D76" i="6"/>
  <c r="D78" i="6"/>
  <c r="D80" i="6"/>
  <c r="D82" i="6"/>
  <c r="D55" i="6"/>
  <c r="D59" i="6"/>
  <c r="D63" i="6"/>
  <c r="D67" i="6"/>
  <c r="D71" i="6"/>
  <c r="D75" i="6"/>
  <c r="D79" i="6"/>
  <c r="D83" i="6"/>
  <c r="D85" i="6"/>
  <c r="D87" i="6"/>
  <c r="D89" i="6"/>
  <c r="D91" i="6"/>
  <c r="D93" i="6"/>
  <c r="D95" i="6"/>
  <c r="D97" i="6"/>
  <c r="D99" i="6"/>
  <c r="D101" i="6"/>
  <c r="D103" i="6"/>
  <c r="D105" i="6"/>
  <c r="D107" i="6"/>
  <c r="D109" i="6"/>
  <c r="D111" i="6"/>
  <c r="D113" i="6"/>
  <c r="D115" i="6"/>
  <c r="D117" i="6"/>
  <c r="D119" i="6"/>
  <c r="D121" i="6"/>
  <c r="D123" i="6"/>
  <c r="D125" i="6"/>
  <c r="D127" i="6"/>
  <c r="D129" i="6"/>
  <c r="D131" i="6"/>
  <c r="D57" i="6"/>
  <c r="D61" i="6"/>
  <c r="D65" i="6"/>
  <c r="D69" i="6"/>
  <c r="D73" i="6"/>
  <c r="D77" i="6"/>
  <c r="D81" i="6"/>
  <c r="D84" i="6"/>
  <c r="D86" i="6"/>
  <c r="D88" i="6"/>
  <c r="D90" i="6"/>
  <c r="D92" i="6"/>
  <c r="D94" i="6"/>
  <c r="D96" i="6"/>
  <c r="D98" i="6"/>
  <c r="D100" i="6"/>
  <c r="D102" i="6"/>
  <c r="D104" i="6"/>
  <c r="D106" i="6"/>
  <c r="D108" i="6"/>
  <c r="D110" i="6"/>
  <c r="D112" i="6"/>
  <c r="D114" i="6"/>
  <c r="D116" i="6"/>
  <c r="D118" i="6"/>
  <c r="D120" i="6"/>
  <c r="D122" i="6"/>
  <c r="D124" i="6"/>
  <c r="D126" i="6"/>
  <c r="D128" i="6"/>
  <c r="D130" i="6"/>
  <c r="D132" i="6"/>
  <c r="AJ131" i="6"/>
  <c r="AJ127" i="6"/>
  <c r="AJ123" i="6"/>
  <c r="AJ119" i="6"/>
  <c r="AJ115" i="6"/>
  <c r="AJ108" i="6"/>
  <c r="AJ100" i="6"/>
  <c r="AJ92" i="6"/>
  <c r="AJ132" i="6"/>
  <c r="AJ128" i="6"/>
  <c r="AJ124" i="6"/>
  <c r="AJ120" i="6"/>
  <c r="AJ116" i="6"/>
  <c r="AJ110" i="6"/>
  <c r="AJ102" i="6"/>
  <c r="AJ94" i="6"/>
  <c r="AJ86" i="6"/>
  <c r="AJ111" i="6"/>
  <c r="AJ107" i="6"/>
  <c r="AJ103" i="6"/>
  <c r="AJ99" i="6"/>
  <c r="AJ95" i="6"/>
  <c r="AT131" i="6"/>
  <c r="AT127" i="6"/>
  <c r="AT123" i="6"/>
  <c r="AT119" i="6"/>
  <c r="AT115" i="6"/>
  <c r="AT111" i="6"/>
  <c r="AT107" i="6"/>
  <c r="AT103" i="6"/>
  <c r="AJ84" i="6"/>
  <c r="AJ80" i="6"/>
  <c r="AJ76" i="6"/>
  <c r="AJ72" i="6"/>
  <c r="AJ68" i="6"/>
  <c r="AJ64" i="6"/>
  <c r="AJ60" i="6"/>
  <c r="AJ56" i="6"/>
  <c r="AJ52" i="6"/>
  <c r="AJ48" i="6"/>
  <c r="AJ112" i="6"/>
  <c r="AJ104" i="6"/>
  <c r="AJ96" i="6"/>
  <c r="AJ88" i="6"/>
  <c r="AJ130" i="6"/>
  <c r="AJ126" i="6"/>
  <c r="AJ122" i="6"/>
  <c r="AJ118" i="6"/>
  <c r="AJ114" i="6"/>
  <c r="AJ106" i="6"/>
  <c r="AJ98" i="6"/>
  <c r="AJ90" i="6"/>
  <c r="AJ82" i="6"/>
  <c r="AJ78" i="6"/>
  <c r="AJ74" i="6"/>
  <c r="AJ70" i="6"/>
  <c r="AJ66" i="6"/>
  <c r="AJ62" i="6"/>
  <c r="AJ58" i="6"/>
  <c r="AJ54" i="6"/>
  <c r="AJ50" i="6"/>
  <c r="Z2" i="2"/>
  <c r="BA2" i="2" s="1"/>
  <c r="Z3" i="2"/>
  <c r="BA3" i="2" s="1"/>
  <c r="Z4" i="2"/>
  <c r="BA4" i="2" s="1"/>
  <c r="Z5" i="2"/>
  <c r="BA5" i="2" s="1"/>
  <c r="Z6" i="2"/>
  <c r="BA6" i="2" s="1"/>
  <c r="Z7" i="2"/>
  <c r="BA7" i="2" s="1"/>
  <c r="Z8" i="2"/>
  <c r="BA8" i="2" s="1"/>
  <c r="Z9" i="2"/>
  <c r="BA9" i="2" s="1"/>
  <c r="Z10" i="2"/>
  <c r="BA10" i="2" s="1"/>
  <c r="Z11" i="2"/>
  <c r="BA11" i="2" s="1"/>
  <c r="Z12" i="2"/>
  <c r="BA12" i="2" s="1"/>
  <c r="Z13" i="2"/>
  <c r="BA13" i="2" s="1"/>
  <c r="Z14" i="2"/>
  <c r="BA14" i="2" s="1"/>
  <c r="Z15" i="2"/>
  <c r="BA15" i="2" s="1"/>
  <c r="Z16" i="2"/>
  <c r="BA16" i="2" s="1"/>
  <c r="Z17" i="2"/>
  <c r="BA17" i="2" s="1"/>
  <c r="Z18" i="2"/>
  <c r="BA18" i="2" s="1"/>
  <c r="Z19" i="2"/>
  <c r="BA19" i="2" s="1"/>
  <c r="Z20" i="2"/>
  <c r="BA20" i="2" s="1"/>
  <c r="Z21" i="2"/>
  <c r="BA21" i="2" s="1"/>
  <c r="Z22" i="2"/>
  <c r="BA22" i="2" s="1"/>
  <c r="Z23" i="2"/>
  <c r="BA23" i="2" s="1"/>
  <c r="Z24" i="2"/>
  <c r="BA24" i="2" s="1"/>
  <c r="Z25" i="2"/>
  <c r="BA25" i="2" s="1"/>
  <c r="Z26" i="2"/>
  <c r="BA26" i="2" s="1"/>
  <c r="Z27" i="2"/>
  <c r="BA27" i="2" s="1"/>
  <c r="Z28" i="2"/>
  <c r="BA28" i="2" s="1"/>
  <c r="Z29" i="2"/>
  <c r="BA29" i="2" s="1"/>
  <c r="Z30" i="2"/>
  <c r="BA30" i="2" s="1"/>
  <c r="Z31" i="2"/>
  <c r="BA31" i="2" s="1"/>
  <c r="Z32" i="2"/>
  <c r="BA32" i="2" s="1"/>
  <c r="Z33" i="2"/>
  <c r="BA33" i="2" s="1"/>
  <c r="Z34" i="2"/>
  <c r="BA34" i="2" s="1"/>
  <c r="Z35" i="2"/>
  <c r="BA35" i="2" s="1"/>
  <c r="Z36" i="2"/>
  <c r="BA36" i="2" s="1"/>
  <c r="Z37" i="2"/>
  <c r="BA37" i="2" s="1"/>
  <c r="Z38" i="2"/>
  <c r="BA38" i="2" s="1"/>
  <c r="Z39" i="2"/>
  <c r="BA39" i="2" s="1"/>
  <c r="Z40" i="2"/>
  <c r="BA40" i="2" s="1"/>
  <c r="Z41" i="2"/>
  <c r="BA41" i="2" s="1"/>
  <c r="Z42" i="2"/>
  <c r="BA42" i="2" s="1"/>
  <c r="Z43" i="2"/>
  <c r="BA43" i="2" s="1"/>
  <c r="Z44" i="2"/>
  <c r="BA44" i="2" s="1"/>
  <c r="Z45" i="2"/>
  <c r="BA45" i="2" s="1"/>
  <c r="Z46" i="2"/>
  <c r="BA46" i="2" s="1"/>
  <c r="Z47" i="2"/>
  <c r="BA47" i="2" s="1"/>
  <c r="Z48" i="2"/>
  <c r="BA48" i="2" s="1"/>
  <c r="Z49" i="2"/>
  <c r="BA49" i="2" s="1"/>
  <c r="Z50" i="2"/>
  <c r="BA50" i="2" s="1"/>
  <c r="Z51" i="2"/>
  <c r="BA51" i="2" s="1"/>
  <c r="Z52" i="2"/>
  <c r="BA52" i="2" s="1"/>
  <c r="Z53" i="2"/>
  <c r="BA53" i="2" s="1"/>
  <c r="Z54" i="2"/>
  <c r="BA54" i="2" s="1"/>
  <c r="Z55" i="2"/>
  <c r="BA55" i="2" s="1"/>
  <c r="Z56" i="2"/>
  <c r="BA56" i="2" s="1"/>
  <c r="Z57" i="2"/>
  <c r="BA57" i="2" s="1"/>
  <c r="Z58" i="2"/>
  <c r="BA58" i="2" s="1"/>
  <c r="Z59" i="2"/>
  <c r="BA59" i="2" s="1"/>
  <c r="Z60" i="2"/>
  <c r="BA60" i="2" s="1"/>
  <c r="Z61" i="2"/>
  <c r="BA61" i="2" s="1"/>
  <c r="Z62" i="2"/>
  <c r="BA62" i="2" s="1"/>
  <c r="Z63" i="2"/>
  <c r="BA63" i="2" s="1"/>
  <c r="Z64" i="2"/>
  <c r="BA64" i="2" s="1"/>
  <c r="Z65" i="2"/>
  <c r="BA65" i="2" s="1"/>
  <c r="Z66" i="2"/>
  <c r="BA66" i="2" s="1"/>
  <c r="Z67" i="2"/>
  <c r="BA67" i="2" s="1"/>
  <c r="Z68" i="2"/>
  <c r="BA68" i="2" s="1"/>
  <c r="Z69" i="2"/>
  <c r="BA69" i="2" s="1"/>
  <c r="Z70" i="2"/>
  <c r="BA70" i="2" s="1"/>
  <c r="Z71" i="2"/>
  <c r="BA71" i="2" s="1"/>
  <c r="Z72" i="2"/>
  <c r="BA72" i="2" s="1"/>
  <c r="Z73" i="2"/>
  <c r="BA73" i="2" s="1"/>
  <c r="Z74" i="2"/>
  <c r="BA74" i="2" s="1"/>
  <c r="Z75" i="2"/>
  <c r="BA75" i="2" s="1"/>
  <c r="Z76" i="2"/>
  <c r="BA76" i="2" s="1"/>
  <c r="Z77" i="2"/>
  <c r="BA77" i="2" s="1"/>
  <c r="Z78" i="2"/>
  <c r="BA78" i="2" s="1"/>
  <c r="Z79" i="2"/>
  <c r="BA79" i="2" s="1"/>
  <c r="Z80" i="2"/>
  <c r="BA80" i="2" s="1"/>
  <c r="Z81" i="2"/>
  <c r="BA81" i="2" s="1"/>
  <c r="Z82" i="2"/>
  <c r="BA82" i="2" s="1"/>
  <c r="Z83" i="2"/>
  <c r="BA83" i="2" s="1"/>
  <c r="Z84" i="2"/>
  <c r="BA84" i="2" s="1"/>
  <c r="Z85" i="2"/>
  <c r="BA85" i="2" s="1"/>
  <c r="Z86" i="2"/>
  <c r="BA86" i="2" s="1"/>
  <c r="Z87" i="2"/>
  <c r="BA87" i="2" s="1"/>
  <c r="Z88" i="2"/>
  <c r="BA88" i="2" s="1"/>
  <c r="Z89" i="2"/>
  <c r="BA89" i="2" s="1"/>
  <c r="Z90" i="2"/>
  <c r="BA90" i="2" s="1"/>
  <c r="Z91" i="2"/>
  <c r="BA91" i="2" s="1"/>
  <c r="Z92" i="2"/>
  <c r="BA92" i="2" s="1"/>
  <c r="Z93" i="2"/>
  <c r="BA93" i="2" s="1"/>
  <c r="Z94" i="2"/>
  <c r="BA94" i="2" s="1"/>
  <c r="Z95" i="2"/>
  <c r="BA95" i="2" s="1"/>
  <c r="Z96" i="2"/>
  <c r="BA96" i="2" s="1"/>
  <c r="Z97" i="2"/>
  <c r="BA97" i="2" s="1"/>
  <c r="Z98" i="2"/>
  <c r="BA98" i="2" s="1"/>
  <c r="Z99" i="2"/>
  <c r="BA99" i="2" s="1"/>
  <c r="Z100" i="2"/>
  <c r="BA100" i="2" s="1"/>
  <c r="Z101" i="2"/>
  <c r="BA101" i="2" s="1"/>
  <c r="Z102" i="2"/>
  <c r="BA102" i="2" s="1"/>
  <c r="Z103" i="2"/>
  <c r="BA103" i="2" s="1"/>
  <c r="Z104" i="2"/>
  <c r="BA104" i="2" s="1"/>
  <c r="Z105" i="2"/>
  <c r="BA105" i="2" s="1"/>
  <c r="Z106" i="2"/>
  <c r="BA106" i="2" s="1"/>
  <c r="Z107" i="2"/>
  <c r="BA107" i="2" s="1"/>
  <c r="Z108" i="2"/>
  <c r="BA108" i="2" s="1"/>
  <c r="Z109" i="2"/>
  <c r="BA109" i="2" s="1"/>
  <c r="Z110" i="2"/>
  <c r="BA110" i="2" s="1"/>
  <c r="Z111" i="2"/>
  <c r="BA111" i="2" s="1"/>
  <c r="Z112" i="2"/>
  <c r="BA112" i="2" s="1"/>
  <c r="Z113" i="2"/>
  <c r="BA113" i="2" s="1"/>
  <c r="Z114" i="2"/>
  <c r="BA114" i="2" s="1"/>
  <c r="Z115" i="2"/>
  <c r="BA115" i="2" s="1"/>
  <c r="Z116" i="2"/>
  <c r="BA116" i="2" s="1"/>
  <c r="Z117" i="2"/>
  <c r="BA117" i="2" s="1"/>
  <c r="Z118" i="2"/>
  <c r="BA118" i="2" s="1"/>
  <c r="Z119" i="2"/>
  <c r="BA119" i="2" s="1"/>
  <c r="Z120" i="2"/>
  <c r="BA120" i="2" s="1"/>
  <c r="Z121" i="2"/>
  <c r="BA121" i="2" s="1"/>
  <c r="Z122" i="2"/>
  <c r="BA122" i="2" s="1"/>
  <c r="Z123" i="2"/>
  <c r="BA123" i="2" s="1"/>
  <c r="Z124" i="2"/>
  <c r="BA124" i="2" s="1"/>
  <c r="Z125" i="2"/>
  <c r="BA125" i="2" s="1"/>
  <c r="Z126" i="2"/>
  <c r="BA126" i="2" s="1"/>
  <c r="Z127" i="2"/>
  <c r="BA127" i="2" s="1"/>
  <c r="Z128" i="2"/>
  <c r="BA128" i="2" s="1"/>
  <c r="Z129" i="2"/>
  <c r="BA129" i="2" s="1"/>
  <c r="AC2" i="2" l="1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BM5" i="6" l="1"/>
  <c r="BM7" i="6"/>
  <c r="BM9" i="6"/>
  <c r="BM11" i="6"/>
  <c r="BM13" i="6"/>
  <c r="BM15" i="6"/>
  <c r="BM17" i="6"/>
  <c r="BM32" i="6"/>
  <c r="BM34" i="6"/>
  <c r="BM36" i="6"/>
  <c r="BM38" i="6"/>
  <c r="BM40" i="6"/>
  <c r="BM42" i="6"/>
  <c r="BM44" i="6"/>
  <c r="BM46" i="6"/>
  <c r="BM48" i="6"/>
  <c r="BM50" i="6"/>
  <c r="BM52" i="6"/>
  <c r="BM54" i="6"/>
  <c r="BM56" i="6"/>
  <c r="BM58" i="6"/>
  <c r="BM60" i="6"/>
  <c r="BM62" i="6"/>
  <c r="BM64" i="6"/>
  <c r="BM66" i="6"/>
  <c r="BM69" i="6"/>
  <c r="BM106" i="6"/>
  <c r="BM108" i="6"/>
  <c r="BM116" i="6"/>
  <c r="BM120" i="6"/>
  <c r="BM125" i="6"/>
  <c r="BM130" i="6"/>
  <c r="BM19" i="6"/>
  <c r="BM21" i="6"/>
  <c r="BM23" i="6"/>
  <c r="BM25" i="6"/>
  <c r="BM27" i="6"/>
  <c r="BM29" i="6"/>
  <c r="BM37" i="6"/>
  <c r="BM39" i="6"/>
  <c r="BM41" i="6"/>
  <c r="BM43" i="6"/>
  <c r="BM45" i="6"/>
  <c r="BM47" i="6"/>
  <c r="BM49" i="6"/>
  <c r="BM51" i="6"/>
  <c r="BM53" i="6"/>
  <c r="BM55" i="6"/>
  <c r="BM57" i="6"/>
  <c r="BM59" i="6"/>
  <c r="BM61" i="6"/>
  <c r="BM63" i="6"/>
  <c r="BM65" i="6"/>
  <c r="BM67" i="6"/>
  <c r="BM107" i="6"/>
  <c r="BM118" i="6"/>
  <c r="BM122" i="6"/>
  <c r="BM128" i="6"/>
  <c r="BM132" i="6"/>
  <c r="BM117" i="6"/>
  <c r="BM119" i="6"/>
  <c r="BM121" i="6"/>
  <c r="BM123" i="6"/>
  <c r="BM124" i="6"/>
  <c r="BM131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92" i="6"/>
  <c r="BM104" i="6"/>
  <c r="BM129" i="6"/>
  <c r="BM91" i="6"/>
  <c r="BM95" i="6"/>
  <c r="BM99" i="6"/>
  <c r="BM103" i="6"/>
  <c r="BM111" i="6"/>
  <c r="BM96" i="6"/>
  <c r="BM100" i="6"/>
  <c r="BM112" i="6"/>
  <c r="BM126" i="6"/>
  <c r="BM90" i="6"/>
  <c r="BM94" i="6"/>
  <c r="BM98" i="6"/>
  <c r="BM102" i="6"/>
  <c r="BM110" i="6"/>
  <c r="BM114" i="6"/>
  <c r="BM127" i="6"/>
  <c r="BM89" i="6"/>
  <c r="BM93" i="6"/>
  <c r="BM97" i="6"/>
  <c r="BM101" i="6"/>
  <c r="BM109" i="6"/>
  <c r="BM113" i="6"/>
  <c r="U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AX2" i="2" l="1"/>
  <c r="AX3" i="2"/>
  <c r="AX4" i="2"/>
  <c r="AX5" i="2"/>
  <c r="AX6" i="2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6" i="4"/>
  <c r="A22" i="4"/>
  <c r="A38" i="4"/>
  <c r="A54" i="4"/>
  <c r="A70" i="4"/>
  <c r="A86" i="4"/>
  <c r="A102" i="4"/>
  <c r="A118" i="4"/>
  <c r="A134" i="4"/>
  <c r="A150" i="4"/>
  <c r="A166" i="4"/>
  <c r="A182" i="4"/>
  <c r="A198" i="4"/>
  <c r="A214" i="4"/>
  <c r="A5" i="4"/>
  <c r="A21" i="4"/>
  <c r="A37" i="4"/>
  <c r="A53" i="4"/>
  <c r="A69" i="4"/>
  <c r="A85" i="4"/>
  <c r="A4" i="4"/>
  <c r="A20" i="4"/>
  <c r="A36" i="4"/>
  <c r="A52" i="4"/>
  <c r="A68" i="4"/>
  <c r="A84" i="4"/>
  <c r="A100" i="4"/>
  <c r="A116" i="4"/>
  <c r="A132" i="4"/>
  <c r="A148" i="4"/>
  <c r="A164" i="4"/>
  <c r="A180" i="4"/>
  <c r="A196" i="4"/>
  <c r="A212" i="4"/>
  <c r="A3" i="4"/>
  <c r="A19" i="4"/>
  <c r="A35" i="4"/>
  <c r="A51" i="4"/>
  <c r="A67" i="4"/>
  <c r="A83" i="4"/>
  <c r="A99" i="4"/>
  <c r="A115" i="4"/>
  <c r="A131" i="4"/>
  <c r="A147" i="4"/>
  <c r="A163" i="4"/>
  <c r="A179" i="4"/>
  <c r="A195" i="4"/>
  <c r="A211" i="4"/>
  <c r="A227" i="4"/>
  <c r="A251" i="4"/>
  <c r="A252" i="4"/>
  <c r="A129" i="4"/>
  <c r="A193" i="4"/>
  <c r="A230" i="4"/>
  <c r="A125" i="4"/>
  <c r="A197" i="4"/>
  <c r="A2" i="4"/>
  <c r="A18" i="4"/>
  <c r="A34" i="4"/>
  <c r="A50" i="4"/>
  <c r="A66" i="4"/>
  <c r="A82" i="4"/>
  <c r="A98" i="4"/>
  <c r="A114" i="4"/>
  <c r="A130" i="4"/>
  <c r="A146" i="4"/>
  <c r="A162" i="4"/>
  <c r="A178" i="4"/>
  <c r="A194" i="4"/>
  <c r="A210" i="4"/>
  <c r="A226" i="4"/>
  <c r="A17" i="4"/>
  <c r="A33" i="4"/>
  <c r="A49" i="4"/>
  <c r="A65" i="4"/>
  <c r="A81" i="4"/>
  <c r="A97" i="4"/>
  <c r="A16" i="4"/>
  <c r="A32" i="4"/>
  <c r="A48" i="4"/>
  <c r="A64" i="4"/>
  <c r="A80" i="4"/>
  <c r="A96" i="4"/>
  <c r="A112" i="4"/>
  <c r="A128" i="4"/>
  <c r="A144" i="4"/>
  <c r="A160" i="4"/>
  <c r="A176" i="4"/>
  <c r="A208" i="4"/>
  <c r="A15" i="4"/>
  <c r="A31" i="4"/>
  <c r="A63" i="4"/>
  <c r="A95" i="4"/>
  <c r="A127" i="4"/>
  <c r="A159" i="4"/>
  <c r="A191" i="4"/>
  <c r="A223" i="4"/>
  <c r="A255" i="4"/>
  <c r="A149" i="4"/>
  <c r="A121" i="4"/>
  <c r="A185" i="4"/>
  <c r="A249" i="4"/>
  <c r="A117" i="4"/>
  <c r="A189" i="4"/>
  <c r="A236" i="4"/>
  <c r="A145" i="4"/>
  <c r="A232" i="4"/>
  <c r="A229" i="4"/>
  <c r="A14" i="4"/>
  <c r="A30" i="4"/>
  <c r="A46" i="4"/>
  <c r="A62" i="4"/>
  <c r="A78" i="4"/>
  <c r="A94" i="4"/>
  <c r="A110" i="4"/>
  <c r="A126" i="4"/>
  <c r="A142" i="4"/>
  <c r="A158" i="4"/>
  <c r="A174" i="4"/>
  <c r="A190" i="4"/>
  <c r="A206" i="4"/>
  <c r="A222" i="4"/>
  <c r="A13" i="4"/>
  <c r="A29" i="4"/>
  <c r="A45" i="4"/>
  <c r="A61" i="4"/>
  <c r="A77" i="4"/>
  <c r="A93" i="4"/>
  <c r="A12" i="4"/>
  <c r="A28" i="4"/>
  <c r="A44" i="4"/>
  <c r="A60" i="4"/>
  <c r="A76" i="4"/>
  <c r="A92" i="4"/>
  <c r="A108" i="4"/>
  <c r="A124" i="4"/>
  <c r="A140" i="4"/>
  <c r="A156" i="4"/>
  <c r="A172" i="4"/>
  <c r="A188" i="4"/>
  <c r="A204" i="4"/>
  <c r="A220" i="4"/>
  <c r="A11" i="4"/>
  <c r="A27" i="4"/>
  <c r="A43" i="4"/>
  <c r="A59" i="4"/>
  <c r="A75" i="4"/>
  <c r="A91" i="4"/>
  <c r="A107" i="4"/>
  <c r="A123" i="4"/>
  <c r="A139" i="4"/>
  <c r="A155" i="4"/>
  <c r="A171" i="4"/>
  <c r="A187" i="4"/>
  <c r="A203" i="4"/>
  <c r="A219" i="4"/>
  <c r="A243" i="4"/>
  <c r="A250" i="4"/>
  <c r="A237" i="4"/>
  <c r="A161" i="4"/>
  <c r="A225" i="4"/>
  <c r="A1" i="4"/>
  <c r="A165" i="4"/>
  <c r="A253" i="4"/>
  <c r="A10" i="4"/>
  <c r="A26" i="4"/>
  <c r="A42" i="4"/>
  <c r="A58" i="4"/>
  <c r="A74" i="4"/>
  <c r="A90" i="4"/>
  <c r="A106" i="4"/>
  <c r="A122" i="4"/>
  <c r="A138" i="4"/>
  <c r="A154" i="4"/>
  <c r="A170" i="4"/>
  <c r="A186" i="4"/>
  <c r="A202" i="4"/>
  <c r="A218" i="4"/>
  <c r="A9" i="4"/>
  <c r="A25" i="4"/>
  <c r="A41" i="4"/>
  <c r="A57" i="4"/>
  <c r="A73" i="4"/>
  <c r="A89" i="4"/>
  <c r="A8" i="4"/>
  <c r="A24" i="4"/>
  <c r="A40" i="4"/>
  <c r="A56" i="4"/>
  <c r="A72" i="4"/>
  <c r="A88" i="4"/>
  <c r="A104" i="4"/>
  <c r="A120" i="4"/>
  <c r="A136" i="4"/>
  <c r="A152" i="4"/>
  <c r="A168" i="4"/>
  <c r="A184" i="4"/>
  <c r="A200" i="4"/>
  <c r="A216" i="4"/>
  <c r="A7" i="4"/>
  <c r="A23" i="4"/>
  <c r="A39" i="4"/>
  <c r="A55" i="4"/>
  <c r="A71" i="4"/>
  <c r="A87" i="4"/>
  <c r="A103" i="4"/>
  <c r="A119" i="4"/>
  <c r="A135" i="4"/>
  <c r="A151" i="4"/>
  <c r="A167" i="4"/>
  <c r="A183" i="4"/>
  <c r="A199" i="4"/>
  <c r="A215" i="4"/>
  <c r="A231" i="4"/>
  <c r="A247" i="4"/>
  <c r="A242" i="4"/>
  <c r="A244" i="4"/>
  <c r="A221" i="4"/>
  <c r="A105" i="4"/>
  <c r="A137" i="4"/>
  <c r="A169" i="4"/>
  <c r="A201" i="4"/>
  <c r="A233" i="4"/>
  <c r="A246" i="4"/>
  <c r="A101" i="4"/>
  <c r="A133" i="4"/>
  <c r="A173" i="4"/>
  <c r="A213" i="4"/>
  <c r="A254" i="4"/>
  <c r="A234" i="4"/>
  <c r="A205" i="4"/>
  <c r="A113" i="4"/>
  <c r="A177" i="4"/>
  <c r="A241" i="4"/>
  <c r="A109" i="4"/>
  <c r="A181" i="4"/>
  <c r="A256" i="4"/>
  <c r="A192" i="4"/>
  <c r="A224" i="4"/>
  <c r="A47" i="4"/>
  <c r="A79" i="4"/>
  <c r="A111" i="4"/>
  <c r="A143" i="4"/>
  <c r="A175" i="4"/>
  <c r="A207" i="4"/>
  <c r="A239" i="4"/>
  <c r="A228" i="4"/>
  <c r="A238" i="4"/>
  <c r="A153" i="4"/>
  <c r="A217" i="4"/>
  <c r="A248" i="4"/>
  <c r="A157" i="4"/>
  <c r="A245" i="4"/>
  <c r="A235" i="4"/>
  <c r="A240" i="4"/>
  <c r="A209" i="4"/>
  <c r="A141" i="4"/>
  <c r="BM105" i="6" l="1"/>
  <c r="BM30" i="6"/>
  <c r="BM8" i="6"/>
  <c r="BM16" i="6"/>
  <c r="BM24" i="6"/>
  <c r="BM10" i="6"/>
  <c r="BM18" i="6"/>
  <c r="BM26" i="6"/>
  <c r="BM115" i="6"/>
  <c r="BM35" i="6"/>
  <c r="BM33" i="6"/>
  <c r="BM68" i="6"/>
  <c r="BM12" i="6"/>
  <c r="BM20" i="6"/>
  <c r="BM28" i="6"/>
  <c r="BM6" i="6"/>
  <c r="BM14" i="6"/>
  <c r="BM22" i="6"/>
  <c r="BM31" i="6"/>
  <c r="AZ3" i="2"/>
  <c r="AZ4" i="2"/>
  <c r="AZ5" i="2"/>
  <c r="AZ6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3" i="2"/>
  <c r="AZ104" i="2"/>
  <c r="AZ105" i="2"/>
  <c r="AZ106" i="2"/>
  <c r="AZ107" i="2"/>
  <c r="AZ108" i="2"/>
  <c r="AZ109" i="2"/>
  <c r="AZ110" i="2"/>
  <c r="AZ111" i="2"/>
  <c r="AZ112" i="2"/>
  <c r="AZ113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2" i="2"/>
  <c r="AY2" i="2"/>
  <c r="AY3" i="2"/>
  <c r="AY4" i="2"/>
  <c r="AY5" i="2"/>
  <c r="AY6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29" i="2"/>
  <c r="AW2" i="2"/>
  <c r="AW3" i="2"/>
  <c r="AW4" i="2"/>
  <c r="AW5" i="2"/>
  <c r="AW6" i="2"/>
  <c r="AW7" i="2"/>
  <c r="AW8" i="2"/>
  <c r="AW9" i="2"/>
  <c r="AW10" i="2"/>
  <c r="AW11" i="2"/>
  <c r="AW12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34" i="2"/>
  <c r="AW35" i="2"/>
  <c r="AW36" i="2"/>
  <c r="AW37" i="2"/>
  <c r="AW38" i="2"/>
  <c r="AW39" i="2"/>
  <c r="AW40" i="2"/>
  <c r="AW41" i="2"/>
  <c r="AW42" i="2"/>
  <c r="AW43" i="2"/>
  <c r="AW44" i="2"/>
  <c r="AW45" i="2"/>
  <c r="AW46" i="2"/>
  <c r="AW47" i="2"/>
  <c r="AW48" i="2"/>
  <c r="AW49" i="2"/>
  <c r="AW50" i="2"/>
  <c r="AW51" i="2"/>
  <c r="AW52" i="2"/>
  <c r="AW53" i="2"/>
  <c r="AW54" i="2"/>
  <c r="AW55" i="2"/>
  <c r="AW56" i="2"/>
  <c r="AW57" i="2"/>
  <c r="AW58" i="2"/>
  <c r="AW59" i="2"/>
  <c r="AW60" i="2"/>
  <c r="AW61" i="2"/>
  <c r="AW62" i="2"/>
  <c r="AW63" i="2"/>
  <c r="AW64" i="2"/>
  <c r="AW65" i="2"/>
  <c r="AW66" i="2"/>
  <c r="AW67" i="2"/>
  <c r="AW68" i="2"/>
  <c r="AW69" i="2"/>
  <c r="AW70" i="2"/>
  <c r="AW71" i="2"/>
  <c r="AW72" i="2"/>
  <c r="AW73" i="2"/>
  <c r="AW74" i="2"/>
  <c r="AW75" i="2"/>
  <c r="AW76" i="2"/>
  <c r="AW77" i="2"/>
  <c r="AW78" i="2"/>
  <c r="AW79" i="2"/>
  <c r="AW80" i="2"/>
  <c r="AW81" i="2"/>
  <c r="AW82" i="2"/>
  <c r="AW83" i="2"/>
  <c r="AW84" i="2"/>
  <c r="AW85" i="2"/>
  <c r="AW86" i="2"/>
  <c r="AW87" i="2"/>
  <c r="AW88" i="2"/>
  <c r="AW89" i="2"/>
  <c r="AW90" i="2"/>
  <c r="AW91" i="2"/>
  <c r="AW92" i="2"/>
  <c r="AW93" i="2"/>
  <c r="AW94" i="2"/>
  <c r="AW95" i="2"/>
  <c r="AW96" i="2"/>
  <c r="AW97" i="2"/>
  <c r="AW98" i="2"/>
  <c r="AW99" i="2"/>
  <c r="AW100" i="2"/>
  <c r="AW101" i="2"/>
  <c r="AW102" i="2"/>
  <c r="AW103" i="2"/>
  <c r="AW104" i="2"/>
  <c r="AW105" i="2"/>
  <c r="AW106" i="2"/>
  <c r="AW107" i="2"/>
  <c r="AW108" i="2"/>
  <c r="AW109" i="2"/>
  <c r="AW110" i="2"/>
  <c r="AW111" i="2"/>
  <c r="AW112" i="2"/>
  <c r="AW113" i="2"/>
  <c r="AW114" i="2"/>
  <c r="AW115" i="2"/>
  <c r="AW116" i="2"/>
  <c r="AW117" i="2"/>
  <c r="AW118" i="2"/>
  <c r="AW119" i="2"/>
  <c r="AW120" i="2"/>
  <c r="AW121" i="2"/>
  <c r="AW122" i="2"/>
  <c r="AW123" i="2"/>
  <c r="AW124" i="2"/>
  <c r="AW125" i="2"/>
  <c r="AW126" i="2"/>
  <c r="AW127" i="2"/>
  <c r="AW128" i="2"/>
  <c r="AW129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AD3" i="2"/>
  <c r="AD4" i="2"/>
  <c r="AD6" i="2"/>
  <c r="AD7" i="2"/>
  <c r="AD8" i="2"/>
  <c r="AD10" i="2"/>
  <c r="AH11" i="2"/>
  <c r="AH12" i="2"/>
  <c r="AD14" i="2"/>
  <c r="AD15" i="2"/>
  <c r="AD16" i="2"/>
  <c r="AD18" i="2"/>
  <c r="AD19" i="2"/>
  <c r="AD20" i="2"/>
  <c r="AD22" i="2"/>
  <c r="AD23" i="2"/>
  <c r="AD24" i="2"/>
  <c r="AD26" i="2"/>
  <c r="AH27" i="2"/>
  <c r="AH28" i="2"/>
  <c r="AH30" i="2"/>
  <c r="AH31" i="2"/>
  <c r="AH32" i="2"/>
  <c r="AH34" i="2"/>
  <c r="AH35" i="2"/>
  <c r="AH36" i="2"/>
  <c r="AH38" i="2"/>
  <c r="AH39" i="2"/>
  <c r="AH40" i="2"/>
  <c r="AH42" i="2"/>
  <c r="AH43" i="2"/>
  <c r="AH44" i="2"/>
  <c r="AH46" i="2"/>
  <c r="AH47" i="2"/>
  <c r="AH48" i="2"/>
  <c r="AH50" i="2"/>
  <c r="AH51" i="2"/>
  <c r="AH52" i="2"/>
  <c r="AH54" i="2"/>
  <c r="AH55" i="2"/>
  <c r="AH56" i="2"/>
  <c r="AH58" i="2"/>
  <c r="AH59" i="2"/>
  <c r="AH60" i="2"/>
  <c r="AH62" i="2"/>
  <c r="AH63" i="2"/>
  <c r="AH64" i="2"/>
  <c r="AH66" i="2"/>
  <c r="AH67" i="2"/>
  <c r="AH68" i="2"/>
  <c r="AH70" i="2"/>
  <c r="AH71" i="2"/>
  <c r="AH72" i="2"/>
  <c r="AH74" i="2"/>
  <c r="AH75" i="2"/>
  <c r="AH78" i="2"/>
  <c r="AH79" i="2"/>
  <c r="AH82" i="2"/>
  <c r="AH83" i="2"/>
  <c r="AH86" i="2"/>
  <c r="AH87" i="2"/>
  <c r="AH90" i="2"/>
  <c r="AH91" i="2"/>
  <c r="AH94" i="2"/>
  <c r="AH95" i="2"/>
  <c r="AH98" i="2"/>
  <c r="AH99" i="2"/>
  <c r="AH102" i="2"/>
  <c r="AH103" i="2"/>
  <c r="AH106" i="2"/>
  <c r="AH107" i="2"/>
  <c r="AH110" i="2"/>
  <c r="AH111" i="2"/>
  <c r="AH114" i="2"/>
  <c r="AH115" i="2"/>
  <c r="AH118" i="2"/>
  <c r="AH119" i="2"/>
  <c r="AH122" i="2"/>
  <c r="AH123" i="2"/>
  <c r="AH126" i="2"/>
  <c r="AH127" i="2"/>
  <c r="AD2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66" i="2"/>
  <c r="W35" i="2"/>
  <c r="AX35" i="2" s="1"/>
  <c r="W36" i="2"/>
  <c r="AX36" i="2" s="1"/>
  <c r="W37" i="2"/>
  <c r="AX37" i="2" s="1"/>
  <c r="W38" i="2"/>
  <c r="AX38" i="2" s="1"/>
  <c r="W39" i="2"/>
  <c r="AX39" i="2" s="1"/>
  <c r="W40" i="2"/>
  <c r="AX40" i="2" s="1"/>
  <c r="W41" i="2"/>
  <c r="AX41" i="2" s="1"/>
  <c r="W42" i="2"/>
  <c r="AX42" i="2" s="1"/>
  <c r="W43" i="2"/>
  <c r="AX43" i="2" s="1"/>
  <c r="W44" i="2"/>
  <c r="AX44" i="2" s="1"/>
  <c r="W45" i="2"/>
  <c r="AX45" i="2" s="1"/>
  <c r="W46" i="2"/>
  <c r="AX46" i="2" s="1"/>
  <c r="W47" i="2"/>
  <c r="AX47" i="2" s="1"/>
  <c r="W48" i="2"/>
  <c r="AX48" i="2" s="1"/>
  <c r="W49" i="2"/>
  <c r="AX49" i="2" s="1"/>
  <c r="W50" i="2"/>
  <c r="AX50" i="2" s="1"/>
  <c r="W51" i="2"/>
  <c r="AX51" i="2" s="1"/>
  <c r="W52" i="2"/>
  <c r="AX52" i="2" s="1"/>
  <c r="W53" i="2"/>
  <c r="AX53" i="2" s="1"/>
  <c r="W54" i="2"/>
  <c r="AX54" i="2" s="1"/>
  <c r="W55" i="2"/>
  <c r="AX55" i="2" s="1"/>
  <c r="W56" i="2"/>
  <c r="AX56" i="2" s="1"/>
  <c r="W57" i="2"/>
  <c r="AX57" i="2" s="1"/>
  <c r="W58" i="2"/>
  <c r="AX58" i="2" s="1"/>
  <c r="W59" i="2"/>
  <c r="AX59" i="2" s="1"/>
  <c r="W60" i="2"/>
  <c r="AX60" i="2" s="1"/>
  <c r="W61" i="2"/>
  <c r="AX61" i="2" s="1"/>
  <c r="W62" i="2"/>
  <c r="AX62" i="2" s="1"/>
  <c r="W63" i="2"/>
  <c r="AX63" i="2" s="1"/>
  <c r="W64" i="2"/>
  <c r="AX64" i="2" s="1"/>
  <c r="W65" i="2"/>
  <c r="AX65" i="2" s="1"/>
  <c r="W34" i="2"/>
  <c r="AX34" i="2" s="1"/>
  <c r="W98" i="2" l="1"/>
  <c r="AX98" i="2" s="1"/>
  <c r="AX66" i="2"/>
  <c r="W128" i="2"/>
  <c r="AX128" i="2" s="1"/>
  <c r="AX96" i="2"/>
  <c r="W126" i="2"/>
  <c r="AX126" i="2" s="1"/>
  <c r="AX94" i="2"/>
  <c r="W124" i="2"/>
  <c r="AX124" i="2" s="1"/>
  <c r="AX92" i="2"/>
  <c r="W122" i="2"/>
  <c r="AX122" i="2" s="1"/>
  <c r="AX90" i="2"/>
  <c r="W120" i="2"/>
  <c r="AX120" i="2" s="1"/>
  <c r="AX88" i="2"/>
  <c r="W118" i="2"/>
  <c r="AX118" i="2" s="1"/>
  <c r="AX86" i="2"/>
  <c r="W116" i="2"/>
  <c r="AX116" i="2" s="1"/>
  <c r="AX84" i="2"/>
  <c r="W114" i="2"/>
  <c r="AX114" i="2" s="1"/>
  <c r="AX82" i="2"/>
  <c r="W112" i="2"/>
  <c r="AX112" i="2" s="1"/>
  <c r="AX80" i="2"/>
  <c r="W110" i="2"/>
  <c r="AX110" i="2" s="1"/>
  <c r="AX78" i="2"/>
  <c r="W108" i="2"/>
  <c r="AX108" i="2" s="1"/>
  <c r="AX76" i="2"/>
  <c r="W106" i="2"/>
  <c r="AX106" i="2" s="1"/>
  <c r="AX74" i="2"/>
  <c r="W104" i="2"/>
  <c r="AX104" i="2" s="1"/>
  <c r="AX72" i="2"/>
  <c r="W102" i="2"/>
  <c r="AX102" i="2" s="1"/>
  <c r="AX70" i="2"/>
  <c r="W100" i="2"/>
  <c r="AX100" i="2" s="1"/>
  <c r="AX68" i="2"/>
  <c r="W129" i="2"/>
  <c r="AX129" i="2" s="1"/>
  <c r="AX97" i="2"/>
  <c r="W127" i="2"/>
  <c r="AX127" i="2" s="1"/>
  <c r="AX95" i="2"/>
  <c r="W125" i="2"/>
  <c r="AX125" i="2" s="1"/>
  <c r="AX93" i="2"/>
  <c r="W123" i="2"/>
  <c r="AX123" i="2" s="1"/>
  <c r="AX91" i="2"/>
  <c r="W121" i="2"/>
  <c r="AX121" i="2" s="1"/>
  <c r="AX89" i="2"/>
  <c r="W119" i="2"/>
  <c r="AX119" i="2" s="1"/>
  <c r="AX87" i="2"/>
  <c r="W117" i="2"/>
  <c r="AX117" i="2" s="1"/>
  <c r="AX85" i="2"/>
  <c r="W115" i="2"/>
  <c r="AX115" i="2" s="1"/>
  <c r="AX83" i="2"/>
  <c r="W113" i="2"/>
  <c r="AX113" i="2" s="1"/>
  <c r="AX81" i="2"/>
  <c r="W111" i="2"/>
  <c r="AX111" i="2" s="1"/>
  <c r="AX79" i="2"/>
  <c r="W109" i="2"/>
  <c r="AX109" i="2" s="1"/>
  <c r="AX77" i="2"/>
  <c r="W107" i="2"/>
  <c r="AX107" i="2" s="1"/>
  <c r="AX75" i="2"/>
  <c r="W105" i="2"/>
  <c r="AX105" i="2" s="1"/>
  <c r="AX73" i="2"/>
  <c r="W103" i="2"/>
  <c r="AX103" i="2" s="1"/>
  <c r="AX71" i="2"/>
  <c r="W101" i="2"/>
  <c r="AX101" i="2" s="1"/>
  <c r="AX69" i="2"/>
  <c r="W99" i="2"/>
  <c r="AX99" i="2" s="1"/>
  <c r="AX67" i="2"/>
  <c r="AS2" i="2"/>
  <c r="AN2" i="2"/>
  <c r="AI2" i="2"/>
  <c r="AS26" i="2"/>
  <c r="AN26" i="2"/>
  <c r="AI26" i="2"/>
  <c r="AS22" i="2"/>
  <c r="AN22" i="2"/>
  <c r="AI22" i="2"/>
  <c r="AS18" i="2"/>
  <c r="AN18" i="2"/>
  <c r="AI18" i="2"/>
  <c r="AS14" i="2"/>
  <c r="AN14" i="2"/>
  <c r="AI14" i="2"/>
  <c r="AS10" i="2"/>
  <c r="AN10" i="2"/>
  <c r="AI10" i="2"/>
  <c r="AS6" i="2"/>
  <c r="AN6" i="2"/>
  <c r="AI6" i="2"/>
  <c r="AR129" i="2"/>
  <c r="AM129" i="2"/>
  <c r="AH129" i="2"/>
  <c r="AD129" i="2"/>
  <c r="AR125" i="2"/>
  <c r="AM125" i="2"/>
  <c r="AH125" i="2"/>
  <c r="AD125" i="2"/>
  <c r="AR121" i="2"/>
  <c r="AM121" i="2"/>
  <c r="AH121" i="2"/>
  <c r="AD121" i="2"/>
  <c r="AR128" i="2"/>
  <c r="AM128" i="2"/>
  <c r="AH128" i="2"/>
  <c r="AD128" i="2"/>
  <c r="AR124" i="2"/>
  <c r="AM124" i="2"/>
  <c r="AH124" i="2"/>
  <c r="AD124" i="2"/>
  <c r="AR120" i="2"/>
  <c r="AM120" i="2"/>
  <c r="AH120" i="2"/>
  <c r="AD120" i="2"/>
  <c r="AR116" i="2"/>
  <c r="AM116" i="2"/>
  <c r="AH116" i="2"/>
  <c r="AD116" i="2"/>
  <c r="AR112" i="2"/>
  <c r="AM112" i="2"/>
  <c r="AH112" i="2"/>
  <c r="AD112" i="2"/>
  <c r="AR108" i="2"/>
  <c r="AM108" i="2"/>
  <c r="AH108" i="2"/>
  <c r="AD108" i="2"/>
  <c r="AR104" i="2"/>
  <c r="AM104" i="2"/>
  <c r="AH104" i="2"/>
  <c r="AD104" i="2"/>
  <c r="AR100" i="2"/>
  <c r="AM100" i="2"/>
  <c r="AH100" i="2"/>
  <c r="AD100" i="2"/>
  <c r="AR96" i="2"/>
  <c r="AM96" i="2"/>
  <c r="AH96" i="2"/>
  <c r="AD96" i="2"/>
  <c r="AR92" i="2"/>
  <c r="AM92" i="2"/>
  <c r="AH92" i="2"/>
  <c r="AD92" i="2"/>
  <c r="AR88" i="2"/>
  <c r="AM88" i="2"/>
  <c r="AH88" i="2"/>
  <c r="AD88" i="2"/>
  <c r="AR84" i="2"/>
  <c r="AM84" i="2"/>
  <c r="AH84" i="2"/>
  <c r="AD84" i="2"/>
  <c r="AR80" i="2"/>
  <c r="AM80" i="2"/>
  <c r="AH80" i="2"/>
  <c r="AD80" i="2"/>
  <c r="AR76" i="2"/>
  <c r="AM76" i="2"/>
  <c r="AH76" i="2"/>
  <c r="AD76" i="2"/>
  <c r="AS24" i="2"/>
  <c r="AN24" i="2"/>
  <c r="AI24" i="2"/>
  <c r="AS20" i="2"/>
  <c r="AN20" i="2"/>
  <c r="AI20" i="2"/>
  <c r="AS16" i="2"/>
  <c r="AN16" i="2"/>
  <c r="AI16" i="2"/>
  <c r="AS8" i="2"/>
  <c r="AN8" i="2"/>
  <c r="AI8" i="2"/>
  <c r="AS4" i="2"/>
  <c r="AN4" i="2"/>
  <c r="AI4" i="2"/>
  <c r="AS23" i="2"/>
  <c r="AN23" i="2"/>
  <c r="AI23" i="2"/>
  <c r="AS19" i="2"/>
  <c r="AN19" i="2"/>
  <c r="AI19" i="2"/>
  <c r="AS15" i="2"/>
  <c r="AN15" i="2"/>
  <c r="AI15" i="2"/>
  <c r="AS7" i="2"/>
  <c r="AN7" i="2"/>
  <c r="AI7" i="2"/>
  <c r="AS3" i="2"/>
  <c r="AN3" i="2"/>
  <c r="AI3" i="2"/>
  <c r="AR117" i="2"/>
  <c r="AM117" i="2"/>
  <c r="AR113" i="2"/>
  <c r="AM113" i="2"/>
  <c r="AR109" i="2"/>
  <c r="AM109" i="2"/>
  <c r="AR105" i="2"/>
  <c r="AM105" i="2"/>
  <c r="AR101" i="2"/>
  <c r="AM101" i="2"/>
  <c r="AR97" i="2"/>
  <c r="AM97" i="2"/>
  <c r="AR93" i="2"/>
  <c r="AM93" i="2"/>
  <c r="AR89" i="2"/>
  <c r="AM89" i="2"/>
  <c r="AR85" i="2"/>
  <c r="AM85" i="2"/>
  <c r="AR81" i="2"/>
  <c r="AM81" i="2"/>
  <c r="AR77" i="2"/>
  <c r="AM77" i="2"/>
  <c r="AR73" i="2"/>
  <c r="AM73" i="2"/>
  <c r="AR69" i="2"/>
  <c r="AM69" i="2"/>
  <c r="AR65" i="2"/>
  <c r="AM65" i="2"/>
  <c r="AR61" i="2"/>
  <c r="AM61" i="2"/>
  <c r="AR57" i="2"/>
  <c r="AM57" i="2"/>
  <c r="AR53" i="2"/>
  <c r="AM53" i="2"/>
  <c r="AR49" i="2"/>
  <c r="AM49" i="2"/>
  <c r="AR45" i="2"/>
  <c r="AM45" i="2"/>
  <c r="AR41" i="2"/>
  <c r="AM41" i="2"/>
  <c r="AR37" i="2"/>
  <c r="AM37" i="2"/>
  <c r="AR33" i="2"/>
  <c r="AM33" i="2"/>
  <c r="AR29" i="2"/>
  <c r="AM29" i="2"/>
  <c r="AR25" i="2"/>
  <c r="AM25" i="2"/>
  <c r="AR21" i="2"/>
  <c r="AM21" i="2"/>
  <c r="AR17" i="2"/>
  <c r="AM17" i="2"/>
  <c r="AR13" i="2"/>
  <c r="AM13" i="2"/>
  <c r="AR9" i="2"/>
  <c r="AM9" i="2"/>
  <c r="AR5" i="2"/>
  <c r="AM5" i="2"/>
  <c r="AD72" i="2"/>
  <c r="AD68" i="2"/>
  <c r="AD64" i="2"/>
  <c r="AD60" i="2"/>
  <c r="AD56" i="2"/>
  <c r="AD52" i="2"/>
  <c r="AD48" i="2"/>
  <c r="AD44" i="2"/>
  <c r="AD40" i="2"/>
  <c r="AD36" i="2"/>
  <c r="AD32" i="2"/>
  <c r="AD28" i="2"/>
  <c r="AD12" i="2"/>
  <c r="AH23" i="2"/>
  <c r="AH17" i="2"/>
  <c r="AH7" i="2"/>
  <c r="AR72" i="2"/>
  <c r="AM72" i="2"/>
  <c r="AR68" i="2"/>
  <c r="AM68" i="2"/>
  <c r="AR64" i="2"/>
  <c r="AM64" i="2"/>
  <c r="AR60" i="2"/>
  <c r="AM60" i="2"/>
  <c r="AR56" i="2"/>
  <c r="AM56" i="2"/>
  <c r="AR52" i="2"/>
  <c r="AM52" i="2"/>
  <c r="AR48" i="2"/>
  <c r="AM48" i="2"/>
  <c r="AR44" i="2"/>
  <c r="AM44" i="2"/>
  <c r="AR40" i="2"/>
  <c r="AM40" i="2"/>
  <c r="AR36" i="2"/>
  <c r="AM36" i="2"/>
  <c r="AR32" i="2"/>
  <c r="AM32" i="2"/>
  <c r="AR28" i="2"/>
  <c r="AM28" i="2"/>
  <c r="AR24" i="2"/>
  <c r="AM24" i="2"/>
  <c r="AR20" i="2"/>
  <c r="AM20" i="2"/>
  <c r="AR16" i="2"/>
  <c r="AM16" i="2"/>
  <c r="AR12" i="2"/>
  <c r="AM12" i="2"/>
  <c r="AR8" i="2"/>
  <c r="AM8" i="2"/>
  <c r="AR4" i="2"/>
  <c r="AM4" i="2"/>
  <c r="AD127" i="2"/>
  <c r="AD123" i="2"/>
  <c r="AD119" i="2"/>
  <c r="AD115" i="2"/>
  <c r="AD111" i="2"/>
  <c r="AD107" i="2"/>
  <c r="AD103" i="2"/>
  <c r="AD99" i="2"/>
  <c r="AD95" i="2"/>
  <c r="AD91" i="2"/>
  <c r="AD87" i="2"/>
  <c r="AD83" i="2"/>
  <c r="AD79" i="2"/>
  <c r="AD75" i="2"/>
  <c r="AD71" i="2"/>
  <c r="AD67" i="2"/>
  <c r="AD63" i="2"/>
  <c r="AD59" i="2"/>
  <c r="AD55" i="2"/>
  <c r="AD51" i="2"/>
  <c r="AD47" i="2"/>
  <c r="AD43" i="2"/>
  <c r="AD39" i="2"/>
  <c r="AD35" i="2"/>
  <c r="AD31" i="2"/>
  <c r="AD27" i="2"/>
  <c r="AD11" i="2"/>
  <c r="AH21" i="2"/>
  <c r="AH16" i="2"/>
  <c r="AH5" i="2"/>
  <c r="AR127" i="2"/>
  <c r="AM127" i="2"/>
  <c r="AR123" i="2"/>
  <c r="AM123" i="2"/>
  <c r="AR119" i="2"/>
  <c r="AM119" i="2"/>
  <c r="AR115" i="2"/>
  <c r="AM115" i="2"/>
  <c r="AR111" i="2"/>
  <c r="AM111" i="2"/>
  <c r="AR107" i="2"/>
  <c r="AM107" i="2"/>
  <c r="AR103" i="2"/>
  <c r="AM103" i="2"/>
  <c r="AR99" i="2"/>
  <c r="AM99" i="2"/>
  <c r="AR95" i="2"/>
  <c r="AM95" i="2"/>
  <c r="AR91" i="2"/>
  <c r="AM91" i="2"/>
  <c r="AR87" i="2"/>
  <c r="AM87" i="2"/>
  <c r="AR83" i="2"/>
  <c r="AM83" i="2"/>
  <c r="AR79" i="2"/>
  <c r="AM79" i="2"/>
  <c r="AR75" i="2"/>
  <c r="AM75" i="2"/>
  <c r="AR71" i="2"/>
  <c r="AM71" i="2"/>
  <c r="AR67" i="2"/>
  <c r="AM67" i="2"/>
  <c r="AR63" i="2"/>
  <c r="AM63" i="2"/>
  <c r="AR59" i="2"/>
  <c r="AM59" i="2"/>
  <c r="AR55" i="2"/>
  <c r="AM55" i="2"/>
  <c r="AR51" i="2"/>
  <c r="AM51" i="2"/>
  <c r="AR47" i="2"/>
  <c r="AM47" i="2"/>
  <c r="AR43" i="2"/>
  <c r="AM43" i="2"/>
  <c r="AR39" i="2"/>
  <c r="AM39" i="2"/>
  <c r="AR35" i="2"/>
  <c r="AM35" i="2"/>
  <c r="AR31" i="2"/>
  <c r="AM31" i="2"/>
  <c r="AR27" i="2"/>
  <c r="AM27" i="2"/>
  <c r="AR23" i="2"/>
  <c r="AM23" i="2"/>
  <c r="AR19" i="2"/>
  <c r="AM19" i="2"/>
  <c r="AR15" i="2"/>
  <c r="AM15" i="2"/>
  <c r="AR11" i="2"/>
  <c r="AM11" i="2"/>
  <c r="AR7" i="2"/>
  <c r="AM7" i="2"/>
  <c r="AR3" i="2"/>
  <c r="AM3" i="2"/>
  <c r="AD126" i="2"/>
  <c r="AD122" i="2"/>
  <c r="AD118" i="2"/>
  <c r="AD114" i="2"/>
  <c r="AD110" i="2"/>
  <c r="AD106" i="2"/>
  <c r="AD102" i="2"/>
  <c r="AD98" i="2"/>
  <c r="AD94" i="2"/>
  <c r="AD90" i="2"/>
  <c r="AD86" i="2"/>
  <c r="AD82" i="2"/>
  <c r="AD78" i="2"/>
  <c r="AD74" i="2"/>
  <c r="AD70" i="2"/>
  <c r="AD66" i="2"/>
  <c r="AD62" i="2"/>
  <c r="AD58" i="2"/>
  <c r="AD54" i="2"/>
  <c r="AD50" i="2"/>
  <c r="AD46" i="2"/>
  <c r="AD42" i="2"/>
  <c r="AD38" i="2"/>
  <c r="AD34" i="2"/>
  <c r="AD30" i="2"/>
  <c r="AH25" i="2"/>
  <c r="AH20" i="2"/>
  <c r="AH15" i="2"/>
  <c r="AH9" i="2"/>
  <c r="AH4" i="2"/>
  <c r="AR2" i="2"/>
  <c r="AM2" i="2"/>
  <c r="AH2" i="2"/>
  <c r="AR126" i="2"/>
  <c r="AM126" i="2"/>
  <c r="AR122" i="2"/>
  <c r="AM122" i="2"/>
  <c r="AR118" i="2"/>
  <c r="AM118" i="2"/>
  <c r="AR114" i="2"/>
  <c r="AM114" i="2"/>
  <c r="AR110" i="2"/>
  <c r="AM110" i="2"/>
  <c r="AR106" i="2"/>
  <c r="AM106" i="2"/>
  <c r="AR102" i="2"/>
  <c r="AM102" i="2"/>
  <c r="AR98" i="2"/>
  <c r="AM98" i="2"/>
  <c r="AR94" i="2"/>
  <c r="AM94" i="2"/>
  <c r="AR90" i="2"/>
  <c r="AM90" i="2"/>
  <c r="AR86" i="2"/>
  <c r="AM86" i="2"/>
  <c r="AR82" i="2"/>
  <c r="AM82" i="2"/>
  <c r="AR78" i="2"/>
  <c r="AM78" i="2"/>
  <c r="AR74" i="2"/>
  <c r="AM74" i="2"/>
  <c r="AR70" i="2"/>
  <c r="AM70" i="2"/>
  <c r="AR66" i="2"/>
  <c r="AM66" i="2"/>
  <c r="AR62" i="2"/>
  <c r="AM62" i="2"/>
  <c r="AR58" i="2"/>
  <c r="AM58" i="2"/>
  <c r="AR54" i="2"/>
  <c r="AM54" i="2"/>
  <c r="AR50" i="2"/>
  <c r="AM50" i="2"/>
  <c r="AR46" i="2"/>
  <c r="AM46" i="2"/>
  <c r="AR42" i="2"/>
  <c r="AM42" i="2"/>
  <c r="AR38" i="2"/>
  <c r="AM38" i="2"/>
  <c r="AR34" i="2"/>
  <c r="AM34" i="2"/>
  <c r="AR30" i="2"/>
  <c r="AM30" i="2"/>
  <c r="AR26" i="2"/>
  <c r="AM26" i="2"/>
  <c r="AH26" i="2"/>
  <c r="AR22" i="2"/>
  <c r="AM22" i="2"/>
  <c r="AH22" i="2"/>
  <c r="AR18" i="2"/>
  <c r="AM18" i="2"/>
  <c r="AH18" i="2"/>
  <c r="AR14" i="2"/>
  <c r="AM14" i="2"/>
  <c r="AH14" i="2"/>
  <c r="AR10" i="2"/>
  <c r="AM10" i="2"/>
  <c r="AH10" i="2"/>
  <c r="AR6" i="2"/>
  <c r="AM6" i="2"/>
  <c r="AH6" i="2"/>
  <c r="AD117" i="2"/>
  <c r="AD113" i="2"/>
  <c r="AD109" i="2"/>
  <c r="AD105" i="2"/>
  <c r="AD101" i="2"/>
  <c r="AD97" i="2"/>
  <c r="AD93" i="2"/>
  <c r="AD89" i="2"/>
  <c r="AD85" i="2"/>
  <c r="AD81" i="2"/>
  <c r="AD77" i="2"/>
  <c r="AD73" i="2"/>
  <c r="AD69" i="2"/>
  <c r="AD65" i="2"/>
  <c r="AD61" i="2"/>
  <c r="AD57" i="2"/>
  <c r="AD53" i="2"/>
  <c r="AD49" i="2"/>
  <c r="AD45" i="2"/>
  <c r="AD41" i="2"/>
  <c r="AD37" i="2"/>
  <c r="AD33" i="2"/>
  <c r="AD29" i="2"/>
  <c r="AD25" i="2"/>
  <c r="AD21" i="2"/>
  <c r="AD17" i="2"/>
  <c r="AD13" i="2"/>
  <c r="AD9" i="2"/>
  <c r="AD5" i="2"/>
  <c r="AH117" i="2"/>
  <c r="AH113" i="2"/>
  <c r="AH109" i="2"/>
  <c r="AH105" i="2"/>
  <c r="AH101" i="2"/>
  <c r="AH97" i="2"/>
  <c r="AH93" i="2"/>
  <c r="AH89" i="2"/>
  <c r="AH85" i="2"/>
  <c r="AH81" i="2"/>
  <c r="AH77" i="2"/>
  <c r="AH73" i="2"/>
  <c r="AH69" i="2"/>
  <c r="AH65" i="2"/>
  <c r="AH61" i="2"/>
  <c r="AH57" i="2"/>
  <c r="AH53" i="2"/>
  <c r="AH49" i="2"/>
  <c r="AH45" i="2"/>
  <c r="AH41" i="2"/>
  <c r="AH37" i="2"/>
  <c r="AH33" i="2"/>
  <c r="AH29" i="2"/>
  <c r="AH24" i="2"/>
  <c r="AH19" i="2"/>
  <c r="AH13" i="2"/>
  <c r="AH8" i="2"/>
  <c r="AH3" i="2"/>
  <c r="AS9" i="2" l="1"/>
  <c r="AN9" i="2"/>
  <c r="AI9" i="2"/>
  <c r="AS25" i="2"/>
  <c r="AN25" i="2"/>
  <c r="AI25" i="2"/>
  <c r="AS41" i="2"/>
  <c r="AN41" i="2"/>
  <c r="AI41" i="2"/>
  <c r="AS57" i="2"/>
  <c r="AN57" i="2"/>
  <c r="AI57" i="2"/>
  <c r="AS73" i="2"/>
  <c r="AN73" i="2"/>
  <c r="AI73" i="2"/>
  <c r="AS89" i="2"/>
  <c r="AN89" i="2"/>
  <c r="AI89" i="2"/>
  <c r="AS105" i="2"/>
  <c r="AN105" i="2"/>
  <c r="AI105" i="2"/>
  <c r="AS30" i="2"/>
  <c r="AN30" i="2"/>
  <c r="AI30" i="2"/>
  <c r="AS46" i="2"/>
  <c r="AN46" i="2"/>
  <c r="AI46" i="2"/>
  <c r="AS62" i="2"/>
  <c r="AN62" i="2"/>
  <c r="AI62" i="2"/>
  <c r="AS78" i="2"/>
  <c r="AN78" i="2"/>
  <c r="AI78" i="2"/>
  <c r="AS94" i="2"/>
  <c r="AN94" i="2"/>
  <c r="AI94" i="2"/>
  <c r="AS110" i="2"/>
  <c r="AN110" i="2"/>
  <c r="AI110" i="2"/>
  <c r="AS126" i="2"/>
  <c r="AN126" i="2"/>
  <c r="AI126" i="2"/>
  <c r="AS11" i="2"/>
  <c r="AN11" i="2"/>
  <c r="AI11" i="2"/>
  <c r="AS39" i="2"/>
  <c r="AN39" i="2"/>
  <c r="AI39" i="2"/>
  <c r="AS55" i="2"/>
  <c r="AN55" i="2"/>
  <c r="AI55" i="2"/>
  <c r="AS71" i="2"/>
  <c r="AN71" i="2"/>
  <c r="AI71" i="2"/>
  <c r="AS87" i="2"/>
  <c r="AN87" i="2"/>
  <c r="AI87" i="2"/>
  <c r="AS103" i="2"/>
  <c r="AN103" i="2"/>
  <c r="AI103" i="2"/>
  <c r="AS119" i="2"/>
  <c r="AN119" i="2"/>
  <c r="AI119" i="2"/>
  <c r="AS32" i="2"/>
  <c r="AN32" i="2"/>
  <c r="AI32" i="2"/>
  <c r="AS48" i="2"/>
  <c r="AN48" i="2"/>
  <c r="AI48" i="2"/>
  <c r="AS64" i="2"/>
  <c r="AN64" i="2"/>
  <c r="AI64" i="2"/>
  <c r="AS13" i="2"/>
  <c r="AN13" i="2"/>
  <c r="AI13" i="2"/>
  <c r="AS29" i="2"/>
  <c r="AN29" i="2"/>
  <c r="AI29" i="2"/>
  <c r="AS45" i="2"/>
  <c r="AN45" i="2"/>
  <c r="AI45" i="2"/>
  <c r="AS61" i="2"/>
  <c r="AN61" i="2"/>
  <c r="AI61" i="2"/>
  <c r="AS77" i="2"/>
  <c r="AN77" i="2"/>
  <c r="AI77" i="2"/>
  <c r="AS93" i="2"/>
  <c r="AN93" i="2"/>
  <c r="AI93" i="2"/>
  <c r="AS109" i="2"/>
  <c r="AN109" i="2"/>
  <c r="AI109" i="2"/>
  <c r="AS34" i="2"/>
  <c r="AN34" i="2"/>
  <c r="AI34" i="2"/>
  <c r="AS50" i="2"/>
  <c r="AN50" i="2"/>
  <c r="AI50" i="2"/>
  <c r="AS66" i="2"/>
  <c r="AN66" i="2"/>
  <c r="AI66" i="2"/>
  <c r="AS82" i="2"/>
  <c r="AN82" i="2"/>
  <c r="AI82" i="2"/>
  <c r="AS98" i="2"/>
  <c r="AN98" i="2"/>
  <c r="AI98" i="2"/>
  <c r="AS114" i="2"/>
  <c r="AN114" i="2"/>
  <c r="AI114" i="2"/>
  <c r="AS27" i="2"/>
  <c r="AN27" i="2"/>
  <c r="AI27" i="2"/>
  <c r="AS43" i="2"/>
  <c r="AN43" i="2"/>
  <c r="AI43" i="2"/>
  <c r="AS59" i="2"/>
  <c r="AN59" i="2"/>
  <c r="AI59" i="2"/>
  <c r="AS75" i="2"/>
  <c r="AN75" i="2"/>
  <c r="AI75" i="2"/>
  <c r="AS91" i="2"/>
  <c r="AN91" i="2"/>
  <c r="AI91" i="2"/>
  <c r="AS107" i="2"/>
  <c r="AN107" i="2"/>
  <c r="AI107" i="2"/>
  <c r="AS123" i="2"/>
  <c r="AN123" i="2"/>
  <c r="AI123" i="2"/>
  <c r="AS36" i="2"/>
  <c r="AN36" i="2"/>
  <c r="AI36" i="2"/>
  <c r="AS52" i="2"/>
  <c r="AN52" i="2"/>
  <c r="AI52" i="2"/>
  <c r="AS68" i="2"/>
  <c r="AN68" i="2"/>
  <c r="AI68" i="2"/>
  <c r="AS17" i="2"/>
  <c r="AN17" i="2"/>
  <c r="AI17" i="2"/>
  <c r="AS33" i="2"/>
  <c r="AN33" i="2"/>
  <c r="AI33" i="2"/>
  <c r="AS49" i="2"/>
  <c r="AN49" i="2"/>
  <c r="AI49" i="2"/>
  <c r="AS65" i="2"/>
  <c r="AN65" i="2"/>
  <c r="AI65" i="2"/>
  <c r="AS81" i="2"/>
  <c r="AN81" i="2"/>
  <c r="AI81" i="2"/>
  <c r="AS97" i="2"/>
  <c r="AN97" i="2"/>
  <c r="AI97" i="2"/>
  <c r="AS113" i="2"/>
  <c r="AN113" i="2"/>
  <c r="AI113" i="2"/>
  <c r="AS38" i="2"/>
  <c r="AN38" i="2"/>
  <c r="AI38" i="2"/>
  <c r="AS54" i="2"/>
  <c r="AN54" i="2"/>
  <c r="AI54" i="2"/>
  <c r="AS70" i="2"/>
  <c r="AN70" i="2"/>
  <c r="AI70" i="2"/>
  <c r="AS86" i="2"/>
  <c r="AN86" i="2"/>
  <c r="AI86" i="2"/>
  <c r="AS102" i="2"/>
  <c r="AN102" i="2"/>
  <c r="AI102" i="2"/>
  <c r="AS118" i="2"/>
  <c r="AN118" i="2"/>
  <c r="AI118" i="2"/>
  <c r="AS31" i="2"/>
  <c r="AN31" i="2"/>
  <c r="AI31" i="2"/>
  <c r="AS47" i="2"/>
  <c r="AN47" i="2"/>
  <c r="AI47" i="2"/>
  <c r="AS63" i="2"/>
  <c r="AN63" i="2"/>
  <c r="AI63" i="2"/>
  <c r="AS79" i="2"/>
  <c r="AN79" i="2"/>
  <c r="AI79" i="2"/>
  <c r="AS95" i="2"/>
  <c r="AN95" i="2"/>
  <c r="AI95" i="2"/>
  <c r="AS111" i="2"/>
  <c r="AN111" i="2"/>
  <c r="AI111" i="2"/>
  <c r="AS127" i="2"/>
  <c r="AN127" i="2"/>
  <c r="AI127" i="2"/>
  <c r="AS12" i="2"/>
  <c r="AN12" i="2"/>
  <c r="AI12" i="2"/>
  <c r="AS40" i="2"/>
  <c r="AN40" i="2"/>
  <c r="AI40" i="2"/>
  <c r="AS56" i="2"/>
  <c r="AN56" i="2"/>
  <c r="AI56" i="2"/>
  <c r="AS72" i="2"/>
  <c r="AN72" i="2"/>
  <c r="AI72" i="2"/>
  <c r="AS5" i="2"/>
  <c r="AN5" i="2"/>
  <c r="AI5" i="2"/>
  <c r="AS21" i="2"/>
  <c r="AN21" i="2"/>
  <c r="AI21" i="2"/>
  <c r="AS37" i="2"/>
  <c r="AN37" i="2"/>
  <c r="AI37" i="2"/>
  <c r="AS53" i="2"/>
  <c r="AN53" i="2"/>
  <c r="AI53" i="2"/>
  <c r="AS69" i="2"/>
  <c r="AN69" i="2"/>
  <c r="AI69" i="2"/>
  <c r="AS85" i="2"/>
  <c r="AN85" i="2"/>
  <c r="AI85" i="2"/>
  <c r="AS101" i="2"/>
  <c r="AN101" i="2"/>
  <c r="AI101" i="2"/>
  <c r="AS117" i="2"/>
  <c r="AN117" i="2"/>
  <c r="AI117" i="2"/>
  <c r="AS42" i="2"/>
  <c r="AN42" i="2"/>
  <c r="AI42" i="2"/>
  <c r="AS58" i="2"/>
  <c r="AN58" i="2"/>
  <c r="AI58" i="2"/>
  <c r="AS74" i="2"/>
  <c r="AN74" i="2"/>
  <c r="AI74" i="2"/>
  <c r="AS90" i="2"/>
  <c r="AN90" i="2"/>
  <c r="AI90" i="2"/>
  <c r="AS106" i="2"/>
  <c r="AN106" i="2"/>
  <c r="AI106" i="2"/>
  <c r="AS122" i="2"/>
  <c r="AN122" i="2"/>
  <c r="AI122" i="2"/>
  <c r="AS35" i="2"/>
  <c r="AN35" i="2"/>
  <c r="AI35" i="2"/>
  <c r="AS51" i="2"/>
  <c r="AN51" i="2"/>
  <c r="AI51" i="2"/>
  <c r="AS67" i="2"/>
  <c r="AN67" i="2"/>
  <c r="AI67" i="2"/>
  <c r="AS83" i="2"/>
  <c r="AN83" i="2"/>
  <c r="AI83" i="2"/>
  <c r="AS99" i="2"/>
  <c r="AN99" i="2"/>
  <c r="AI99" i="2"/>
  <c r="AS115" i="2"/>
  <c r="AN115" i="2"/>
  <c r="AI115" i="2"/>
  <c r="AS28" i="2"/>
  <c r="AN28" i="2"/>
  <c r="AI28" i="2"/>
  <c r="AS44" i="2"/>
  <c r="AN44" i="2"/>
  <c r="AI44" i="2"/>
  <c r="AS60" i="2"/>
  <c r="AN60" i="2"/>
  <c r="AI60" i="2"/>
  <c r="AS76" i="2"/>
  <c r="AN76" i="2"/>
  <c r="AI76" i="2"/>
  <c r="AS80" i="2"/>
  <c r="AN80" i="2"/>
  <c r="AI80" i="2"/>
  <c r="AS84" i="2"/>
  <c r="AN84" i="2"/>
  <c r="AI84" i="2"/>
  <c r="AS88" i="2"/>
  <c r="AN88" i="2"/>
  <c r="AI88" i="2"/>
  <c r="AS92" i="2"/>
  <c r="AN92" i="2"/>
  <c r="AI92" i="2"/>
  <c r="AS96" i="2"/>
  <c r="AN96" i="2"/>
  <c r="AI96" i="2"/>
  <c r="AS100" i="2"/>
  <c r="AN100" i="2"/>
  <c r="AI100" i="2"/>
  <c r="AS104" i="2"/>
  <c r="AN104" i="2"/>
  <c r="AI104" i="2"/>
  <c r="AS108" i="2"/>
  <c r="AN108" i="2"/>
  <c r="AI108" i="2"/>
  <c r="AS112" i="2"/>
  <c r="AN112" i="2"/>
  <c r="AI112" i="2"/>
  <c r="AS116" i="2"/>
  <c r="AN116" i="2"/>
  <c r="AI116" i="2"/>
  <c r="AS120" i="2"/>
  <c r="AN120" i="2"/>
  <c r="AI120" i="2"/>
  <c r="AS124" i="2"/>
  <c r="AN124" i="2"/>
  <c r="AI124" i="2"/>
  <c r="AS128" i="2"/>
  <c r="AN128" i="2"/>
  <c r="AI128" i="2"/>
  <c r="AS121" i="2"/>
  <c r="AN121" i="2"/>
  <c r="AI121" i="2"/>
  <c r="AS125" i="2"/>
  <c r="AN125" i="2"/>
  <c r="AI125" i="2"/>
  <c r="AS129" i="2"/>
  <c r="AN129" i="2"/>
  <c r="AI129" i="2"/>
  <c r="C71" i="2" l="1"/>
  <c r="AA90" i="2"/>
  <c r="D65" i="2"/>
  <c r="D61" i="2"/>
  <c r="AA72" i="2"/>
  <c r="AA12" i="2"/>
  <c r="H6" i="2"/>
  <c r="AA47" i="2"/>
  <c r="C32" i="2"/>
  <c r="AA54" i="2"/>
  <c r="H3" i="2"/>
  <c r="D127" i="2"/>
  <c r="AA125" i="2"/>
  <c r="C87" i="2"/>
  <c r="C56" i="2"/>
  <c r="D87" i="2"/>
  <c r="D123" i="2"/>
  <c r="D12" i="2"/>
  <c r="C118" i="2"/>
  <c r="AA50" i="2"/>
  <c r="AA121" i="2"/>
  <c r="C38" i="2"/>
  <c r="AA40" i="2"/>
  <c r="AA67" i="2"/>
  <c r="D14" i="2"/>
  <c r="AA6" i="2"/>
  <c r="AA79" i="2"/>
  <c r="C60" i="2"/>
  <c r="D93" i="2"/>
  <c r="D51" i="2"/>
  <c r="AA105" i="2"/>
  <c r="D42" i="2"/>
  <c r="C30" i="2"/>
  <c r="AA71" i="2"/>
  <c r="AA34" i="2"/>
  <c r="D18" i="2"/>
  <c r="AA46" i="2"/>
  <c r="D120" i="2"/>
  <c r="D58" i="2"/>
  <c r="H15" i="2"/>
  <c r="C82" i="2"/>
  <c r="AA21" i="2"/>
  <c r="D21" i="2"/>
  <c r="D49" i="2"/>
  <c r="D55" i="2"/>
  <c r="D85" i="2"/>
  <c r="D26" i="2"/>
  <c r="D110" i="2"/>
  <c r="AA65" i="2"/>
  <c r="AA116" i="2"/>
  <c r="C67" i="2"/>
  <c r="AA39" i="2"/>
  <c r="AA113" i="2"/>
  <c r="D62" i="2"/>
  <c r="D15" i="2"/>
  <c r="AA5" i="2"/>
  <c r="D7" i="2"/>
  <c r="H10" i="2"/>
  <c r="D111" i="2"/>
  <c r="D72" i="2"/>
  <c r="C68" i="2"/>
  <c r="C79" i="2"/>
  <c r="D106" i="2"/>
  <c r="AA30" i="2"/>
  <c r="AA42" i="2"/>
  <c r="C66" i="2"/>
  <c r="AA111" i="2"/>
  <c r="D125" i="2"/>
  <c r="D25" i="2"/>
  <c r="D92" i="2"/>
  <c r="H24" i="2"/>
  <c r="AA85" i="2"/>
  <c r="A105" i="2"/>
  <c r="B116" i="2"/>
  <c r="H79" i="2"/>
  <c r="H44" i="2"/>
  <c r="A99" i="2"/>
  <c r="A46" i="2"/>
  <c r="H25" i="2"/>
  <c r="E2" i="2"/>
  <c r="A125" i="2"/>
  <c r="C108" i="2"/>
  <c r="B108" i="2"/>
  <c r="F67" i="2"/>
  <c r="B55" i="2"/>
  <c r="A92" i="2"/>
  <c r="E116" i="2"/>
  <c r="E20" i="2"/>
  <c r="B9" i="2"/>
  <c r="B27" i="2"/>
  <c r="G8" i="2"/>
  <c r="B70" i="2"/>
  <c r="C36" i="2"/>
  <c r="AA120" i="2"/>
  <c r="D43" i="2"/>
  <c r="AA33" i="2"/>
  <c r="AA52" i="2"/>
  <c r="D119" i="2"/>
  <c r="D44" i="2"/>
  <c r="C27" i="2"/>
  <c r="AA87" i="2"/>
  <c r="C126" i="2"/>
  <c r="AA127" i="2"/>
  <c r="AA115" i="2"/>
  <c r="B104" i="2"/>
  <c r="E23" i="2"/>
  <c r="A96" i="2"/>
  <c r="A27" i="2"/>
  <c r="C15" i="2"/>
  <c r="B31" i="2"/>
  <c r="A94" i="2"/>
  <c r="F80" i="2"/>
  <c r="A47" i="2"/>
  <c r="H103" i="2"/>
  <c r="E101" i="2"/>
  <c r="B94" i="2"/>
  <c r="E53" i="2"/>
  <c r="A6" i="2"/>
  <c r="A68" i="2"/>
  <c r="G27" i="2"/>
  <c r="B10" i="2"/>
  <c r="A15" i="2"/>
  <c r="A101" i="2"/>
  <c r="B95" i="2"/>
  <c r="H37" i="2"/>
  <c r="A11" i="2"/>
  <c r="F94" i="2"/>
  <c r="D122" i="2"/>
  <c r="D75" i="2"/>
  <c r="AA100" i="2"/>
  <c r="C52" i="2"/>
  <c r="D94" i="2"/>
  <c r="AA58" i="2"/>
  <c r="D40" i="2"/>
  <c r="D29" i="2"/>
  <c r="AA99" i="2"/>
  <c r="D80" i="2"/>
  <c r="AA56" i="2"/>
  <c r="D16" i="2"/>
  <c r="AA95" i="2"/>
  <c r="AA93" i="2"/>
  <c r="D74" i="2"/>
  <c r="AA15" i="2"/>
  <c r="C40" i="2"/>
  <c r="D86" i="2"/>
  <c r="D67" i="2"/>
  <c r="H19" i="2"/>
  <c r="AA84" i="2"/>
  <c r="D95" i="2"/>
  <c r="C102" i="2"/>
  <c r="AA26" i="2"/>
  <c r="D66" i="2"/>
  <c r="D48" i="2"/>
  <c r="AA8" i="2"/>
  <c r="AA3" i="2"/>
  <c r="D84" i="2"/>
  <c r="D39" i="2"/>
  <c r="D91" i="2"/>
  <c r="AA91" i="2"/>
  <c r="C43" i="2"/>
  <c r="D45" i="2"/>
  <c r="AA73" i="2"/>
  <c r="AA109" i="2"/>
  <c r="C35" i="2"/>
  <c r="AA81" i="2"/>
  <c r="C51" i="2"/>
  <c r="AA55" i="2"/>
  <c r="D3" i="2"/>
  <c r="AA94" i="2"/>
  <c r="AA83" i="2"/>
  <c r="D117" i="2"/>
  <c r="AA14" i="2"/>
  <c r="D114" i="2"/>
  <c r="D116" i="2"/>
  <c r="C48" i="2"/>
  <c r="H16" i="2"/>
  <c r="AA10" i="2"/>
  <c r="C75" i="2"/>
  <c r="D27" i="2"/>
  <c r="AA41" i="2"/>
  <c r="AA45" i="2"/>
  <c r="D6" i="2"/>
  <c r="AA7" i="2"/>
  <c r="AA49" i="2"/>
  <c r="C64" i="2"/>
  <c r="D17" i="2"/>
  <c r="D34" i="2"/>
  <c r="D47" i="2"/>
  <c r="AA13" i="2"/>
  <c r="AA119" i="2"/>
  <c r="D115" i="2"/>
  <c r="AA32" i="2"/>
  <c r="AA89" i="2"/>
  <c r="D96" i="2"/>
  <c r="AA44" i="2"/>
  <c r="C107" i="2"/>
  <c r="AA86" i="2"/>
  <c r="C122" i="2"/>
  <c r="AA126" i="2"/>
  <c r="AA28" i="2"/>
  <c r="B120" i="2"/>
  <c r="C19" i="2"/>
  <c r="A112" i="2"/>
  <c r="F68" i="2"/>
  <c r="B28" i="2"/>
  <c r="H111" i="2"/>
  <c r="A24" i="2"/>
  <c r="H35" i="2"/>
  <c r="B111" i="2"/>
  <c r="F33" i="2"/>
  <c r="E127" i="2"/>
  <c r="F57" i="2"/>
  <c r="H27" i="2"/>
  <c r="H21" i="2"/>
  <c r="C33" i="2"/>
  <c r="E50" i="2"/>
  <c r="H42" i="2"/>
  <c r="A82" i="2"/>
  <c r="F15" i="2"/>
  <c r="E15" i="2"/>
  <c r="D118" i="2"/>
  <c r="C62" i="2"/>
  <c r="D63" i="2"/>
  <c r="AA25" i="2"/>
  <c r="D69" i="2"/>
  <c r="D77" i="2"/>
  <c r="H23" i="2"/>
  <c r="D22" i="2"/>
  <c r="D52" i="2"/>
  <c r="D78" i="2"/>
  <c r="AA129" i="2"/>
  <c r="AA51" i="2"/>
  <c r="E7" i="2"/>
  <c r="A124" i="2"/>
  <c r="B47" i="2"/>
  <c r="H12" i="2"/>
  <c r="F16" i="2"/>
  <c r="H74" i="2"/>
  <c r="F54" i="2"/>
  <c r="G15" i="2"/>
  <c r="B81" i="2"/>
  <c r="F116" i="2"/>
  <c r="E55" i="2"/>
  <c r="A103" i="2"/>
  <c r="C16" i="2"/>
  <c r="C121" i="2"/>
  <c r="E90" i="2"/>
  <c r="G118" i="2"/>
  <c r="C93" i="2"/>
  <c r="B67" i="2"/>
  <c r="A38" i="2"/>
  <c r="H99" i="2"/>
  <c r="H87" i="2"/>
  <c r="D108" i="2"/>
  <c r="AA102" i="2"/>
  <c r="AA17" i="2"/>
  <c r="C74" i="2"/>
  <c r="D102" i="2"/>
  <c r="AA68" i="2"/>
  <c r="D124" i="2"/>
  <c r="D2" i="2"/>
  <c r="D10" i="2"/>
  <c r="D57" i="2"/>
  <c r="H20" i="2"/>
  <c r="D83" i="2"/>
  <c r="AA97" i="2"/>
  <c r="AA53" i="2"/>
  <c r="D38" i="2"/>
  <c r="AA35" i="2"/>
  <c r="D36" i="2"/>
  <c r="AA22" i="2"/>
  <c r="D46" i="2"/>
  <c r="AA62" i="2"/>
  <c r="AA19" i="2"/>
  <c r="D19" i="2"/>
  <c r="D68" i="2"/>
  <c r="AA36" i="2"/>
  <c r="C28" i="2"/>
  <c r="C12" i="2"/>
  <c r="AA123" i="2"/>
  <c r="H14" i="2"/>
  <c r="D37" i="2"/>
  <c r="D11" i="2"/>
  <c r="D100" i="2"/>
  <c r="AA101" i="2"/>
  <c r="D88" i="2"/>
  <c r="C58" i="2"/>
  <c r="AA59" i="2"/>
  <c r="C103" i="2"/>
  <c r="D8" i="2"/>
  <c r="C119" i="2"/>
  <c r="C50" i="2"/>
  <c r="D97" i="2"/>
  <c r="D113" i="2"/>
  <c r="AA96" i="2"/>
  <c r="AA43" i="2"/>
  <c r="H26" i="2"/>
  <c r="AA112" i="2"/>
  <c r="C46" i="2"/>
  <c r="D70" i="2"/>
  <c r="D35" i="2"/>
  <c r="D60" i="2"/>
  <c r="AA60" i="2"/>
  <c r="D99" i="2"/>
  <c r="C95" i="2"/>
  <c r="AA27" i="2"/>
  <c r="C90" i="2"/>
  <c r="D53" i="2"/>
  <c r="AA9" i="2"/>
  <c r="AA108" i="2"/>
  <c r="C54" i="2"/>
  <c r="AA110" i="2"/>
  <c r="D104" i="2"/>
  <c r="C63" i="2"/>
  <c r="H22" i="2"/>
  <c r="C106" i="2"/>
  <c r="C34" i="2"/>
  <c r="AA18" i="2"/>
  <c r="AA61" i="2"/>
  <c r="D23" i="2"/>
  <c r="C59" i="2"/>
  <c r="H7" i="2"/>
  <c r="AA88" i="2"/>
  <c r="C94" i="2"/>
  <c r="AA128" i="2"/>
  <c r="AA107" i="2"/>
  <c r="A10" i="2"/>
  <c r="B114" i="2"/>
  <c r="A122" i="2"/>
  <c r="C57" i="2"/>
  <c r="E14" i="2"/>
  <c r="C25" i="2"/>
  <c r="H106" i="2"/>
  <c r="C49" i="2"/>
  <c r="B113" i="2"/>
  <c r="G78" i="2"/>
  <c r="G86" i="2"/>
  <c r="G20" i="2"/>
  <c r="B89" i="2"/>
  <c r="E10" i="2"/>
  <c r="G59" i="2"/>
  <c r="E80" i="2"/>
  <c r="F4" i="2"/>
  <c r="B99" i="2"/>
  <c r="H122" i="2"/>
  <c r="B63" i="2"/>
  <c r="D13" i="2"/>
  <c r="D54" i="2"/>
  <c r="D89" i="2"/>
  <c r="AA117" i="2"/>
  <c r="D90" i="2"/>
  <c r="AA78" i="2"/>
  <c r="D98" i="2"/>
  <c r="D73" i="2"/>
  <c r="D101" i="2"/>
  <c r="H18" i="2"/>
  <c r="AA75" i="2"/>
  <c r="G19" i="2"/>
  <c r="E26" i="2"/>
  <c r="C101" i="2"/>
  <c r="E16" i="2"/>
  <c r="B84" i="2"/>
  <c r="A119" i="2"/>
  <c r="A48" i="2"/>
  <c r="A69" i="2"/>
  <c r="B66" i="2"/>
  <c r="G4" i="2"/>
  <c r="G99" i="2"/>
  <c r="H110" i="2"/>
  <c r="B87" i="2"/>
  <c r="C29" i="2"/>
  <c r="B34" i="2"/>
  <c r="D112" i="2"/>
  <c r="AA104" i="2"/>
  <c r="AA76" i="2"/>
  <c r="D128" i="2"/>
  <c r="AA70" i="2"/>
  <c r="AA80" i="2"/>
  <c r="D59" i="2"/>
  <c r="C44" i="2"/>
  <c r="D76" i="2"/>
  <c r="C39" i="2"/>
  <c r="C86" i="2"/>
  <c r="C98" i="2"/>
  <c r="AA11" i="2"/>
  <c r="D64" i="2"/>
  <c r="C114" i="2"/>
  <c r="D41" i="2"/>
  <c r="C110" i="2"/>
  <c r="AA24" i="2"/>
  <c r="C99" i="2"/>
  <c r="AA64" i="2"/>
  <c r="AA74" i="2"/>
  <c r="C111" i="2"/>
  <c r="AA38" i="2"/>
  <c r="AA16" i="2"/>
  <c r="D33" i="2"/>
  <c r="D31" i="2"/>
  <c r="AA4" i="2"/>
  <c r="C127" i="2"/>
  <c r="C115" i="2"/>
  <c r="D32" i="2"/>
  <c r="AA103" i="2"/>
  <c r="AA98" i="2"/>
  <c r="D30" i="2"/>
  <c r="D129" i="2"/>
  <c r="AA69" i="2"/>
  <c r="C83" i="2"/>
  <c r="C72" i="2"/>
  <c r="D5" i="2"/>
  <c r="C55" i="2"/>
  <c r="D79" i="2"/>
  <c r="D109" i="2"/>
  <c r="AA82" i="2"/>
  <c r="AA106" i="2"/>
  <c r="C78" i="2"/>
  <c r="AA77" i="2"/>
  <c r="C47" i="2"/>
  <c r="AA23" i="2"/>
  <c r="D9" i="2"/>
  <c r="AA63" i="2"/>
  <c r="AA29" i="2"/>
  <c r="C11" i="2"/>
  <c r="D20" i="2"/>
  <c r="AA37" i="2"/>
  <c r="D28" i="2"/>
  <c r="D121" i="2"/>
  <c r="AA122" i="2"/>
  <c r="D4" i="2"/>
  <c r="C31" i="2"/>
  <c r="AA66" i="2"/>
  <c r="D103" i="2"/>
  <c r="AA118" i="2"/>
  <c r="D71" i="2"/>
  <c r="H8" i="2"/>
  <c r="C42" i="2"/>
  <c r="AA20" i="2"/>
  <c r="H4" i="2"/>
  <c r="C91" i="2"/>
  <c r="D56" i="2"/>
  <c r="D107" i="2"/>
  <c r="D50" i="2"/>
  <c r="D81" i="2"/>
  <c r="AA114" i="2"/>
  <c r="AA124" i="2"/>
  <c r="A97" i="2"/>
  <c r="B117" i="2"/>
  <c r="C84" i="2"/>
  <c r="H39" i="2"/>
  <c r="C2" i="2"/>
  <c r="A9" i="2"/>
  <c r="E4" i="2"/>
  <c r="B101" i="2"/>
  <c r="B49" i="2"/>
  <c r="G102" i="2"/>
  <c r="E112" i="2"/>
  <c r="F23" i="2"/>
  <c r="B11" i="2"/>
  <c r="H121" i="2"/>
  <c r="G93" i="2"/>
  <c r="E28" i="2"/>
  <c r="C53" i="2"/>
  <c r="A12" i="2"/>
  <c r="B14" i="2"/>
  <c r="AA48" i="2"/>
  <c r="D82" i="2"/>
  <c r="C123" i="2"/>
  <c r="AA31" i="2"/>
  <c r="AA92" i="2"/>
  <c r="D24" i="2"/>
  <c r="AA2" i="2"/>
  <c r="C70" i="2"/>
  <c r="H2" i="2"/>
  <c r="D126" i="2"/>
  <c r="D105" i="2"/>
  <c r="AA57" i="2"/>
  <c r="H71" i="2"/>
  <c r="B36" i="2"/>
  <c r="B118" i="2"/>
  <c r="H104" i="2"/>
  <c r="A13" i="2"/>
  <c r="A18" i="2"/>
  <c r="B65" i="2"/>
  <c r="H85" i="2"/>
  <c r="H127" i="2"/>
  <c r="F37" i="2"/>
  <c r="C112" i="2"/>
  <c r="F92" i="2"/>
  <c r="H77" i="2"/>
  <c r="H64" i="2"/>
  <c r="E92" i="2"/>
  <c r="A60" i="2"/>
  <c r="A62" i="2"/>
  <c r="A114" i="2"/>
  <c r="H40" i="2"/>
  <c r="E8" i="2"/>
  <c r="A110" i="2"/>
  <c r="G90" i="2"/>
  <c r="E117" i="2"/>
  <c r="B102" i="2"/>
  <c r="G113" i="2"/>
  <c r="F121" i="2"/>
  <c r="G111" i="2"/>
  <c r="A35" i="2"/>
  <c r="C104" i="2"/>
  <c r="F77" i="2"/>
  <c r="A95" i="2"/>
  <c r="A126" i="2"/>
  <c r="F129" i="2"/>
  <c r="G70" i="2"/>
  <c r="B38" i="2"/>
  <c r="H48" i="2"/>
  <c r="A16" i="2"/>
  <c r="E69" i="2"/>
  <c r="C26" i="2"/>
  <c r="H66" i="2"/>
  <c r="B21" i="2"/>
  <c r="A128" i="2"/>
  <c r="G108" i="2"/>
  <c r="F99" i="2"/>
  <c r="B74" i="2"/>
  <c r="H102" i="2"/>
  <c r="E13" i="2"/>
  <c r="B62" i="2"/>
  <c r="E11" i="2"/>
  <c r="E98" i="2"/>
  <c r="B92" i="2"/>
  <c r="H32" i="2"/>
  <c r="B79" i="2"/>
  <c r="F34" i="2"/>
  <c r="A63" i="2"/>
  <c r="H119" i="2"/>
  <c r="B25" i="2"/>
  <c r="A21" i="2"/>
  <c r="B22" i="2"/>
  <c r="B75" i="2"/>
  <c r="H93" i="2"/>
  <c r="E83" i="2"/>
  <c r="H29" i="2"/>
  <c r="A85" i="2"/>
  <c r="B5" i="2"/>
  <c r="E122" i="2"/>
  <c r="E87" i="2"/>
  <c r="H43" i="2"/>
  <c r="B51" i="2"/>
  <c r="H61" i="2"/>
  <c r="F9" i="2"/>
  <c r="E57" i="2"/>
  <c r="A39" i="2"/>
  <c r="A51" i="2"/>
  <c r="C92" i="2"/>
  <c r="E88" i="2"/>
  <c r="E52" i="2"/>
  <c r="G53" i="2"/>
  <c r="B122" i="2"/>
  <c r="E95" i="2"/>
  <c r="G48" i="2"/>
  <c r="G123" i="2"/>
  <c r="B6" i="2"/>
  <c r="H70" i="2"/>
  <c r="F78" i="2"/>
  <c r="B124" i="2"/>
  <c r="C22" i="2"/>
  <c r="B123" i="2"/>
  <c r="B56" i="2"/>
  <c r="B73" i="2"/>
  <c r="F111" i="2"/>
  <c r="E38" i="2"/>
  <c r="B37" i="2"/>
  <c r="B13" i="2"/>
  <c r="F123" i="2"/>
  <c r="H98" i="2"/>
  <c r="E73" i="2"/>
  <c r="A100" i="2"/>
  <c r="G14" i="2"/>
  <c r="G10" i="2"/>
  <c r="F52" i="2"/>
  <c r="E49" i="2"/>
  <c r="C21" i="2"/>
  <c r="A104" i="2"/>
  <c r="F69" i="2"/>
  <c r="A118" i="2"/>
  <c r="G55" i="2"/>
  <c r="F124" i="2"/>
  <c r="A37" i="2"/>
  <c r="H73" i="2"/>
  <c r="A81" i="2"/>
  <c r="F114" i="2"/>
  <c r="B45" i="2"/>
  <c r="C4" i="2"/>
  <c r="A91" i="2"/>
  <c r="F84" i="2"/>
  <c r="A50" i="2"/>
  <c r="E93" i="2"/>
  <c r="G92" i="2"/>
  <c r="F45" i="2"/>
  <c r="F20" i="2"/>
  <c r="B76" i="2"/>
  <c r="A75" i="2"/>
  <c r="H124" i="2"/>
  <c r="E119" i="2"/>
  <c r="F19" i="2"/>
  <c r="A90" i="2"/>
  <c r="H108" i="2"/>
  <c r="H125" i="2"/>
  <c r="A29" i="2"/>
  <c r="B41" i="2"/>
  <c r="F117" i="2"/>
  <c r="A22" i="2"/>
  <c r="E120" i="2"/>
  <c r="G107" i="2"/>
  <c r="C61" i="2"/>
  <c r="E115" i="2"/>
  <c r="G57" i="2"/>
  <c r="A111" i="2"/>
  <c r="F29" i="2"/>
  <c r="A58" i="2"/>
  <c r="A106" i="2"/>
  <c r="F119" i="2"/>
  <c r="G91" i="2"/>
  <c r="B35" i="2"/>
  <c r="A93" i="2"/>
  <c r="C97" i="2"/>
  <c r="H69" i="2"/>
  <c r="G46" i="2"/>
  <c r="G66" i="2"/>
  <c r="A42" i="2"/>
  <c r="G32" i="2"/>
  <c r="E104" i="2"/>
  <c r="F82" i="2"/>
  <c r="H57" i="2"/>
  <c r="G16" i="2"/>
  <c r="C3" i="2"/>
  <c r="E62" i="2"/>
  <c r="A5" i="2"/>
  <c r="B32" i="2"/>
  <c r="B2" i="2"/>
  <c r="H82" i="2"/>
  <c r="B16" i="2"/>
  <c r="G79" i="2"/>
  <c r="H59" i="2"/>
  <c r="A49" i="2"/>
  <c r="C124" i="2"/>
  <c r="A66" i="2"/>
  <c r="F47" i="2"/>
  <c r="B58" i="2"/>
  <c r="F49" i="2"/>
  <c r="A98" i="2"/>
  <c r="B24" i="2"/>
  <c r="F65" i="2"/>
  <c r="H46" i="2"/>
  <c r="B15" i="2"/>
  <c r="E47" i="2"/>
  <c r="A52" i="2"/>
  <c r="A44" i="2"/>
  <c r="H9" i="2"/>
  <c r="F109" i="2"/>
  <c r="H78" i="2"/>
  <c r="G81" i="2"/>
  <c r="G45" i="2"/>
  <c r="F5" i="2"/>
  <c r="G87" i="2"/>
  <c r="G83" i="2"/>
  <c r="A28" i="2"/>
  <c r="B97" i="2"/>
  <c r="C89" i="2"/>
  <c r="F36" i="2"/>
  <c r="B33" i="2"/>
  <c r="B20" i="2"/>
  <c r="A107" i="2"/>
  <c r="C76" i="2"/>
  <c r="G26" i="2"/>
  <c r="A23" i="2"/>
  <c r="E129" i="2"/>
  <c r="G127" i="2"/>
  <c r="G85" i="2"/>
  <c r="A26" i="2"/>
  <c r="C117" i="2"/>
  <c r="H120" i="2"/>
  <c r="F81" i="2"/>
  <c r="E82" i="2"/>
  <c r="E75" i="2"/>
  <c r="A45" i="2"/>
  <c r="C7" i="2"/>
  <c r="E114" i="2"/>
  <c r="G21" i="2"/>
  <c r="G101" i="2"/>
  <c r="F24" i="2"/>
  <c r="F100" i="2"/>
  <c r="G64" i="2"/>
  <c r="E110" i="2"/>
  <c r="E109" i="2"/>
  <c r="E102" i="2"/>
  <c r="H123" i="2"/>
  <c r="F70" i="2"/>
  <c r="F125" i="2"/>
  <c r="B40" i="2"/>
  <c r="F41" i="2"/>
  <c r="A71" i="2"/>
  <c r="B100" i="2"/>
  <c r="B121" i="2"/>
  <c r="G94" i="2"/>
  <c r="H13" i="2"/>
  <c r="H67" i="2"/>
  <c r="G71" i="2"/>
  <c r="E65" i="2"/>
  <c r="C14" i="2"/>
  <c r="E6" i="2"/>
  <c r="A115" i="2"/>
  <c r="G38" i="2"/>
  <c r="H115" i="2"/>
  <c r="C81" i="2"/>
  <c r="B50" i="2"/>
  <c r="B83" i="2"/>
  <c r="G44" i="2"/>
  <c r="A59" i="2"/>
  <c r="F87" i="2"/>
  <c r="G112" i="2"/>
  <c r="F74" i="2"/>
  <c r="A53" i="2"/>
  <c r="F43" i="2"/>
  <c r="G3" i="2"/>
  <c r="A57" i="2"/>
  <c r="G5" i="2"/>
  <c r="H96" i="2"/>
  <c r="G56" i="2"/>
  <c r="E124" i="2"/>
  <c r="A72" i="2"/>
  <c r="G22" i="2"/>
  <c r="B53" i="2"/>
  <c r="B90" i="2"/>
  <c r="H76" i="2"/>
  <c r="G12" i="2"/>
  <c r="E34" i="2"/>
  <c r="B129" i="2"/>
  <c r="G25" i="2"/>
  <c r="B52" i="2"/>
  <c r="G104" i="2"/>
  <c r="E58" i="2"/>
  <c r="B19" i="2"/>
  <c r="B115" i="2"/>
  <c r="B39" i="2"/>
  <c r="E17" i="2"/>
  <c r="F39" i="2"/>
  <c r="A109" i="2"/>
  <c r="B88" i="2"/>
  <c r="G97" i="2"/>
  <c r="F102" i="2"/>
  <c r="H58" i="2"/>
  <c r="F58" i="2"/>
  <c r="G52" i="2"/>
  <c r="A108" i="2"/>
  <c r="F89" i="2"/>
  <c r="E70" i="2"/>
  <c r="F50" i="2"/>
  <c r="G33" i="2"/>
  <c r="B105" i="2"/>
  <c r="C105" i="2"/>
  <c r="A79" i="2"/>
  <c r="A19" i="2"/>
  <c r="E29" i="2"/>
  <c r="E42" i="2"/>
  <c r="G63" i="2"/>
  <c r="C65" i="2"/>
  <c r="B68" i="2"/>
  <c r="G77" i="2"/>
  <c r="A67" i="2"/>
  <c r="G24" i="2"/>
  <c r="A78" i="2"/>
  <c r="G34" i="2"/>
  <c r="A54" i="2"/>
  <c r="A129" i="2"/>
  <c r="E45" i="2"/>
  <c r="F128" i="2"/>
  <c r="C116" i="2"/>
  <c r="H117" i="2"/>
  <c r="A65" i="2"/>
  <c r="A31" i="2"/>
  <c r="E54" i="2"/>
  <c r="E59" i="2"/>
  <c r="H92" i="2"/>
  <c r="A40" i="2"/>
  <c r="F101" i="2"/>
  <c r="H45" i="2"/>
  <c r="E121" i="2"/>
  <c r="H53" i="2"/>
  <c r="E123" i="2"/>
  <c r="G41" i="2"/>
  <c r="C113" i="2"/>
  <c r="H50" i="2"/>
  <c r="G47" i="2"/>
  <c r="C85" i="2"/>
  <c r="H86" i="2"/>
  <c r="E84" i="2"/>
  <c r="G95" i="2"/>
  <c r="H88" i="2"/>
  <c r="A120" i="2"/>
  <c r="C10" i="2"/>
  <c r="H83" i="2"/>
  <c r="A117" i="2"/>
  <c r="G37" i="2"/>
  <c r="G120" i="2"/>
  <c r="B64" i="2"/>
  <c r="A73" i="2"/>
  <c r="B93" i="2"/>
  <c r="H65" i="2"/>
  <c r="E113" i="2"/>
  <c r="C129" i="2"/>
  <c r="C45" i="2"/>
  <c r="B91" i="2"/>
  <c r="H36" i="2"/>
  <c r="F98" i="2"/>
  <c r="A25" i="2"/>
  <c r="A55" i="2"/>
  <c r="C18" i="2"/>
  <c r="H30" i="2"/>
  <c r="E48" i="2"/>
  <c r="E118" i="2"/>
  <c r="F91" i="2"/>
  <c r="E79" i="2"/>
  <c r="E100" i="2"/>
  <c r="C125" i="2"/>
  <c r="A80" i="2"/>
  <c r="C13" i="2"/>
  <c r="F44" i="2"/>
  <c r="G51" i="2"/>
  <c r="E91" i="2"/>
  <c r="E72" i="2"/>
  <c r="G49" i="2"/>
  <c r="B46" i="2"/>
  <c r="G58" i="2"/>
  <c r="G110" i="2"/>
  <c r="H109" i="2"/>
  <c r="B80" i="2"/>
  <c r="H49" i="2"/>
  <c r="B57" i="2"/>
  <c r="H28" i="2"/>
  <c r="E56" i="2"/>
  <c r="A86" i="2"/>
  <c r="B103" i="2"/>
  <c r="E9" i="2"/>
  <c r="A56" i="2"/>
  <c r="B82" i="2"/>
  <c r="G129" i="2"/>
  <c r="G88" i="2"/>
  <c r="F90" i="2"/>
  <c r="E96" i="2"/>
  <c r="E125" i="2"/>
  <c r="G96" i="2"/>
  <c r="F32" i="2"/>
  <c r="C24" i="2"/>
  <c r="F8" i="2"/>
  <c r="G122" i="2"/>
  <c r="B127" i="2"/>
  <c r="B77" i="2"/>
  <c r="G6" i="2"/>
  <c r="H54" i="2"/>
  <c r="G23" i="2"/>
  <c r="F55" i="2"/>
  <c r="G62" i="2"/>
  <c r="B17" i="2"/>
  <c r="G42" i="2"/>
  <c r="E3" i="2"/>
  <c r="E24" i="2"/>
  <c r="G125" i="2"/>
  <c r="H105" i="2"/>
  <c r="E85" i="2"/>
  <c r="A33" i="2"/>
  <c r="B44" i="2"/>
  <c r="F51" i="2"/>
  <c r="E68" i="2"/>
  <c r="B61" i="2"/>
  <c r="F6" i="2"/>
  <c r="F3" i="2"/>
  <c r="H84" i="2"/>
  <c r="F118" i="2"/>
  <c r="E44" i="2"/>
  <c r="F105" i="2"/>
  <c r="F95" i="2"/>
  <c r="B86" i="2"/>
  <c r="G105" i="2"/>
  <c r="F10" i="2"/>
  <c r="A36" i="2"/>
  <c r="A64" i="2"/>
  <c r="G119" i="2"/>
  <c r="F62" i="2"/>
  <c r="A88" i="2"/>
  <c r="G126" i="2"/>
  <c r="H75" i="2"/>
  <c r="C23" i="2"/>
  <c r="F93" i="2"/>
  <c r="F25" i="2"/>
  <c r="H100" i="2"/>
  <c r="H38" i="2"/>
  <c r="A127" i="2"/>
  <c r="A76" i="2"/>
  <c r="F30" i="2"/>
  <c r="A116" i="2"/>
  <c r="H97" i="2"/>
  <c r="C88" i="2"/>
  <c r="F11" i="2"/>
  <c r="G100" i="2"/>
  <c r="F66" i="2"/>
  <c r="G29" i="2"/>
  <c r="H47" i="2"/>
  <c r="H112" i="2"/>
  <c r="F79" i="2"/>
  <c r="F75" i="2"/>
  <c r="G73" i="2"/>
  <c r="A70" i="2"/>
  <c r="H41" i="2"/>
  <c r="G69" i="2"/>
  <c r="G30" i="2"/>
  <c r="B23" i="2"/>
  <c r="B110" i="2"/>
  <c r="H116" i="2"/>
  <c r="F2" i="2"/>
  <c r="A14" i="2"/>
  <c r="F21" i="2"/>
  <c r="H126" i="2"/>
  <c r="A84" i="2"/>
  <c r="H62" i="2"/>
  <c r="H56" i="2"/>
  <c r="B7" i="2"/>
  <c r="H63" i="2"/>
  <c r="H51" i="2"/>
  <c r="B125" i="2"/>
  <c r="B54" i="2"/>
  <c r="E108" i="2"/>
  <c r="F17" i="2"/>
  <c r="B30" i="2"/>
  <c r="H90" i="2"/>
  <c r="B43" i="2"/>
  <c r="E30" i="2"/>
  <c r="E51" i="2"/>
  <c r="E61" i="2"/>
  <c r="G98" i="2"/>
  <c r="E41" i="2"/>
  <c r="F38" i="2"/>
  <c r="F85" i="2"/>
  <c r="C37" i="2"/>
  <c r="A89" i="2"/>
  <c r="E43" i="2"/>
  <c r="G13" i="2"/>
  <c r="A123" i="2"/>
  <c r="G68" i="2"/>
  <c r="A32" i="2"/>
  <c r="H81" i="2"/>
  <c r="C80" i="2"/>
  <c r="A74" i="2"/>
  <c r="C100" i="2"/>
  <c r="G76" i="2"/>
  <c r="C120" i="2"/>
  <c r="E22" i="2"/>
  <c r="F71" i="2"/>
  <c r="E97" i="2"/>
  <c r="E105" i="2"/>
  <c r="C96" i="2"/>
  <c r="H52" i="2"/>
  <c r="F83" i="2"/>
  <c r="G115" i="2"/>
  <c r="F59" i="2"/>
  <c r="F72" i="2"/>
  <c r="F96" i="2"/>
  <c r="G7" i="2"/>
  <c r="F63" i="2"/>
  <c r="E60" i="2"/>
  <c r="A102" i="2"/>
  <c r="C20" i="2"/>
  <c r="E99" i="2"/>
  <c r="E40" i="2"/>
  <c r="B69" i="2"/>
  <c r="C69" i="2"/>
  <c r="H5" i="2"/>
  <c r="G109" i="2"/>
  <c r="B71" i="2"/>
  <c r="E77" i="2"/>
  <c r="G89" i="2"/>
  <c r="A61" i="2"/>
  <c r="A41" i="2"/>
  <c r="H31" i="2"/>
  <c r="F31" i="2"/>
  <c r="B48" i="2"/>
  <c r="A17" i="2"/>
  <c r="F18" i="2"/>
  <c r="F22" i="2"/>
  <c r="H113" i="2"/>
  <c r="G39" i="2"/>
  <c r="B26" i="2"/>
  <c r="C41" i="2"/>
  <c r="H11" i="2"/>
  <c r="G35" i="2"/>
  <c r="F56" i="2"/>
  <c r="F12" i="2"/>
  <c r="G114" i="2"/>
  <c r="A87" i="2"/>
  <c r="E37" i="2"/>
  <c r="E107" i="2"/>
  <c r="A34" i="2"/>
  <c r="H80" i="2"/>
  <c r="E33" i="2"/>
  <c r="E27" i="2"/>
  <c r="F40" i="2"/>
  <c r="A8" i="2"/>
  <c r="H129" i="2"/>
  <c r="F88" i="2"/>
  <c r="G82" i="2"/>
  <c r="A3" i="2"/>
  <c r="F76" i="2"/>
  <c r="F46" i="2"/>
  <c r="H34" i="2"/>
  <c r="G116" i="2"/>
  <c r="F104" i="2"/>
  <c r="G72" i="2"/>
  <c r="G124" i="2"/>
  <c r="A121" i="2"/>
  <c r="F122" i="2"/>
  <c r="C17" i="2"/>
  <c r="C128" i="2"/>
  <c r="G67" i="2"/>
  <c r="H60" i="2"/>
  <c r="F113" i="2"/>
  <c r="E66" i="2"/>
  <c r="F60" i="2"/>
  <c r="G84" i="2"/>
  <c r="F27" i="2"/>
  <c r="B126" i="2"/>
  <c r="A30" i="2"/>
  <c r="B98" i="2"/>
  <c r="F64" i="2"/>
  <c r="G50" i="2"/>
  <c r="F97" i="2"/>
  <c r="C73" i="2"/>
  <c r="B96" i="2"/>
  <c r="F103" i="2"/>
  <c r="C8" i="2"/>
  <c r="A7" i="2"/>
  <c r="H72" i="2"/>
  <c r="E63" i="2"/>
  <c r="C109" i="2"/>
  <c r="E46" i="2"/>
  <c r="E64" i="2"/>
  <c r="E32" i="2"/>
  <c r="E106" i="2"/>
  <c r="C6" i="2"/>
  <c r="H94" i="2"/>
  <c r="E76" i="2"/>
  <c r="B8" i="2"/>
  <c r="G18" i="2"/>
  <c r="H95" i="2"/>
  <c r="G74" i="2"/>
  <c r="H68" i="2"/>
  <c r="B18" i="2"/>
  <c r="F112" i="2"/>
  <c r="E5" i="2"/>
  <c r="C9" i="2"/>
  <c r="G36" i="2"/>
  <c r="G43" i="2"/>
  <c r="E74" i="2"/>
  <c r="C77" i="2"/>
  <c r="G11" i="2"/>
  <c r="G106" i="2"/>
  <c r="B42" i="2"/>
  <c r="A2" i="2"/>
  <c r="F86" i="2"/>
  <c r="G60" i="2"/>
  <c r="G28" i="2"/>
  <c r="G121" i="2"/>
  <c r="B128" i="2"/>
  <c r="B112" i="2"/>
  <c r="A113" i="2"/>
  <c r="F120" i="2"/>
  <c r="C5" i="2"/>
  <c r="A83" i="2"/>
  <c r="F35" i="2"/>
  <c r="F126" i="2"/>
  <c r="B85" i="2"/>
  <c r="E86" i="2"/>
  <c r="H128" i="2"/>
  <c r="H17" i="2"/>
  <c r="G65" i="2"/>
  <c r="F107" i="2"/>
  <c r="E94" i="2"/>
  <c r="B59" i="2"/>
  <c r="E21" i="2"/>
  <c r="G75" i="2"/>
  <c r="E71" i="2"/>
  <c r="B107" i="2"/>
  <c r="H107" i="2"/>
  <c r="B12" i="2"/>
  <c r="F26" i="2"/>
  <c r="G2" i="2"/>
  <c r="G80" i="2"/>
  <c r="F73" i="2"/>
  <c r="E19" i="2"/>
  <c r="G117" i="2"/>
  <c r="G128" i="2"/>
  <c r="B72" i="2"/>
  <c r="B29" i="2"/>
  <c r="F53" i="2"/>
  <c r="H101" i="2"/>
  <c r="E126" i="2"/>
  <c r="G40" i="2"/>
  <c r="E111" i="2"/>
  <c r="B109" i="2"/>
  <c r="F14" i="2"/>
  <c r="E12" i="2"/>
  <c r="E81" i="2"/>
  <c r="A77" i="2"/>
  <c r="B60" i="2"/>
  <c r="H33" i="2"/>
  <c r="E67" i="2"/>
  <c r="F115" i="2"/>
  <c r="F108" i="2"/>
  <c r="E39" i="2"/>
  <c r="E128" i="2"/>
  <c r="A4" i="2"/>
  <c r="F28" i="2"/>
  <c r="B3" i="2"/>
  <c r="F106" i="2"/>
  <c r="F110" i="2"/>
  <c r="F61" i="2"/>
  <c r="E35" i="2"/>
  <c r="H89" i="2"/>
  <c r="F42" i="2"/>
  <c r="H114" i="2"/>
  <c r="E78" i="2"/>
  <c r="F7" i="2"/>
  <c r="E25" i="2"/>
  <c r="H118" i="2"/>
  <c r="E36" i="2"/>
  <c r="B4" i="2"/>
  <c r="B78" i="2"/>
  <c r="G17" i="2"/>
  <c r="A20" i="2"/>
  <c r="E103" i="2"/>
  <c r="G31" i="2"/>
  <c r="F127" i="2"/>
  <c r="G103" i="2"/>
  <c r="H55" i="2"/>
  <c r="G9" i="2"/>
  <c r="H91" i="2"/>
  <c r="G61" i="2"/>
  <c r="B119" i="2"/>
  <c r="E18" i="2"/>
  <c r="B106" i="2"/>
  <c r="G54" i="2"/>
  <c r="E89" i="2"/>
  <c r="A43" i="2"/>
  <c r="F13" i="2"/>
  <c r="F48" i="2"/>
  <c r="E31" i="2"/>
  <c r="BC105" i="2" l="1"/>
  <c r="BB105" i="2" s="1"/>
  <c r="BC126" i="2"/>
  <c r="BB126" i="2" s="1"/>
  <c r="BC24" i="2"/>
  <c r="BB24" i="2" s="1"/>
  <c r="BC82" i="2"/>
  <c r="BB82" i="2" s="1"/>
  <c r="BC81" i="2"/>
  <c r="BB81" i="2" s="1"/>
  <c r="BC50" i="2"/>
  <c r="BB50" i="2" s="1"/>
  <c r="BC107" i="2"/>
  <c r="BB107" i="2" s="1"/>
  <c r="BC56" i="2"/>
  <c r="BB56" i="2" s="1"/>
  <c r="BC71" i="2"/>
  <c r="BB71" i="2" s="1"/>
  <c r="BC103" i="2"/>
  <c r="BB103" i="2" s="1"/>
  <c r="BC4" i="2"/>
  <c r="BB4" i="2" s="1"/>
  <c r="BC121" i="2"/>
  <c r="BB121" i="2" s="1"/>
  <c r="BC28" i="2"/>
  <c r="BB28" i="2" s="1"/>
  <c r="BC20" i="2"/>
  <c r="BB20" i="2" s="1"/>
  <c r="BC9" i="2"/>
  <c r="BB9" i="2" s="1"/>
  <c r="BC109" i="2"/>
  <c r="BB109" i="2" s="1"/>
  <c r="BC79" i="2"/>
  <c r="BB79" i="2" s="1"/>
  <c r="BC5" i="2"/>
  <c r="BB5" i="2" s="1"/>
  <c r="BC129" i="2"/>
  <c r="BB129" i="2" s="1"/>
  <c r="BC30" i="2"/>
  <c r="BB30" i="2" s="1"/>
  <c r="BC32" i="2"/>
  <c r="BB32" i="2" s="1"/>
  <c r="BC31" i="2"/>
  <c r="BB31" i="2" s="1"/>
  <c r="BC33" i="2"/>
  <c r="BB33" i="2" s="1"/>
  <c r="BC41" i="2"/>
  <c r="BB41" i="2" s="1"/>
  <c r="BC64" i="2"/>
  <c r="BB64" i="2" s="1"/>
  <c r="BC76" i="2"/>
  <c r="BB76" i="2" s="1"/>
  <c r="BC59" i="2"/>
  <c r="BB59" i="2" s="1"/>
  <c r="BC128" i="2"/>
  <c r="BB128" i="2" s="1"/>
  <c r="BC112" i="2"/>
  <c r="BB112" i="2" s="1"/>
  <c r="BC101" i="2"/>
  <c r="BB101" i="2" s="1"/>
  <c r="BC73" i="2"/>
  <c r="BB73" i="2" s="1"/>
  <c r="BC98" i="2"/>
  <c r="BB98" i="2" s="1"/>
  <c r="BC90" i="2"/>
  <c r="BB90" i="2" s="1"/>
  <c r="BC89" i="2"/>
  <c r="BB89" i="2" s="1"/>
  <c r="BC54" i="2"/>
  <c r="BB54" i="2" s="1"/>
  <c r="BC13" i="2"/>
  <c r="BB13" i="2" s="1"/>
  <c r="BC23" i="2"/>
  <c r="BB23" i="2" s="1"/>
  <c r="BC104" i="2"/>
  <c r="BB104" i="2" s="1"/>
  <c r="BC53" i="2"/>
  <c r="BB53" i="2" s="1"/>
  <c r="BC99" i="2"/>
  <c r="BB99" i="2" s="1"/>
  <c r="BC60" i="2"/>
  <c r="BB60" i="2" s="1"/>
  <c r="BC35" i="2"/>
  <c r="BB35" i="2" s="1"/>
  <c r="BC70" i="2"/>
  <c r="BB70" i="2" s="1"/>
  <c r="BC113" i="2"/>
  <c r="BB113" i="2" s="1"/>
  <c r="BC97" i="2"/>
  <c r="BB97" i="2" s="1"/>
  <c r="BC8" i="2"/>
  <c r="BB8" i="2" s="1"/>
  <c r="BC88" i="2"/>
  <c r="BB88" i="2" s="1"/>
  <c r="BC100" i="2"/>
  <c r="BB100" i="2" s="1"/>
  <c r="BC11" i="2"/>
  <c r="BB11" i="2" s="1"/>
  <c r="BC37" i="2"/>
  <c r="BB37" i="2" s="1"/>
  <c r="BC68" i="2"/>
  <c r="BB68" i="2" s="1"/>
  <c r="BC19" i="2"/>
  <c r="BB19" i="2" s="1"/>
  <c r="BC46" i="2"/>
  <c r="BB46" i="2" s="1"/>
  <c r="BC36" i="2"/>
  <c r="BB36" i="2" s="1"/>
  <c r="BC38" i="2"/>
  <c r="BB38" i="2" s="1"/>
  <c r="BC83" i="2"/>
  <c r="BB83" i="2" s="1"/>
  <c r="BC57" i="2"/>
  <c r="BB57" i="2" s="1"/>
  <c r="BC10" i="2"/>
  <c r="BB10" i="2" s="1"/>
  <c r="BC2" i="2"/>
  <c r="BB2" i="2" s="1"/>
  <c r="BC124" i="2"/>
  <c r="BB124" i="2" s="1"/>
  <c r="BC102" i="2"/>
  <c r="BB102" i="2" s="1"/>
  <c r="BC108" i="2"/>
  <c r="BB108" i="2" s="1"/>
  <c r="BC78" i="2"/>
  <c r="BB78" i="2" s="1"/>
  <c r="BC52" i="2"/>
  <c r="BB52" i="2" s="1"/>
  <c r="BC22" i="2"/>
  <c r="BB22" i="2" s="1"/>
  <c r="BC77" i="2"/>
  <c r="BB77" i="2" s="1"/>
  <c r="BC69" i="2"/>
  <c r="BB69" i="2" s="1"/>
  <c r="BC63" i="2"/>
  <c r="BB63" i="2" s="1"/>
  <c r="BC118" i="2"/>
  <c r="BB118" i="2" s="1"/>
  <c r="BC96" i="2"/>
  <c r="BB96" i="2" s="1"/>
  <c r="BC115" i="2"/>
  <c r="BB115" i="2" s="1"/>
  <c r="BC47" i="2"/>
  <c r="BB47" i="2" s="1"/>
  <c r="BC34" i="2"/>
  <c r="BB34" i="2" s="1"/>
  <c r="BC17" i="2"/>
  <c r="BB17" i="2" s="1"/>
  <c r="BC6" i="2"/>
  <c r="BB6" i="2" s="1"/>
  <c r="BC27" i="2"/>
  <c r="BB27" i="2" s="1"/>
  <c r="BC116" i="2"/>
  <c r="BB116" i="2" s="1"/>
  <c r="BC114" i="2"/>
  <c r="BB114" i="2" s="1"/>
  <c r="BC117" i="2"/>
  <c r="BB117" i="2" s="1"/>
  <c r="BC3" i="2"/>
  <c r="BB3" i="2" s="1"/>
  <c r="BC45" i="2"/>
  <c r="BB45" i="2" s="1"/>
  <c r="BC91" i="2"/>
  <c r="BB91" i="2" s="1"/>
  <c r="BC39" i="2"/>
  <c r="BB39" i="2" s="1"/>
  <c r="BC84" i="2"/>
  <c r="BB84" i="2" s="1"/>
  <c r="BC48" i="2"/>
  <c r="BB48" i="2" s="1"/>
  <c r="BC66" i="2"/>
  <c r="BB66" i="2" s="1"/>
  <c r="BC95" i="2"/>
  <c r="BB95" i="2" s="1"/>
  <c r="BC67" i="2"/>
  <c r="BB67" i="2" s="1"/>
  <c r="BC86" i="2"/>
  <c r="BB86" i="2" s="1"/>
  <c r="BC74" i="2"/>
  <c r="BB74" i="2" s="1"/>
  <c r="BC16" i="2"/>
  <c r="BB16" i="2" s="1"/>
  <c r="BC80" i="2"/>
  <c r="BB80" i="2" s="1"/>
  <c r="BC29" i="2"/>
  <c r="BB29" i="2" s="1"/>
  <c r="BC40" i="2"/>
  <c r="BB40" i="2" s="1"/>
  <c r="BC94" i="2"/>
  <c r="BB94" i="2" s="1"/>
  <c r="BC75" i="2"/>
  <c r="BB75" i="2" s="1"/>
  <c r="BC122" i="2"/>
  <c r="BB122" i="2" s="1"/>
  <c r="BC44" i="2"/>
  <c r="BB44" i="2" s="1"/>
  <c r="BC119" i="2"/>
  <c r="BB119" i="2" s="1"/>
  <c r="BC43" i="2"/>
  <c r="BB43" i="2" s="1"/>
  <c r="BC92" i="2"/>
  <c r="BB92" i="2" s="1"/>
  <c r="BC25" i="2"/>
  <c r="BB25" i="2" s="1"/>
  <c r="BC125" i="2"/>
  <c r="BB125" i="2" s="1"/>
  <c r="BC106" i="2"/>
  <c r="BB106" i="2" s="1"/>
  <c r="BC72" i="2"/>
  <c r="BB72" i="2" s="1"/>
  <c r="BC111" i="2"/>
  <c r="BB111" i="2" s="1"/>
  <c r="BC7" i="2"/>
  <c r="BB7" i="2" s="1"/>
  <c r="BC15" i="2"/>
  <c r="BB15" i="2" s="1"/>
  <c r="BC62" i="2"/>
  <c r="BB62" i="2" s="1"/>
  <c r="BC110" i="2"/>
  <c r="BB110" i="2" s="1"/>
  <c r="BC26" i="2"/>
  <c r="BB26" i="2" s="1"/>
  <c r="BC85" i="2"/>
  <c r="BB85" i="2" s="1"/>
  <c r="BC55" i="2"/>
  <c r="BB55" i="2" s="1"/>
  <c r="BC49" i="2"/>
  <c r="BB49" i="2" s="1"/>
  <c r="BC21" i="2"/>
  <c r="BB21" i="2" s="1"/>
  <c r="BC58" i="2"/>
  <c r="BB58" i="2" s="1"/>
  <c r="BC120" i="2"/>
  <c r="BB120" i="2" s="1"/>
  <c r="BC18" i="2"/>
  <c r="BB18" i="2" s="1"/>
  <c r="BC42" i="2"/>
  <c r="BB42" i="2" s="1"/>
  <c r="BC51" i="2"/>
  <c r="BB51" i="2" s="1"/>
  <c r="BC93" i="2"/>
  <c r="BB93" i="2" s="1"/>
  <c r="BC14" i="2"/>
  <c r="BB14" i="2" s="1"/>
  <c r="BC12" i="2"/>
  <c r="BB12" i="2" s="1"/>
  <c r="BC123" i="2"/>
  <c r="BB123" i="2" s="1"/>
  <c r="BC87" i="2"/>
  <c r="BB87" i="2" s="1"/>
  <c r="BC127" i="2"/>
  <c r="BB127" i="2" s="1"/>
  <c r="BC61" i="2"/>
  <c r="BB61" i="2" s="1"/>
  <c r="BC65" i="2"/>
  <c r="BB65" i="2" s="1"/>
  <c r="AT31" i="2"/>
  <c r="AT89" i="2"/>
  <c r="AO119" i="2"/>
  <c r="AE55" i="2"/>
  <c r="AT103" i="2"/>
  <c r="AO4" i="2"/>
  <c r="AO7" i="2"/>
  <c r="AT35" i="2"/>
  <c r="AO28" i="2"/>
  <c r="AO108" i="2"/>
  <c r="AO60" i="2"/>
  <c r="AO14" i="2"/>
  <c r="AT126" i="2"/>
  <c r="AO72" i="2"/>
  <c r="AO73" i="2"/>
  <c r="AO12" i="2"/>
  <c r="AJ75" i="2"/>
  <c r="AJ65" i="2"/>
  <c r="AO85" i="2"/>
  <c r="AJ5" i="2"/>
  <c r="AO128" i="2"/>
  <c r="AO86" i="2"/>
  <c r="AJ11" i="2"/>
  <c r="AJ36" i="2"/>
  <c r="AJ74" i="2"/>
  <c r="AT76" i="2"/>
  <c r="AT32" i="2"/>
  <c r="AT63" i="2"/>
  <c r="AO103" i="2"/>
  <c r="AJ50" i="2"/>
  <c r="AO27" i="2"/>
  <c r="AE60" i="2"/>
  <c r="AJ124" i="2"/>
  <c r="AE34" i="2"/>
  <c r="AJ82" i="2"/>
  <c r="AO40" i="2"/>
  <c r="AT34" i="2"/>
  <c r="AJ114" i="2"/>
  <c r="AJ41" i="2"/>
  <c r="AO31" i="2"/>
  <c r="AJ89" i="2"/>
  <c r="AO69" i="2"/>
  <c r="AT102" i="2"/>
  <c r="AJ115" i="2"/>
  <c r="AT97" i="2"/>
  <c r="AE81" i="2"/>
  <c r="AJ37" i="2"/>
  <c r="AE90" i="2"/>
  <c r="AE63" i="2"/>
  <c r="AE126" i="2"/>
  <c r="AE116" i="2"/>
  <c r="AE112" i="2"/>
  <c r="AO11" i="2"/>
  <c r="AE38" i="2"/>
  <c r="AJ119" i="2"/>
  <c r="AO118" i="2"/>
  <c r="AO51" i="2"/>
  <c r="AJ125" i="2"/>
  <c r="AJ62" i="2"/>
  <c r="AO77" i="2"/>
  <c r="AT125" i="2"/>
  <c r="AT56" i="2"/>
  <c r="AE49" i="2"/>
  <c r="AJ58" i="2"/>
  <c r="AO91" i="2"/>
  <c r="AE36" i="2"/>
  <c r="AT117" i="2"/>
  <c r="AE86" i="2"/>
  <c r="AE53" i="2"/>
  <c r="AT54" i="2"/>
  <c r="AJ63" i="2"/>
  <c r="AO105" i="2"/>
  <c r="AO89" i="2"/>
  <c r="AE58" i="2"/>
  <c r="AT17" i="2"/>
  <c r="AJ25" i="2"/>
  <c r="AO90" i="2"/>
  <c r="AJ56" i="2"/>
  <c r="AT53" i="2"/>
  <c r="AT59" i="2"/>
  <c r="AJ38" i="2"/>
  <c r="AE67" i="2"/>
  <c r="AO100" i="2"/>
  <c r="AT110" i="2"/>
  <c r="AT114" i="2"/>
  <c r="AE120" i="2"/>
  <c r="AT129" i="2"/>
  <c r="AO36" i="2"/>
  <c r="AE78" i="2"/>
  <c r="AE46" i="2"/>
  <c r="AE59" i="2"/>
  <c r="AO32" i="2"/>
  <c r="AE57" i="2"/>
  <c r="AT42" i="2"/>
  <c r="AJ97" i="2"/>
  <c r="AJ57" i="2"/>
  <c r="AT22" i="2"/>
  <c r="AE108" i="2"/>
  <c r="AT75" i="2"/>
  <c r="AT50" i="2"/>
  <c r="AO114" i="2"/>
  <c r="AT118" i="2"/>
  <c r="AJ14" i="2"/>
  <c r="AO123" i="2"/>
  <c r="AE70" i="2"/>
  <c r="AJ53" i="2"/>
  <c r="AE61" i="2"/>
  <c r="AE29" i="2"/>
  <c r="AE119" i="2"/>
  <c r="AO92" i="2"/>
  <c r="AT13" i="2"/>
  <c r="AE66" i="2"/>
  <c r="AJ70" i="2"/>
  <c r="AT92" i="2"/>
  <c r="AE85" i="2"/>
  <c r="AE39" i="2"/>
  <c r="AE20" i="2"/>
  <c r="AE18" i="2"/>
  <c r="AE122" i="2"/>
  <c r="AJ78" i="2"/>
  <c r="AE99" i="2"/>
  <c r="AO116" i="2"/>
  <c r="AE23" i="2"/>
  <c r="AE35" i="2"/>
  <c r="AT15" i="2"/>
  <c r="AE79" i="2"/>
  <c r="AO48" i="2"/>
  <c r="AJ54" i="2"/>
  <c r="AJ61" i="2"/>
  <c r="AJ103" i="2"/>
  <c r="AT20" i="2"/>
  <c r="AT36" i="2"/>
  <c r="AT78" i="2"/>
  <c r="AO61" i="2"/>
  <c r="AT4" i="2"/>
  <c r="AO115" i="2"/>
  <c r="AT77" i="2"/>
  <c r="AO109" i="2"/>
  <c r="AE101" i="2"/>
  <c r="AJ128" i="2"/>
  <c r="AJ80" i="2"/>
  <c r="AE107" i="2"/>
  <c r="AT21" i="2"/>
  <c r="AE17" i="2"/>
  <c r="AO126" i="2"/>
  <c r="AO120" i="2"/>
  <c r="AJ121" i="2"/>
  <c r="AT2" i="2"/>
  <c r="AJ77" i="2"/>
  <c r="AT5" i="2"/>
  <c r="AE95" i="2"/>
  <c r="AE94" i="2"/>
  <c r="AT64" i="2"/>
  <c r="AE72" i="2"/>
  <c r="AO96" i="2"/>
  <c r="AO64" i="2"/>
  <c r="AJ84" i="2"/>
  <c r="AJ67" i="2"/>
  <c r="AJ72" i="2"/>
  <c r="AO46" i="2"/>
  <c r="AO88" i="2"/>
  <c r="AT27" i="2"/>
  <c r="AT107" i="2"/>
  <c r="AO56" i="2"/>
  <c r="AJ39" i="2"/>
  <c r="AE31" i="2"/>
  <c r="AO71" i="2"/>
  <c r="AT40" i="2"/>
  <c r="AT60" i="2"/>
  <c r="AO83" i="2"/>
  <c r="AJ120" i="2"/>
  <c r="AJ68" i="2"/>
  <c r="AO38" i="2"/>
  <c r="AO30" i="2"/>
  <c r="AE56" i="2"/>
  <c r="AO21" i="2"/>
  <c r="AO23" i="2"/>
  <c r="AE47" i="2"/>
  <c r="AE97" i="2"/>
  <c r="AE100" i="2"/>
  <c r="AO10" i="2"/>
  <c r="AE84" i="2"/>
  <c r="AO44" i="2"/>
  <c r="AT24" i="2"/>
  <c r="AO55" i="2"/>
  <c r="AJ122" i="2"/>
  <c r="AT96" i="2"/>
  <c r="AT9" i="2"/>
  <c r="AO80" i="2"/>
  <c r="AJ49" i="2"/>
  <c r="AT48" i="2"/>
  <c r="AJ45" i="2"/>
  <c r="AE83" i="2"/>
  <c r="AJ47" i="2"/>
  <c r="AE45" i="2"/>
  <c r="AE117" i="2"/>
  <c r="AT29" i="2"/>
  <c r="AJ33" i="2"/>
  <c r="AT108" i="2"/>
  <c r="AO102" i="2"/>
  <c r="AO19" i="2"/>
  <c r="AO129" i="2"/>
  <c r="AJ22" i="2"/>
  <c r="AE96" i="2"/>
  <c r="AO74" i="2"/>
  <c r="AJ44" i="2"/>
  <c r="AT6" i="2"/>
  <c r="AE13" i="2"/>
  <c r="AO125" i="2"/>
  <c r="AJ64" i="2"/>
  <c r="AT45" i="2"/>
  <c r="AT26" i="2"/>
  <c r="AT23" i="2"/>
  <c r="AT28" i="2"/>
  <c r="AE9" i="2"/>
  <c r="AO65" i="2"/>
  <c r="AJ79" i="2"/>
  <c r="AT62" i="2"/>
  <c r="AO82" i="2"/>
  <c r="AJ66" i="2"/>
  <c r="AT93" i="2"/>
  <c r="AT115" i="2"/>
  <c r="AO117" i="2"/>
  <c r="AT90" i="2"/>
  <c r="AO20" i="2"/>
  <c r="AO84" i="2"/>
  <c r="AE73" i="2"/>
  <c r="AJ21" i="2"/>
  <c r="AT100" i="2"/>
  <c r="AO37" i="2"/>
  <c r="AJ123" i="2"/>
  <c r="AT52" i="2"/>
  <c r="AE43" i="2"/>
  <c r="AE93" i="2"/>
  <c r="AO34" i="2"/>
  <c r="AT98" i="2"/>
  <c r="AE102" i="2"/>
  <c r="AT69" i="2"/>
  <c r="AJ111" i="2"/>
  <c r="AE64" i="2"/>
  <c r="AE104" i="2"/>
  <c r="AE2" i="2"/>
  <c r="AE121" i="2"/>
  <c r="AE4" i="2"/>
  <c r="AE110" i="2"/>
  <c r="AJ59" i="2"/>
  <c r="AE106" i="2"/>
  <c r="AE14" i="2"/>
  <c r="AO67" i="2"/>
  <c r="AJ15" i="2"/>
  <c r="AE42" i="2"/>
  <c r="AE111" i="2"/>
  <c r="AO94" i="2"/>
  <c r="AJ27" i="2"/>
  <c r="AE15" i="2"/>
  <c r="AE26" i="2"/>
  <c r="AO13" i="2"/>
  <c r="AO106" i="2"/>
  <c r="AE91" i="2"/>
  <c r="AO127" i="2"/>
  <c r="AJ17" i="2"/>
  <c r="AE118" i="2"/>
  <c r="AE114" i="2"/>
  <c r="AO110" i="2"/>
  <c r="AT128" i="2"/>
  <c r="AT67" i="2"/>
  <c r="AT81" i="2"/>
  <c r="AT111" i="2"/>
  <c r="AO53" i="2"/>
  <c r="AJ117" i="2"/>
  <c r="AJ2" i="2"/>
  <c r="AO107" i="2"/>
  <c r="AO59" i="2"/>
  <c r="AE128" i="2"/>
  <c r="AO35" i="2"/>
  <c r="AT113" i="2"/>
  <c r="AJ28" i="2"/>
  <c r="AO42" i="2"/>
  <c r="AT74" i="2"/>
  <c r="AO18" i="2"/>
  <c r="AJ18" i="2"/>
  <c r="AJ6" i="2"/>
  <c r="AT46" i="2"/>
  <c r="AT7" i="2"/>
  <c r="AJ73" i="2"/>
  <c r="AO98" i="2"/>
  <c r="AT66" i="2"/>
  <c r="AO122" i="2"/>
  <c r="AO104" i="2"/>
  <c r="AO76" i="2"/>
  <c r="AE129" i="2"/>
  <c r="AT33" i="2"/>
  <c r="AT37" i="2"/>
  <c r="AJ35" i="2"/>
  <c r="AE113" i="2"/>
  <c r="AT41" i="2"/>
  <c r="AE5" i="2"/>
  <c r="AT99" i="2"/>
  <c r="AO63" i="2"/>
  <c r="AE52" i="2"/>
  <c r="AJ76" i="2"/>
  <c r="AT123" i="2"/>
  <c r="AJ98" i="2"/>
  <c r="AO54" i="2"/>
  <c r="AE62" i="2"/>
  <c r="AT14" i="2"/>
  <c r="AJ30" i="2"/>
  <c r="AJ29" i="2"/>
  <c r="AT116" i="2"/>
  <c r="AE75" i="2"/>
  <c r="AO95" i="2"/>
  <c r="AO6" i="2"/>
  <c r="AT85" i="2"/>
  <c r="AJ42" i="2"/>
  <c r="AJ23" i="2"/>
  <c r="AJ24" i="2"/>
  <c r="AJ88" i="2"/>
  <c r="AE28" i="2"/>
  <c r="AE109" i="2"/>
  <c r="AJ51" i="2"/>
  <c r="AE30" i="2"/>
  <c r="AE65" i="2"/>
  <c r="AE88" i="2"/>
  <c r="AE50" i="2"/>
  <c r="AO101" i="2"/>
  <c r="AJ34" i="2"/>
  <c r="AT79" i="2"/>
  <c r="AO50" i="2"/>
  <c r="AJ52" i="2"/>
  <c r="AT109" i="2"/>
  <c r="AJ104" i="2"/>
  <c r="AJ12" i="2"/>
  <c r="AT72" i="2"/>
  <c r="AT57" i="2"/>
  <c r="AJ112" i="2"/>
  <c r="AJ81" i="2"/>
  <c r="AT65" i="2"/>
  <c r="AJ94" i="2"/>
  <c r="AO70" i="2"/>
  <c r="AO24" i="2"/>
  <c r="AT82" i="2"/>
  <c r="AJ85" i="2"/>
  <c r="AJ26" i="2"/>
  <c r="AJ83" i="2"/>
  <c r="AT47" i="2"/>
  <c r="AO49" i="2"/>
  <c r="AO16" i="2"/>
  <c r="AJ3" i="2"/>
  <c r="AT104" i="2"/>
  <c r="AJ46" i="2"/>
  <c r="AJ91" i="2"/>
  <c r="AJ107" i="2"/>
  <c r="AO41" i="2"/>
  <c r="AT119" i="2"/>
  <c r="AO45" i="2"/>
  <c r="AT91" i="2"/>
  <c r="AO124" i="2"/>
  <c r="AT49" i="2"/>
  <c r="AT73" i="2"/>
  <c r="AT38" i="2"/>
  <c r="AJ48" i="2"/>
  <c r="AT88" i="2"/>
  <c r="AT122" i="2"/>
  <c r="AO75" i="2"/>
  <c r="AO79" i="2"/>
  <c r="AT11" i="2"/>
  <c r="AO99" i="2"/>
  <c r="AT16" i="2"/>
  <c r="AJ90" i="2"/>
  <c r="AE77" i="2"/>
  <c r="AE71" i="2"/>
  <c r="AE24" i="2"/>
  <c r="AT112" i="2"/>
  <c r="AE8" i="2"/>
  <c r="AJ99" i="2"/>
  <c r="AT10" i="2"/>
  <c r="AE7" i="2"/>
  <c r="AJ93" i="2"/>
  <c r="AE74" i="2"/>
  <c r="AE22" i="2"/>
  <c r="AE21" i="2"/>
  <c r="AE16" i="2"/>
  <c r="AE3" i="2"/>
  <c r="AE37" i="2"/>
  <c r="AE103" i="2"/>
  <c r="AT43" i="2"/>
  <c r="AT18" i="2"/>
  <c r="AJ9" i="2"/>
  <c r="AJ31" i="2"/>
  <c r="AO78" i="2"/>
  <c r="AT25" i="2"/>
  <c r="AE89" i="2"/>
  <c r="AO3" i="2"/>
  <c r="AT39" i="2"/>
  <c r="AE33" i="2"/>
  <c r="AT12" i="2"/>
  <c r="AJ40" i="2"/>
  <c r="AO29" i="2"/>
  <c r="AT19" i="2"/>
  <c r="AO26" i="2"/>
  <c r="AT71" i="2"/>
  <c r="AT94" i="2"/>
  <c r="AT86" i="2"/>
  <c r="AT83" i="2"/>
  <c r="AO112" i="2"/>
  <c r="AJ60" i="2"/>
  <c r="AJ106" i="2"/>
  <c r="AJ43" i="2"/>
  <c r="AE68" i="2"/>
  <c r="AO8" i="2"/>
  <c r="AT106" i="2"/>
  <c r="AJ109" i="2"/>
  <c r="AJ8" i="2"/>
  <c r="AO97" i="2"/>
  <c r="AT30" i="2"/>
  <c r="AO113" i="2"/>
  <c r="AT121" i="2"/>
  <c r="AJ116" i="2"/>
  <c r="AT3" i="2"/>
  <c r="AT8" i="2"/>
  <c r="AE80" i="2"/>
  <c r="AT87" i="2"/>
  <c r="AE11" i="2"/>
  <c r="AO22" i="2"/>
  <c r="AT61" i="2"/>
  <c r="AJ69" i="2"/>
  <c r="AJ20" i="2"/>
  <c r="AJ7" i="2"/>
  <c r="AT105" i="2"/>
  <c r="AJ100" i="2"/>
  <c r="AJ13" i="2"/>
  <c r="AT51" i="2"/>
  <c r="AE51" i="2"/>
  <c r="AT84" i="2"/>
  <c r="AO2" i="2"/>
  <c r="AE41" i="2"/>
  <c r="AO66" i="2"/>
  <c r="AT127" i="2"/>
  <c r="AJ126" i="2"/>
  <c r="AT44" i="2"/>
  <c r="AT68" i="2"/>
  <c r="AE105" i="2"/>
  <c r="AO17" i="2"/>
  <c r="AE54" i="2"/>
  <c r="AJ96" i="2"/>
  <c r="AJ129" i="2"/>
  <c r="AO57" i="2"/>
  <c r="AJ110" i="2"/>
  <c r="AT80" i="2"/>
  <c r="AT55" i="2"/>
  <c r="AO93" i="2"/>
  <c r="AJ95" i="2"/>
  <c r="AJ113" i="2"/>
  <c r="AE92" i="2"/>
  <c r="AO68" i="2"/>
  <c r="AJ105" i="2"/>
  <c r="AT70" i="2"/>
  <c r="AO58" i="2"/>
  <c r="AO39" i="2"/>
  <c r="AO52" i="2"/>
  <c r="AE76" i="2"/>
  <c r="AT124" i="2"/>
  <c r="AO43" i="2"/>
  <c r="AO87" i="2"/>
  <c r="AE115" i="2"/>
  <c r="AJ71" i="2"/>
  <c r="AO121" i="2"/>
  <c r="AE123" i="2"/>
  <c r="AJ101" i="2"/>
  <c r="AO81" i="2"/>
  <c r="AJ127" i="2"/>
  <c r="AO33" i="2"/>
  <c r="AJ87" i="2"/>
  <c r="AO15" i="2"/>
  <c r="AO47" i="2"/>
  <c r="AE82" i="2"/>
  <c r="AJ16" i="2"/>
  <c r="AJ32" i="2"/>
  <c r="AE69" i="2"/>
  <c r="AT58" i="2"/>
  <c r="AT120" i="2"/>
  <c r="AE125" i="2"/>
  <c r="AE124" i="2"/>
  <c r="AJ92" i="2"/>
  <c r="AJ4" i="2"/>
  <c r="AJ55" i="2"/>
  <c r="AJ10" i="2"/>
  <c r="AE98" i="2"/>
  <c r="AO111" i="2"/>
  <c r="AT95" i="2"/>
  <c r="AO9" i="2"/>
  <c r="AO5" i="2"/>
  <c r="AO25" i="2"/>
  <c r="AE32" i="2"/>
  <c r="AO62" i="2"/>
  <c r="AJ108" i="2"/>
  <c r="AE48" i="2"/>
  <c r="AE40" i="2"/>
  <c r="AE127" i="2"/>
  <c r="AJ102" i="2"/>
  <c r="AJ19" i="2"/>
  <c r="AJ86" i="2"/>
  <c r="AE19" i="2"/>
  <c r="AE87" i="2"/>
  <c r="AJ118" i="2"/>
  <c r="AE12" i="2"/>
  <c r="AE27" i="2"/>
  <c r="AE6" i="2"/>
  <c r="AT101" i="2"/>
  <c r="AE44" i="2"/>
  <c r="AE25" i="2"/>
  <c r="AE10" i="2"/>
  <c r="I31" i="2"/>
  <c r="I89" i="2"/>
  <c r="J119" i="2"/>
  <c r="L55" i="2"/>
  <c r="I103" i="2"/>
  <c r="J4" i="2"/>
  <c r="J7" i="2"/>
  <c r="I35" i="2"/>
  <c r="J28" i="2"/>
  <c r="J108" i="2"/>
  <c r="J60" i="2"/>
  <c r="J14" i="2"/>
  <c r="I126" i="2"/>
  <c r="J72" i="2"/>
  <c r="J73" i="2"/>
  <c r="J12" i="2"/>
  <c r="K75" i="2"/>
  <c r="K65" i="2"/>
  <c r="J85" i="2"/>
  <c r="K5" i="2"/>
  <c r="J128" i="2"/>
  <c r="J86" i="2"/>
  <c r="K11" i="2"/>
  <c r="K36" i="2"/>
  <c r="K74" i="2"/>
  <c r="I76" i="2"/>
  <c r="I32" i="2"/>
  <c r="I63" i="2"/>
  <c r="J103" i="2"/>
  <c r="K50" i="2"/>
  <c r="J27" i="2"/>
  <c r="L60" i="2"/>
  <c r="K124" i="2"/>
  <c r="L34" i="2"/>
  <c r="K82" i="2"/>
  <c r="J40" i="2"/>
  <c r="I34" i="2"/>
  <c r="K114" i="2"/>
  <c r="K41" i="2"/>
  <c r="J31" i="2"/>
  <c r="K89" i="2"/>
  <c r="J69" i="2"/>
  <c r="I102" i="2"/>
  <c r="K115" i="2"/>
  <c r="I97" i="2"/>
  <c r="L81" i="2"/>
  <c r="K37" i="2"/>
  <c r="L90" i="2"/>
  <c r="L63" i="2"/>
  <c r="L126" i="2"/>
  <c r="L116" i="2"/>
  <c r="L112" i="2"/>
  <c r="J11" i="2"/>
  <c r="L38" i="2"/>
  <c r="K119" i="2"/>
  <c r="J118" i="2"/>
  <c r="J51" i="2"/>
  <c r="K125" i="2"/>
  <c r="K62" i="2"/>
  <c r="J77" i="2"/>
  <c r="I125" i="2"/>
  <c r="I56" i="2"/>
  <c r="L49" i="2"/>
  <c r="K58" i="2"/>
  <c r="J91" i="2"/>
  <c r="L36" i="2"/>
  <c r="I117" i="2"/>
  <c r="L86" i="2"/>
  <c r="L53" i="2"/>
  <c r="I54" i="2"/>
  <c r="K63" i="2"/>
  <c r="J105" i="2"/>
  <c r="J89" i="2"/>
  <c r="L58" i="2"/>
  <c r="I17" i="2"/>
  <c r="K25" i="2"/>
  <c r="J90" i="2"/>
  <c r="K56" i="2"/>
  <c r="I53" i="2"/>
  <c r="I59" i="2"/>
  <c r="K38" i="2"/>
  <c r="L67" i="2"/>
  <c r="J100" i="2"/>
  <c r="I110" i="2"/>
  <c r="I114" i="2"/>
  <c r="L120" i="2"/>
  <c r="I129" i="2"/>
  <c r="J36" i="2"/>
  <c r="L78" i="2"/>
  <c r="L46" i="2"/>
  <c r="L59" i="2"/>
  <c r="J32" i="2"/>
  <c r="L57" i="2"/>
  <c r="I42" i="2"/>
  <c r="K97" i="2"/>
  <c r="K57" i="2"/>
  <c r="I22" i="2"/>
  <c r="L108" i="2"/>
  <c r="I75" i="2"/>
  <c r="I50" i="2"/>
  <c r="J114" i="2"/>
  <c r="I118" i="2"/>
  <c r="K14" i="2"/>
  <c r="J123" i="2"/>
  <c r="L70" i="2"/>
  <c r="K53" i="2"/>
  <c r="L61" i="2"/>
  <c r="L29" i="2"/>
  <c r="L119" i="2"/>
  <c r="J92" i="2"/>
  <c r="I13" i="2"/>
  <c r="L66" i="2"/>
  <c r="K70" i="2"/>
  <c r="I92" i="2"/>
  <c r="L85" i="2"/>
  <c r="L39" i="2"/>
  <c r="L20" i="2"/>
  <c r="L18" i="2"/>
  <c r="L122" i="2"/>
  <c r="K78" i="2"/>
  <c r="L99" i="2"/>
  <c r="J116" i="2"/>
  <c r="L23" i="2"/>
  <c r="L35" i="2"/>
  <c r="I15" i="2"/>
  <c r="L79" i="2"/>
  <c r="J48" i="2"/>
  <c r="K54" i="2"/>
  <c r="K61" i="2"/>
  <c r="K103" i="2"/>
  <c r="I20" i="2"/>
  <c r="I36" i="2"/>
  <c r="I78" i="2"/>
  <c r="J61" i="2"/>
  <c r="I4" i="2"/>
  <c r="J115" i="2"/>
  <c r="I77" i="2"/>
  <c r="J109" i="2"/>
  <c r="L101" i="2"/>
  <c r="K128" i="2"/>
  <c r="K80" i="2"/>
  <c r="L107" i="2"/>
  <c r="I21" i="2"/>
  <c r="L17" i="2"/>
  <c r="J126" i="2"/>
  <c r="J120" i="2"/>
  <c r="K121" i="2"/>
  <c r="I2" i="2"/>
  <c r="K77" i="2"/>
  <c r="I5" i="2"/>
  <c r="L95" i="2"/>
  <c r="L94" i="2"/>
  <c r="I64" i="2"/>
  <c r="L72" i="2"/>
  <c r="J96" i="2"/>
  <c r="J64" i="2"/>
  <c r="K84" i="2"/>
  <c r="K67" i="2"/>
  <c r="K72" i="2"/>
  <c r="J46" i="2"/>
  <c r="J88" i="2"/>
  <c r="I27" i="2"/>
  <c r="I107" i="2"/>
  <c r="J56" i="2"/>
  <c r="K39" i="2"/>
  <c r="L31" i="2"/>
  <c r="J71" i="2"/>
  <c r="I40" i="2"/>
  <c r="I60" i="2"/>
  <c r="J83" i="2"/>
  <c r="K120" i="2"/>
  <c r="K68" i="2"/>
  <c r="J38" i="2"/>
  <c r="J30" i="2"/>
  <c r="L56" i="2"/>
  <c r="J21" i="2"/>
  <c r="J23" i="2"/>
  <c r="L47" i="2"/>
  <c r="L97" i="2"/>
  <c r="L100" i="2"/>
  <c r="J10" i="2"/>
  <c r="L84" i="2"/>
  <c r="J44" i="2"/>
  <c r="I24" i="2"/>
  <c r="J55" i="2"/>
  <c r="K122" i="2"/>
  <c r="I96" i="2"/>
  <c r="I9" i="2"/>
  <c r="J80" i="2"/>
  <c r="K49" i="2"/>
  <c r="I48" i="2"/>
  <c r="K45" i="2"/>
  <c r="L83" i="2"/>
  <c r="K47" i="2"/>
  <c r="L45" i="2"/>
  <c r="L117" i="2"/>
  <c r="I29" i="2"/>
  <c r="K33" i="2"/>
  <c r="I108" i="2"/>
  <c r="J102" i="2"/>
  <c r="J19" i="2"/>
  <c r="J129" i="2"/>
  <c r="K22" i="2"/>
  <c r="L96" i="2"/>
  <c r="J74" i="2"/>
  <c r="K44" i="2"/>
  <c r="I6" i="2"/>
  <c r="L13" i="2"/>
  <c r="J125" i="2"/>
  <c r="K64" i="2"/>
  <c r="I45" i="2"/>
  <c r="I26" i="2"/>
  <c r="I23" i="2"/>
  <c r="I28" i="2"/>
  <c r="L9" i="2"/>
  <c r="J65" i="2"/>
  <c r="K79" i="2"/>
  <c r="I62" i="2"/>
  <c r="J82" i="2"/>
  <c r="K66" i="2"/>
  <c r="I93" i="2"/>
  <c r="I115" i="2"/>
  <c r="J117" i="2"/>
  <c r="I90" i="2"/>
  <c r="J20" i="2"/>
  <c r="J84" i="2"/>
  <c r="L73" i="2"/>
  <c r="K21" i="2"/>
  <c r="I100" i="2"/>
  <c r="J37" i="2"/>
  <c r="K123" i="2"/>
  <c r="I52" i="2"/>
  <c r="L43" i="2"/>
  <c r="L93" i="2"/>
  <c r="J34" i="2"/>
  <c r="I98" i="2"/>
  <c r="L102" i="2"/>
  <c r="I69" i="2"/>
  <c r="K111" i="2"/>
  <c r="L64" i="2"/>
  <c r="L104" i="2"/>
  <c r="L2" i="2"/>
  <c r="L121" i="2"/>
  <c r="L4" i="2"/>
  <c r="L110" i="2"/>
  <c r="K59" i="2"/>
  <c r="L106" i="2"/>
  <c r="L14" i="2"/>
  <c r="J67" i="2"/>
  <c r="K15" i="2"/>
  <c r="L42" i="2"/>
  <c r="L111" i="2"/>
  <c r="J94" i="2"/>
  <c r="K27" i="2"/>
  <c r="L15" i="2"/>
  <c r="L26" i="2"/>
  <c r="J13" i="2"/>
  <c r="J106" i="2"/>
  <c r="L91" i="2"/>
  <c r="J127" i="2"/>
  <c r="K17" i="2"/>
  <c r="L118" i="2"/>
  <c r="L114" i="2"/>
  <c r="J110" i="2"/>
  <c r="I128" i="2"/>
  <c r="I67" i="2"/>
  <c r="I81" i="2"/>
  <c r="I111" i="2"/>
  <c r="J53" i="2"/>
  <c r="K117" i="2"/>
  <c r="K2" i="2"/>
  <c r="J107" i="2"/>
  <c r="J59" i="2"/>
  <c r="L128" i="2"/>
  <c r="J35" i="2"/>
  <c r="I113" i="2"/>
  <c r="K28" i="2"/>
  <c r="J42" i="2"/>
  <c r="I74" i="2"/>
  <c r="J18" i="2"/>
  <c r="K18" i="2"/>
  <c r="K6" i="2"/>
  <c r="I46" i="2"/>
  <c r="I7" i="2"/>
  <c r="K73" i="2"/>
  <c r="J98" i="2"/>
  <c r="I66" i="2"/>
  <c r="J122" i="2"/>
  <c r="J104" i="2"/>
  <c r="J76" i="2"/>
  <c r="L129" i="2"/>
  <c r="I33" i="2"/>
  <c r="I37" i="2"/>
  <c r="K35" i="2"/>
  <c r="L113" i="2"/>
  <c r="I41" i="2"/>
  <c r="L5" i="2"/>
  <c r="I99" i="2"/>
  <c r="J63" i="2"/>
  <c r="L52" i="2"/>
  <c r="K76" i="2"/>
  <c r="I123" i="2"/>
  <c r="K98" i="2"/>
  <c r="J54" i="2"/>
  <c r="L62" i="2"/>
  <c r="I14" i="2"/>
  <c r="K30" i="2"/>
  <c r="K29" i="2"/>
  <c r="I116" i="2"/>
  <c r="L75" i="2"/>
  <c r="J95" i="2"/>
  <c r="J6" i="2"/>
  <c r="I85" i="2"/>
  <c r="K42" i="2"/>
  <c r="K23" i="2"/>
  <c r="K24" i="2"/>
  <c r="K88" i="2"/>
  <c r="L28" i="2"/>
  <c r="L109" i="2"/>
  <c r="K51" i="2"/>
  <c r="L30" i="2"/>
  <c r="L65" i="2"/>
  <c r="L88" i="2"/>
  <c r="L50" i="2"/>
  <c r="J101" i="2"/>
  <c r="K34" i="2"/>
  <c r="I79" i="2"/>
  <c r="J50" i="2"/>
  <c r="K52" i="2"/>
  <c r="I109" i="2"/>
  <c r="K104" i="2"/>
  <c r="K12" i="2"/>
  <c r="I72" i="2"/>
  <c r="I57" i="2"/>
  <c r="K112" i="2"/>
  <c r="K81" i="2"/>
  <c r="I65" i="2"/>
  <c r="K94" i="2"/>
  <c r="J70" i="2"/>
  <c r="J24" i="2"/>
  <c r="I82" i="2"/>
  <c r="K85" i="2"/>
  <c r="K26" i="2"/>
  <c r="K83" i="2"/>
  <c r="I47" i="2"/>
  <c r="J49" i="2"/>
  <c r="J16" i="2"/>
  <c r="K3" i="2"/>
  <c r="I104" i="2"/>
  <c r="K46" i="2"/>
  <c r="K91" i="2"/>
  <c r="K107" i="2"/>
  <c r="J41" i="2"/>
  <c r="I119" i="2"/>
  <c r="J45" i="2"/>
  <c r="I91" i="2"/>
  <c r="J124" i="2"/>
  <c r="I49" i="2"/>
  <c r="I73" i="2"/>
  <c r="I38" i="2"/>
  <c r="K48" i="2"/>
  <c r="I88" i="2"/>
  <c r="I122" i="2"/>
  <c r="J75" i="2"/>
  <c r="J79" i="2"/>
  <c r="I11" i="2"/>
  <c r="J99" i="2"/>
  <c r="I16" i="2"/>
  <c r="K90" i="2"/>
  <c r="L77" i="2"/>
  <c r="L71" i="2"/>
  <c r="L24" i="2"/>
  <c r="I112" i="2"/>
  <c r="L8" i="2"/>
  <c r="K99" i="2"/>
  <c r="I10" i="2"/>
  <c r="L7" i="2"/>
  <c r="K93" i="2"/>
  <c r="L74" i="2"/>
  <c r="L22" i="2"/>
  <c r="L21" i="2"/>
  <c r="L16" i="2"/>
  <c r="L3" i="2"/>
  <c r="L37" i="2"/>
  <c r="L103" i="2"/>
  <c r="I43" i="2"/>
  <c r="I18" i="2"/>
  <c r="K9" i="2"/>
  <c r="K31" i="2"/>
  <c r="J78" i="2"/>
  <c r="I25" i="2"/>
  <c r="L89" i="2"/>
  <c r="J3" i="2"/>
  <c r="I39" i="2"/>
  <c r="L33" i="2"/>
  <c r="I12" i="2"/>
  <c r="K40" i="2"/>
  <c r="J29" i="2"/>
  <c r="I19" i="2"/>
  <c r="J26" i="2"/>
  <c r="I71" i="2"/>
  <c r="I94" i="2"/>
  <c r="I86" i="2"/>
  <c r="I83" i="2"/>
  <c r="J112" i="2"/>
  <c r="K60" i="2"/>
  <c r="K106" i="2"/>
  <c r="K43" i="2"/>
  <c r="L68" i="2"/>
  <c r="J8" i="2"/>
  <c r="I106" i="2"/>
  <c r="K109" i="2"/>
  <c r="K8" i="2"/>
  <c r="J97" i="2"/>
  <c r="I30" i="2"/>
  <c r="J113" i="2"/>
  <c r="I121" i="2"/>
  <c r="K116" i="2"/>
  <c r="I3" i="2"/>
  <c r="I8" i="2"/>
  <c r="L80" i="2"/>
  <c r="I87" i="2"/>
  <c r="L11" i="2"/>
  <c r="J22" i="2"/>
  <c r="I61" i="2"/>
  <c r="K69" i="2"/>
  <c r="K20" i="2"/>
  <c r="K7" i="2"/>
  <c r="I105" i="2"/>
  <c r="K100" i="2"/>
  <c r="K13" i="2"/>
  <c r="I51" i="2"/>
  <c r="L51" i="2"/>
  <c r="I84" i="2"/>
  <c r="J2" i="2"/>
  <c r="L41" i="2"/>
  <c r="J66" i="2"/>
  <c r="I127" i="2"/>
  <c r="K126" i="2"/>
  <c r="I44" i="2"/>
  <c r="I68" i="2"/>
  <c r="L105" i="2"/>
  <c r="J17" i="2"/>
  <c r="L54" i="2"/>
  <c r="K96" i="2"/>
  <c r="K129" i="2"/>
  <c r="J57" i="2"/>
  <c r="K110" i="2"/>
  <c r="I80" i="2"/>
  <c r="I55" i="2"/>
  <c r="J93" i="2"/>
  <c r="K95" i="2"/>
  <c r="K113" i="2"/>
  <c r="L92" i="2"/>
  <c r="J68" i="2"/>
  <c r="K105" i="2"/>
  <c r="I70" i="2"/>
  <c r="J58" i="2"/>
  <c r="J39" i="2"/>
  <c r="J52" i="2"/>
  <c r="L76" i="2"/>
  <c r="I124" i="2"/>
  <c r="J43" i="2"/>
  <c r="J87" i="2"/>
  <c r="L115" i="2"/>
  <c r="K71" i="2"/>
  <c r="J121" i="2"/>
  <c r="L123" i="2"/>
  <c r="K101" i="2"/>
  <c r="J81" i="2"/>
  <c r="K127" i="2"/>
  <c r="J33" i="2"/>
  <c r="K87" i="2"/>
  <c r="J15" i="2"/>
  <c r="J47" i="2"/>
  <c r="L82" i="2"/>
  <c r="K16" i="2"/>
  <c r="K32" i="2"/>
  <c r="L69" i="2"/>
  <c r="I58" i="2"/>
  <c r="I120" i="2"/>
  <c r="L125" i="2"/>
  <c r="L124" i="2"/>
  <c r="K92" i="2"/>
  <c r="K4" i="2"/>
  <c r="K55" i="2"/>
  <c r="K10" i="2"/>
  <c r="L98" i="2"/>
  <c r="J111" i="2"/>
  <c r="I95" i="2"/>
  <c r="J9" i="2"/>
  <c r="J5" i="2"/>
  <c r="J25" i="2"/>
  <c r="L32" i="2"/>
  <c r="J62" i="2"/>
  <c r="K108" i="2"/>
  <c r="L48" i="2"/>
  <c r="L40" i="2"/>
  <c r="L127" i="2"/>
  <c r="K102" i="2"/>
  <c r="K19" i="2"/>
  <c r="K86" i="2"/>
  <c r="L19" i="2"/>
  <c r="L87" i="2"/>
  <c r="K118" i="2"/>
  <c r="L12" i="2"/>
  <c r="L27" i="2"/>
  <c r="L6" i="2"/>
  <c r="I101" i="2"/>
  <c r="L44" i="2"/>
  <c r="L25" i="2"/>
  <c r="L10" i="2"/>
  <c r="AF10" i="2" l="1"/>
  <c r="AF25" i="2"/>
  <c r="AF44" i="2"/>
  <c r="AU101" i="2"/>
  <c r="AF6" i="2"/>
  <c r="AF27" i="2"/>
  <c r="AF12" i="2"/>
  <c r="AK118" i="2"/>
  <c r="AF87" i="2"/>
  <c r="AF19" i="2"/>
  <c r="AK86" i="2"/>
  <c r="AK19" i="2"/>
  <c r="AK102" i="2"/>
  <c r="AF127" i="2"/>
  <c r="AF40" i="2"/>
  <c r="AF48" i="2"/>
  <c r="AK108" i="2"/>
  <c r="AP62" i="2"/>
  <c r="AF32" i="2"/>
  <c r="AP25" i="2"/>
  <c r="AP5" i="2"/>
  <c r="AP9" i="2"/>
  <c r="AU95" i="2"/>
  <c r="AP111" i="2"/>
  <c r="AF98" i="2"/>
  <c r="AK10" i="2"/>
  <c r="AK55" i="2"/>
  <c r="AK4" i="2"/>
  <c r="AK92" i="2"/>
  <c r="AF124" i="2"/>
  <c r="AF125" i="2"/>
  <c r="AU120" i="2"/>
  <c r="AU58" i="2"/>
  <c r="AF69" i="2"/>
  <c r="AK32" i="2"/>
  <c r="AK16" i="2"/>
  <c r="AF82" i="2"/>
  <c r="AP47" i="2"/>
  <c r="AP15" i="2"/>
  <c r="AK87" i="2"/>
  <c r="AP33" i="2"/>
  <c r="AK127" i="2"/>
  <c r="AP81" i="2"/>
  <c r="AK101" i="2"/>
  <c r="AF123" i="2"/>
  <c r="AP121" i="2"/>
  <c r="AK71" i="2"/>
  <c r="AF115" i="2"/>
  <c r="AP87" i="2"/>
  <c r="AP43" i="2"/>
  <c r="AU124" i="2"/>
  <c r="AF76" i="2"/>
  <c r="AP52" i="2"/>
  <c r="AP39" i="2"/>
  <c r="AP58" i="2"/>
  <c r="AU70" i="2"/>
  <c r="AK105" i="2"/>
  <c r="AP68" i="2"/>
  <c r="AF92" i="2"/>
  <c r="AK113" i="2"/>
  <c r="AK95" i="2"/>
  <c r="AP93" i="2"/>
  <c r="AU55" i="2"/>
  <c r="AU80" i="2"/>
  <c r="AK110" i="2"/>
  <c r="AP57" i="2"/>
  <c r="AK129" i="2"/>
  <c r="AK96" i="2"/>
  <c r="AF54" i="2"/>
  <c r="AP17" i="2"/>
  <c r="AF105" i="2"/>
  <c r="AU68" i="2"/>
  <c r="AU44" i="2"/>
  <c r="AK126" i="2"/>
  <c r="AU127" i="2"/>
  <c r="AP66" i="2"/>
  <c r="AF41" i="2"/>
  <c r="AP2" i="2"/>
  <c r="AU84" i="2"/>
  <c r="AF51" i="2"/>
  <c r="AU51" i="2"/>
  <c r="AK13" i="2"/>
  <c r="AK100" i="2"/>
  <c r="AU105" i="2"/>
  <c r="AK7" i="2"/>
  <c r="AK20" i="2"/>
  <c r="AK69" i="2"/>
  <c r="AU61" i="2"/>
  <c r="AP22" i="2"/>
  <c r="AF11" i="2"/>
  <c r="AU87" i="2"/>
  <c r="AF80" i="2"/>
  <c r="AU8" i="2"/>
  <c r="AU3" i="2"/>
  <c r="AK116" i="2"/>
  <c r="AU121" i="2"/>
  <c r="AP113" i="2"/>
  <c r="AU30" i="2"/>
  <c r="AP97" i="2"/>
  <c r="AK8" i="2"/>
  <c r="AK109" i="2"/>
  <c r="AU106" i="2"/>
  <c r="AP8" i="2"/>
  <c r="AF68" i="2"/>
  <c r="AK43" i="2"/>
  <c r="AK106" i="2"/>
  <c r="AK60" i="2"/>
  <c r="AP112" i="2"/>
  <c r="AU83" i="2"/>
  <c r="AU86" i="2"/>
  <c r="AU94" i="2"/>
  <c r="AU71" i="2"/>
  <c r="AP26" i="2"/>
  <c r="AU19" i="2"/>
  <c r="AP29" i="2"/>
  <c r="AK40" i="2"/>
  <c r="AU12" i="2"/>
  <c r="AF33" i="2"/>
  <c r="AU39" i="2"/>
  <c r="AP3" i="2"/>
  <c r="AF89" i="2"/>
  <c r="AU25" i="2"/>
  <c r="AP78" i="2"/>
  <c r="AK31" i="2"/>
  <c r="AK9" i="2"/>
  <c r="AU18" i="2"/>
  <c r="AU43" i="2"/>
  <c r="AF103" i="2"/>
  <c r="AF37" i="2"/>
  <c r="AF3" i="2"/>
  <c r="AF16" i="2"/>
  <c r="AF21" i="2"/>
  <c r="AF22" i="2"/>
  <c r="AF74" i="2"/>
  <c r="AK93" i="2"/>
  <c r="AF7" i="2"/>
  <c r="AU10" i="2"/>
  <c r="AK99" i="2"/>
  <c r="AF8" i="2"/>
  <c r="AU112" i="2"/>
  <c r="AF24" i="2"/>
  <c r="AF71" i="2"/>
  <c r="AF77" i="2"/>
  <c r="AK90" i="2"/>
  <c r="AU16" i="2"/>
  <c r="AP99" i="2"/>
  <c r="AU11" i="2"/>
  <c r="AP79" i="2"/>
  <c r="AP75" i="2"/>
  <c r="AU122" i="2"/>
  <c r="AU88" i="2"/>
  <c r="AK48" i="2"/>
  <c r="AU38" i="2"/>
  <c r="AU73" i="2"/>
  <c r="AU49" i="2"/>
  <c r="AP124" i="2"/>
  <c r="AU91" i="2"/>
  <c r="AP45" i="2"/>
  <c r="AU119" i="2"/>
  <c r="AP41" i="2"/>
  <c r="AK107" i="2"/>
  <c r="AK91" i="2"/>
  <c r="AK46" i="2"/>
  <c r="AU104" i="2"/>
  <c r="AK3" i="2"/>
  <c r="AP16" i="2"/>
  <c r="AP49" i="2"/>
  <c r="AU47" i="2"/>
  <c r="AK83" i="2"/>
  <c r="AK26" i="2"/>
  <c r="AK85" i="2"/>
  <c r="AU82" i="2"/>
  <c r="AP24" i="2"/>
  <c r="AP70" i="2"/>
  <c r="AK94" i="2"/>
  <c r="AU65" i="2"/>
  <c r="AK81" i="2"/>
  <c r="AK112" i="2"/>
  <c r="AU57" i="2"/>
  <c r="AU72" i="2"/>
  <c r="AK12" i="2"/>
  <c r="AK104" i="2"/>
  <c r="AU109" i="2"/>
  <c r="AK52" i="2"/>
  <c r="AP50" i="2"/>
  <c r="AU79" i="2"/>
  <c r="AK34" i="2"/>
  <c r="AP101" i="2"/>
  <c r="AF50" i="2"/>
  <c r="AF88" i="2"/>
  <c r="AF65" i="2"/>
  <c r="AF30" i="2"/>
  <c r="AK51" i="2"/>
  <c r="AF109" i="2"/>
  <c r="AF28" i="2"/>
  <c r="AK88" i="2"/>
  <c r="AK24" i="2"/>
  <c r="AK23" i="2"/>
  <c r="AK42" i="2"/>
  <c r="AU85" i="2"/>
  <c r="AP6" i="2"/>
  <c r="AP95" i="2"/>
  <c r="AF75" i="2"/>
  <c r="AU116" i="2"/>
  <c r="AK29" i="2"/>
  <c r="AK30" i="2"/>
  <c r="AU14" i="2"/>
  <c r="AF62" i="2"/>
  <c r="AP54" i="2"/>
  <c r="AK98" i="2"/>
  <c r="AU123" i="2"/>
  <c r="AK76" i="2"/>
  <c r="AF52" i="2"/>
  <c r="AP63" i="2"/>
  <c r="AU99" i="2"/>
  <c r="AF5" i="2"/>
  <c r="AU41" i="2"/>
  <c r="AF113" i="2"/>
  <c r="AK35" i="2"/>
  <c r="AU37" i="2"/>
  <c r="AU33" i="2"/>
  <c r="AF129" i="2"/>
  <c r="AP76" i="2"/>
  <c r="AP104" i="2"/>
  <c r="AP122" i="2"/>
  <c r="AU66" i="2"/>
  <c r="AP98" i="2"/>
  <c r="AK73" i="2"/>
  <c r="AU7" i="2"/>
  <c r="AU46" i="2"/>
  <c r="AK6" i="2"/>
  <c r="AK18" i="2"/>
  <c r="AP18" i="2"/>
  <c r="AU74" i="2"/>
  <c r="AP42" i="2"/>
  <c r="AK28" i="2"/>
  <c r="AU113" i="2"/>
  <c r="AP35" i="2"/>
  <c r="AF128" i="2"/>
  <c r="AP59" i="2"/>
  <c r="AP107" i="2"/>
  <c r="AK2" i="2"/>
  <c r="AK117" i="2"/>
  <c r="AP53" i="2"/>
  <c r="AU111" i="2"/>
  <c r="AU81" i="2"/>
  <c r="AU67" i="2"/>
  <c r="AU128" i="2"/>
  <c r="AP110" i="2"/>
  <c r="AF114" i="2"/>
  <c r="AF118" i="2"/>
  <c r="AK17" i="2"/>
  <c r="AP127" i="2"/>
  <c r="AF91" i="2"/>
  <c r="AP106" i="2"/>
  <c r="AP13" i="2"/>
  <c r="AF26" i="2"/>
  <c r="AF15" i="2"/>
  <c r="AK27" i="2"/>
  <c r="AP94" i="2"/>
  <c r="AF111" i="2"/>
  <c r="AF42" i="2"/>
  <c r="AK15" i="2"/>
  <c r="AP67" i="2"/>
  <c r="AF14" i="2"/>
  <c r="AF106" i="2"/>
  <c r="AK59" i="2"/>
  <c r="AF110" i="2"/>
  <c r="AF4" i="2"/>
  <c r="AF121" i="2"/>
  <c r="AF2" i="2"/>
  <c r="AF104" i="2"/>
  <c r="AF64" i="2"/>
  <c r="AK111" i="2"/>
  <c r="AU69" i="2"/>
  <c r="AF102" i="2"/>
  <c r="AU98" i="2"/>
  <c r="AP34" i="2"/>
  <c r="AF93" i="2"/>
  <c r="AF43" i="2"/>
  <c r="AU52" i="2"/>
  <c r="AK123" i="2"/>
  <c r="AP37" i="2"/>
  <c r="AU100" i="2"/>
  <c r="AK21" i="2"/>
  <c r="AF73" i="2"/>
  <c r="AP84" i="2"/>
  <c r="AP20" i="2"/>
  <c r="AU90" i="2"/>
  <c r="AP117" i="2"/>
  <c r="AU115" i="2"/>
  <c r="AU93" i="2"/>
  <c r="AK66" i="2"/>
  <c r="AP82" i="2"/>
  <c r="AU62" i="2"/>
  <c r="AK79" i="2"/>
  <c r="AP65" i="2"/>
  <c r="AF9" i="2"/>
  <c r="AU28" i="2"/>
  <c r="AU23" i="2"/>
  <c r="AU26" i="2"/>
  <c r="AU45" i="2"/>
  <c r="AK64" i="2"/>
  <c r="AP125" i="2"/>
  <c r="AF13" i="2"/>
  <c r="AU6" i="2"/>
  <c r="AK44" i="2"/>
  <c r="AP74" i="2"/>
  <c r="AF96" i="2"/>
  <c r="AK22" i="2"/>
  <c r="AP129" i="2"/>
  <c r="AP19" i="2"/>
  <c r="AP102" i="2"/>
  <c r="AU108" i="2"/>
  <c r="AK33" i="2"/>
  <c r="AU29" i="2"/>
  <c r="AF117" i="2"/>
  <c r="AF45" i="2"/>
  <c r="AK47" i="2"/>
  <c r="AF83" i="2"/>
  <c r="AK45" i="2"/>
  <c r="AU48" i="2"/>
  <c r="AK49" i="2"/>
  <c r="AP80" i="2"/>
  <c r="AU9" i="2"/>
  <c r="AU96" i="2"/>
  <c r="AK122" i="2"/>
  <c r="AP55" i="2"/>
  <c r="AU24" i="2"/>
  <c r="AP44" i="2"/>
  <c r="AF84" i="2"/>
  <c r="AP10" i="2"/>
  <c r="AF100" i="2"/>
  <c r="AF97" i="2"/>
  <c r="AF47" i="2"/>
  <c r="AP23" i="2"/>
  <c r="AP21" i="2"/>
  <c r="AF56" i="2"/>
  <c r="AP30" i="2"/>
  <c r="AP38" i="2"/>
  <c r="AK68" i="2"/>
  <c r="AK120" i="2"/>
  <c r="AP83" i="2"/>
  <c r="AU60" i="2"/>
  <c r="AU40" i="2"/>
  <c r="AP71" i="2"/>
  <c r="AF31" i="2"/>
  <c r="AK39" i="2"/>
  <c r="AP56" i="2"/>
  <c r="AU107" i="2"/>
  <c r="AU27" i="2"/>
  <c r="AP88" i="2"/>
  <c r="AP46" i="2"/>
  <c r="AK72" i="2"/>
  <c r="AK67" i="2"/>
  <c r="AK84" i="2"/>
  <c r="AP64" i="2"/>
  <c r="AP96" i="2"/>
  <c r="AF72" i="2"/>
  <c r="AU64" i="2"/>
  <c r="AF94" i="2"/>
  <c r="AF95" i="2"/>
  <c r="AU5" i="2"/>
  <c r="AK77" i="2"/>
  <c r="AU2" i="2"/>
  <c r="AK121" i="2"/>
  <c r="AP120" i="2"/>
  <c r="AP126" i="2"/>
  <c r="AF17" i="2"/>
  <c r="AU21" i="2"/>
  <c r="AF107" i="2"/>
  <c r="AK80" i="2"/>
  <c r="AK128" i="2"/>
  <c r="AF101" i="2"/>
  <c r="AP109" i="2"/>
  <c r="AU77" i="2"/>
  <c r="AP115" i="2"/>
  <c r="AU4" i="2"/>
  <c r="AP61" i="2"/>
  <c r="AU78" i="2"/>
  <c r="AU36" i="2"/>
  <c r="AU20" i="2"/>
  <c r="AK103" i="2"/>
  <c r="AK61" i="2"/>
  <c r="AK54" i="2"/>
  <c r="AP48" i="2"/>
  <c r="AF79" i="2"/>
  <c r="AU15" i="2"/>
  <c r="AF35" i="2"/>
  <c r="AF23" i="2"/>
  <c r="AP116" i="2"/>
  <c r="AF99" i="2"/>
  <c r="AK78" i="2"/>
  <c r="AF122" i="2"/>
  <c r="AF18" i="2"/>
  <c r="AF20" i="2"/>
  <c r="AF39" i="2"/>
  <c r="AF85" i="2"/>
  <c r="AU92" i="2"/>
  <c r="AK70" i="2"/>
  <c r="AF66" i="2"/>
  <c r="AU13" i="2"/>
  <c r="AP92" i="2"/>
  <c r="AF119" i="2"/>
  <c r="AF29" i="2"/>
  <c r="AF61" i="2"/>
  <c r="AK53" i="2"/>
  <c r="AF70" i="2"/>
  <c r="AP123" i="2"/>
  <c r="AK14" i="2"/>
  <c r="AU118" i="2"/>
  <c r="AP114" i="2"/>
  <c r="AU50" i="2"/>
  <c r="AU75" i="2"/>
  <c r="AF108" i="2"/>
  <c r="AU22" i="2"/>
  <c r="AK57" i="2"/>
  <c r="AK97" i="2"/>
  <c r="AU42" i="2"/>
  <c r="AF57" i="2"/>
  <c r="AP32" i="2"/>
  <c r="AF59" i="2"/>
  <c r="AF46" i="2"/>
  <c r="AF78" i="2"/>
  <c r="AP36" i="2"/>
  <c r="AU129" i="2"/>
  <c r="AF120" i="2"/>
  <c r="AU114" i="2"/>
  <c r="AU110" i="2"/>
  <c r="AP100" i="2"/>
  <c r="AF67" i="2"/>
  <c r="AK38" i="2"/>
  <c r="AU59" i="2"/>
  <c r="AU53" i="2"/>
  <c r="AK56" i="2"/>
  <c r="AP90" i="2"/>
  <c r="AK25" i="2"/>
  <c r="AU17" i="2"/>
  <c r="AF58" i="2"/>
  <c r="AP89" i="2"/>
  <c r="AP105" i="2"/>
  <c r="AK63" i="2"/>
  <c r="AU54" i="2"/>
  <c r="AF53" i="2"/>
  <c r="AF86" i="2"/>
  <c r="AU117" i="2"/>
  <c r="AF36" i="2"/>
  <c r="AP91" i="2"/>
  <c r="AK58" i="2"/>
  <c r="AF49" i="2"/>
  <c r="AU56" i="2"/>
  <c r="AU125" i="2"/>
  <c r="AP77" i="2"/>
  <c r="AK62" i="2"/>
  <c r="AK125" i="2"/>
  <c r="AP51" i="2"/>
  <c r="AP118" i="2"/>
  <c r="AK119" i="2"/>
  <c r="AF38" i="2"/>
  <c r="AP11" i="2"/>
  <c r="AF112" i="2"/>
  <c r="AF116" i="2"/>
  <c r="AF126" i="2"/>
  <c r="AF63" i="2"/>
  <c r="AF90" i="2"/>
  <c r="AK37" i="2"/>
  <c r="AF81" i="2"/>
  <c r="AU97" i="2"/>
  <c r="AK115" i="2"/>
  <c r="AU102" i="2"/>
  <c r="AP69" i="2"/>
  <c r="AK89" i="2"/>
  <c r="AP31" i="2"/>
  <c r="AK41" i="2"/>
  <c r="AK114" i="2"/>
  <c r="AU34" i="2"/>
  <c r="AP40" i="2"/>
  <c r="AK82" i="2"/>
  <c r="AF34" i="2"/>
  <c r="AK124" i="2"/>
  <c r="AF60" i="2"/>
  <c r="AP27" i="2"/>
  <c r="AK50" i="2"/>
  <c r="AP103" i="2"/>
  <c r="AU63" i="2"/>
  <c r="AU32" i="2"/>
  <c r="AU76" i="2"/>
  <c r="AK74" i="2"/>
  <c r="AK36" i="2"/>
  <c r="AK11" i="2"/>
  <c r="AP86" i="2"/>
  <c r="AP128" i="2"/>
  <c r="AK5" i="2"/>
  <c r="AP85" i="2"/>
  <c r="AK65" i="2"/>
  <c r="AK75" i="2"/>
  <c r="AP12" i="2"/>
  <c r="AP73" i="2"/>
  <c r="AP72" i="2"/>
  <c r="AU126" i="2"/>
  <c r="AP14" i="2"/>
  <c r="AP60" i="2"/>
  <c r="AP108" i="2"/>
  <c r="AP28" i="2"/>
  <c r="AU35" i="2"/>
  <c r="AP7" i="2"/>
  <c r="AP4" i="2"/>
  <c r="AU103" i="2"/>
  <c r="AF55" i="2"/>
  <c r="AP119" i="2"/>
  <c r="AU89" i="2"/>
  <c r="AU31" i="2"/>
  <c r="Q10" i="2"/>
  <c r="Q6" i="2"/>
  <c r="Q87" i="2"/>
  <c r="P102" i="2"/>
  <c r="P108" i="2"/>
  <c r="O5" i="2"/>
  <c r="Q98" i="2"/>
  <c r="P92" i="2"/>
  <c r="N58" i="2"/>
  <c r="Q82" i="2"/>
  <c r="O33" i="2"/>
  <c r="Q123" i="2"/>
  <c r="O87" i="2"/>
  <c r="O52" i="2"/>
  <c r="P105" i="2"/>
  <c r="P95" i="2"/>
  <c r="P110" i="2"/>
  <c r="Q54" i="2"/>
  <c r="N44" i="2"/>
  <c r="Q41" i="2"/>
  <c r="N51" i="2"/>
  <c r="P7" i="2"/>
  <c r="O22" i="2"/>
  <c r="N8" i="2"/>
  <c r="O113" i="2"/>
  <c r="P109" i="2"/>
  <c r="P43" i="2"/>
  <c r="N83" i="2"/>
  <c r="O26" i="2"/>
  <c r="N12" i="2"/>
  <c r="Q89" i="2"/>
  <c r="P9" i="2"/>
  <c r="Q37" i="2"/>
  <c r="Q22" i="2"/>
  <c r="N10" i="2"/>
  <c r="Q24" i="2"/>
  <c r="N16" i="2"/>
  <c r="O75" i="2"/>
  <c r="N38" i="2"/>
  <c r="N91" i="2"/>
  <c r="P107" i="2"/>
  <c r="P3" i="2"/>
  <c r="P83" i="2"/>
  <c r="O24" i="2"/>
  <c r="P81" i="2"/>
  <c r="P12" i="2"/>
  <c r="O50" i="2"/>
  <c r="Q50" i="2"/>
  <c r="P51" i="2"/>
  <c r="P24" i="2"/>
  <c r="O6" i="2"/>
  <c r="P29" i="2"/>
  <c r="O54" i="2"/>
  <c r="Q52" i="2"/>
  <c r="N41" i="2"/>
  <c r="N33" i="2"/>
  <c r="O122" i="2"/>
  <c r="N7" i="2"/>
  <c r="O18" i="2"/>
  <c r="N113" i="2"/>
  <c r="O107" i="2"/>
  <c r="N111" i="2"/>
  <c r="O110" i="2"/>
  <c r="O127" i="2"/>
  <c r="Q26" i="2"/>
  <c r="Q111" i="2"/>
  <c r="Q14" i="2"/>
  <c r="Q4" i="2"/>
  <c r="Q64" i="2"/>
  <c r="N98" i="2"/>
  <c r="N52" i="2"/>
  <c r="P21" i="2"/>
  <c r="N90" i="2"/>
  <c r="P66" i="2"/>
  <c r="O65" i="2"/>
  <c r="N26" i="2"/>
  <c r="Q13" i="2"/>
  <c r="Q96" i="2"/>
  <c r="O102" i="2"/>
  <c r="Q117" i="2"/>
  <c r="P45" i="2"/>
  <c r="N9" i="2"/>
  <c r="N24" i="2"/>
  <c r="Q100" i="2"/>
  <c r="O21" i="2"/>
  <c r="P68" i="2"/>
  <c r="N40" i="2"/>
  <c r="O56" i="2"/>
  <c r="O46" i="2"/>
  <c r="O64" i="2"/>
  <c r="Q94" i="2"/>
  <c r="N2" i="2"/>
  <c r="Q17" i="2"/>
  <c r="P128" i="2"/>
  <c r="O115" i="2"/>
  <c r="N36" i="2"/>
  <c r="P54" i="2"/>
  <c r="Q35" i="2"/>
  <c r="P78" i="2"/>
  <c r="Q39" i="2"/>
  <c r="Q66" i="2"/>
  <c r="Q29" i="2"/>
  <c r="O123" i="2"/>
  <c r="N50" i="2"/>
  <c r="P57" i="2"/>
  <c r="O32" i="2"/>
  <c r="O36" i="2"/>
  <c r="N110" i="2"/>
  <c r="N59" i="2"/>
  <c r="P25" i="2"/>
  <c r="O105" i="2"/>
  <c r="Q86" i="2"/>
  <c r="P58" i="2"/>
  <c r="O77" i="2"/>
  <c r="O118" i="2"/>
  <c r="Q112" i="2"/>
  <c r="Q90" i="2"/>
  <c r="P115" i="2"/>
  <c r="O31" i="2"/>
  <c r="O40" i="2"/>
  <c r="Q60" i="2"/>
  <c r="N63" i="2"/>
  <c r="P36" i="2"/>
  <c r="P5" i="2"/>
  <c r="O14" i="2"/>
  <c r="Q55" i="2"/>
  <c r="O73" i="2"/>
  <c r="O119" i="2"/>
  <c r="O4" i="2"/>
  <c r="Q25" i="2"/>
  <c r="Q27" i="2"/>
  <c r="Q19" i="2"/>
  <c r="Q127" i="2"/>
  <c r="O62" i="2"/>
  <c r="O9" i="2"/>
  <c r="P10" i="2"/>
  <c r="Q124" i="2"/>
  <c r="Q69" i="2"/>
  <c r="O47" i="2"/>
  <c r="P127" i="2"/>
  <c r="O121" i="2"/>
  <c r="O43" i="2"/>
  <c r="O39" i="2"/>
  <c r="O68" i="2"/>
  <c r="O93" i="2"/>
  <c r="O57" i="2"/>
  <c r="O17" i="2"/>
  <c r="P126" i="2"/>
  <c r="O2" i="2"/>
  <c r="P13" i="2"/>
  <c r="P20" i="2"/>
  <c r="Q11" i="2"/>
  <c r="N3" i="2"/>
  <c r="N30" i="2"/>
  <c r="N106" i="2"/>
  <c r="P106" i="2"/>
  <c r="N86" i="2"/>
  <c r="N19" i="2"/>
  <c r="Q33" i="2"/>
  <c r="N25" i="2"/>
  <c r="N18" i="2"/>
  <c r="Q3" i="2"/>
  <c r="Q74" i="2"/>
  <c r="P99" i="2"/>
  <c r="Q71" i="2"/>
  <c r="O99" i="2"/>
  <c r="N122" i="2"/>
  <c r="N73" i="2"/>
  <c r="O45" i="2"/>
  <c r="P91" i="2"/>
  <c r="O16" i="2"/>
  <c r="P26" i="2"/>
  <c r="O70" i="2"/>
  <c r="P112" i="2"/>
  <c r="P104" i="2"/>
  <c r="N79" i="2"/>
  <c r="Q88" i="2"/>
  <c r="Q109" i="2"/>
  <c r="P23" i="2"/>
  <c r="O95" i="2"/>
  <c r="P30" i="2"/>
  <c r="P98" i="2"/>
  <c r="O63" i="2"/>
  <c r="Q113" i="2"/>
  <c r="Q129" i="2"/>
  <c r="N66" i="2"/>
  <c r="N46" i="2"/>
  <c r="N74" i="2"/>
  <c r="O35" i="2"/>
  <c r="P2" i="2"/>
  <c r="N81" i="2"/>
  <c r="Q114" i="2"/>
  <c r="Q91" i="2"/>
  <c r="Q15" i="2"/>
  <c r="Q42" i="2"/>
  <c r="Q106" i="2"/>
  <c r="Q121" i="2"/>
  <c r="P111" i="2"/>
  <c r="O34" i="2"/>
  <c r="P123" i="2"/>
  <c r="Q73" i="2"/>
  <c r="O117" i="2"/>
  <c r="O82" i="2"/>
  <c r="Q9" i="2"/>
  <c r="N45" i="2"/>
  <c r="N6" i="2"/>
  <c r="P22" i="2"/>
  <c r="N108" i="2"/>
  <c r="Q45" i="2"/>
  <c r="N48" i="2"/>
  <c r="N96" i="2"/>
  <c r="O44" i="2"/>
  <c r="Q97" i="2"/>
  <c r="Q56" i="2"/>
  <c r="P120" i="2"/>
  <c r="O71" i="2"/>
  <c r="N107" i="2"/>
  <c r="P72" i="2"/>
  <c r="O96" i="2"/>
  <c r="Q95" i="2"/>
  <c r="P121" i="2"/>
  <c r="N21" i="2"/>
  <c r="Q101" i="2"/>
  <c r="N4" i="2"/>
  <c r="N20" i="2"/>
  <c r="O48" i="2"/>
  <c r="Q23" i="2"/>
  <c r="Q122" i="2"/>
  <c r="Q85" i="2"/>
  <c r="N13" i="2"/>
  <c r="Q61" i="2"/>
  <c r="P14" i="2"/>
  <c r="N75" i="2"/>
  <c r="P97" i="2"/>
  <c r="Q59" i="2"/>
  <c r="N129" i="2"/>
  <c r="O100" i="2"/>
  <c r="N53" i="2"/>
  <c r="N17" i="2"/>
  <c r="P63" i="2"/>
  <c r="N117" i="2"/>
  <c r="Q49" i="2"/>
  <c r="P62" i="2"/>
  <c r="P119" i="2"/>
  <c r="Q116" i="2"/>
  <c r="P37" i="2"/>
  <c r="N102" i="2"/>
  <c r="P41" i="2"/>
  <c r="P82" i="2"/>
  <c r="O27" i="2"/>
  <c r="N32" i="2"/>
  <c r="O85" i="2"/>
  <c r="O7" i="2"/>
  <c r="O108" i="2"/>
  <c r="Q44" i="2"/>
  <c r="Q12" i="2"/>
  <c r="P86" i="2"/>
  <c r="Q40" i="2"/>
  <c r="Q32" i="2"/>
  <c r="N95" i="2"/>
  <c r="P55" i="2"/>
  <c r="Q125" i="2"/>
  <c r="P32" i="2"/>
  <c r="O15" i="2"/>
  <c r="O81" i="2"/>
  <c r="P71" i="2"/>
  <c r="N124" i="2"/>
  <c r="O58" i="2"/>
  <c r="Q92" i="2"/>
  <c r="N55" i="2"/>
  <c r="P129" i="2"/>
  <c r="Q105" i="2"/>
  <c r="N127" i="2"/>
  <c r="N84" i="2"/>
  <c r="P100" i="2"/>
  <c r="P69" i="2"/>
  <c r="N87" i="2"/>
  <c r="P116" i="2"/>
  <c r="O97" i="2"/>
  <c r="O8" i="2"/>
  <c r="P60" i="2"/>
  <c r="N94" i="2"/>
  <c r="O29" i="2"/>
  <c r="N39" i="2"/>
  <c r="O78" i="2"/>
  <c r="N43" i="2"/>
  <c r="Q16" i="2"/>
  <c r="P93" i="2"/>
  <c r="Q8" i="2"/>
  <c r="Q77" i="2"/>
  <c r="N11" i="2"/>
  <c r="N88" i="2"/>
  <c r="N49" i="2"/>
  <c r="N119" i="2"/>
  <c r="P46" i="2"/>
  <c r="O49" i="2"/>
  <c r="P85" i="2"/>
  <c r="P94" i="2"/>
  <c r="N57" i="2"/>
  <c r="N109" i="2"/>
  <c r="P34" i="2"/>
  <c r="Q65" i="2"/>
  <c r="Q28" i="2"/>
  <c r="P42" i="2"/>
  <c r="Q75" i="2"/>
  <c r="N14" i="2"/>
  <c r="N123" i="2"/>
  <c r="N99" i="2"/>
  <c r="P35" i="2"/>
  <c r="O76" i="2"/>
  <c r="O98" i="2"/>
  <c r="P6" i="2"/>
  <c r="O42" i="2"/>
  <c r="Q128" i="2"/>
  <c r="P117" i="2"/>
  <c r="N67" i="2"/>
  <c r="Q118" i="2"/>
  <c r="O106" i="2"/>
  <c r="P27" i="2"/>
  <c r="P15" i="2"/>
  <c r="P59" i="2"/>
  <c r="Q2" i="2"/>
  <c r="N69" i="2"/>
  <c r="Q93" i="2"/>
  <c r="O37" i="2"/>
  <c r="O84" i="2"/>
  <c r="N115" i="2"/>
  <c r="N62" i="2"/>
  <c r="N28" i="2"/>
  <c r="P64" i="2"/>
  <c r="P44" i="2"/>
  <c r="O129" i="2"/>
  <c r="P33" i="2"/>
  <c r="P47" i="2"/>
  <c r="P49" i="2"/>
  <c r="P122" i="2"/>
  <c r="Q84" i="2"/>
  <c r="Q47" i="2"/>
  <c r="O30" i="2"/>
  <c r="O83" i="2"/>
  <c r="Q31" i="2"/>
  <c r="N27" i="2"/>
  <c r="P67" i="2"/>
  <c r="Q72" i="2"/>
  <c r="N5" i="2"/>
  <c r="O120" i="2"/>
  <c r="Q107" i="2"/>
  <c r="O109" i="2"/>
  <c r="O61" i="2"/>
  <c r="P103" i="2"/>
  <c r="Q79" i="2"/>
  <c r="O116" i="2"/>
  <c r="Q18" i="2"/>
  <c r="N92" i="2"/>
  <c r="O92" i="2"/>
  <c r="P53" i="2"/>
  <c r="N118" i="2"/>
  <c r="Q108" i="2"/>
  <c r="N42" i="2"/>
  <c r="Q46" i="2"/>
  <c r="Q120" i="2"/>
  <c r="Q67" i="2"/>
  <c r="P56" i="2"/>
  <c r="Q58" i="2"/>
  <c r="N54" i="2"/>
  <c r="Q36" i="2"/>
  <c r="N56" i="2"/>
  <c r="P125" i="2"/>
  <c r="Q38" i="2"/>
  <c r="Q126" i="2"/>
  <c r="Q81" i="2"/>
  <c r="O69" i="2"/>
  <c r="P114" i="2"/>
  <c r="Q34" i="2"/>
  <c r="P50" i="2"/>
  <c r="N76" i="2"/>
  <c r="O86" i="2"/>
  <c r="O72" i="2"/>
  <c r="N101" i="2"/>
  <c r="P118" i="2"/>
  <c r="P19" i="2"/>
  <c r="Q48" i="2"/>
  <c r="O25" i="2"/>
  <c r="O111" i="2"/>
  <c r="P4" i="2"/>
  <c r="N120" i="2"/>
  <c r="P16" i="2"/>
  <c r="P87" i="2"/>
  <c r="P101" i="2"/>
  <c r="Q115" i="2"/>
  <c r="Q76" i="2"/>
  <c r="N70" i="2"/>
  <c r="P113" i="2"/>
  <c r="N80" i="2"/>
  <c r="P96" i="2"/>
  <c r="N68" i="2"/>
  <c r="O66" i="2"/>
  <c r="Q51" i="2"/>
  <c r="N105" i="2"/>
  <c r="N61" i="2"/>
  <c r="Q80" i="2"/>
  <c r="N121" i="2"/>
  <c r="P8" i="2"/>
  <c r="Q68" i="2"/>
  <c r="O112" i="2"/>
  <c r="N71" i="2"/>
  <c r="P40" i="2"/>
  <c r="O3" i="2"/>
  <c r="P31" i="2"/>
  <c r="Q103" i="2"/>
  <c r="Q21" i="2"/>
  <c r="Q7" i="2"/>
  <c r="N112" i="2"/>
  <c r="P90" i="2"/>
  <c r="O79" i="2"/>
  <c r="P48" i="2"/>
  <c r="O124" i="2"/>
  <c r="O41" i="2"/>
  <c r="N104" i="2"/>
  <c r="N47" i="2"/>
  <c r="N82" i="2"/>
  <c r="N65" i="2"/>
  <c r="N72" i="2"/>
  <c r="P52" i="2"/>
  <c r="O101" i="2"/>
  <c r="Q30" i="2"/>
  <c r="P88" i="2"/>
  <c r="N85" i="2"/>
  <c r="N116" i="2"/>
  <c r="Q62" i="2"/>
  <c r="P76" i="2"/>
  <c r="Q5" i="2"/>
  <c r="N37" i="2"/>
  <c r="O104" i="2"/>
  <c r="P73" i="2"/>
  <c r="P18" i="2"/>
  <c r="P28" i="2"/>
  <c r="O59" i="2"/>
  <c r="O53" i="2"/>
  <c r="N128" i="2"/>
  <c r="P17" i="2"/>
  <c r="O13" i="2"/>
  <c r="O94" i="2"/>
  <c r="O67" i="2"/>
  <c r="Q110" i="2"/>
  <c r="Q104" i="2"/>
  <c r="Q102" i="2"/>
  <c r="Q43" i="2"/>
  <c r="N100" i="2"/>
  <c r="O20" i="2"/>
  <c r="N93" i="2"/>
  <c r="P79" i="2"/>
  <c r="N23" i="2"/>
  <c r="O125" i="2"/>
  <c r="O74" i="2"/>
  <c r="O19" i="2"/>
  <c r="N29" i="2"/>
  <c r="Q83" i="2"/>
  <c r="O80" i="2"/>
  <c r="O55" i="2"/>
  <c r="O10" i="2"/>
  <c r="O23" i="2"/>
  <c r="O38" i="2"/>
  <c r="N60" i="2"/>
  <c r="P39" i="2"/>
  <c r="O88" i="2"/>
  <c r="P84" i="2"/>
  <c r="N64" i="2"/>
  <c r="P77" i="2"/>
  <c r="O126" i="2"/>
  <c r="P80" i="2"/>
  <c r="N77" i="2"/>
  <c r="N78" i="2"/>
  <c r="P61" i="2"/>
  <c r="N15" i="2"/>
  <c r="Q99" i="2"/>
  <c r="Q20" i="2"/>
  <c r="P70" i="2"/>
  <c r="Q119" i="2"/>
  <c r="Q70" i="2"/>
  <c r="O114" i="2"/>
  <c r="N22" i="2"/>
  <c r="Q57" i="2"/>
  <c r="Q78" i="2"/>
  <c r="N114" i="2"/>
  <c r="P38" i="2"/>
  <c r="O90" i="2"/>
  <c r="O89" i="2"/>
  <c r="Q53" i="2"/>
  <c r="O91" i="2"/>
  <c r="N125" i="2"/>
  <c r="O51" i="2"/>
  <c r="O11" i="2"/>
  <c r="Q63" i="2"/>
  <c r="N97" i="2"/>
  <c r="P89" i="2"/>
  <c r="N34" i="2"/>
  <c r="P124" i="2"/>
  <c r="O103" i="2"/>
  <c r="P74" i="2"/>
  <c r="O128" i="2"/>
  <c r="P75" i="2"/>
  <c r="N126" i="2"/>
  <c r="O28" i="2"/>
  <c r="N103" i="2"/>
  <c r="N31" i="2"/>
  <c r="O12" i="2"/>
  <c r="N35" i="2"/>
  <c r="P11" i="2"/>
  <c r="O60" i="2"/>
  <c r="P65" i="2"/>
  <c r="N89" i="2"/>
  <c r="AV63" i="2" l="1"/>
  <c r="AV53" i="2"/>
  <c r="AV78" i="2"/>
  <c r="AV57" i="2"/>
  <c r="AV70" i="2"/>
  <c r="AV119" i="2"/>
  <c r="AV20" i="2"/>
  <c r="AV99" i="2"/>
  <c r="AV83" i="2"/>
  <c r="AV43" i="2"/>
  <c r="AV102" i="2"/>
  <c r="AV104" i="2"/>
  <c r="AV110" i="2"/>
  <c r="AV5" i="2"/>
  <c r="AV62" i="2"/>
  <c r="AV30" i="2"/>
  <c r="AV7" i="2"/>
  <c r="AV21" i="2"/>
  <c r="AV103" i="2"/>
  <c r="AV68" i="2"/>
  <c r="AV80" i="2"/>
  <c r="AV51" i="2"/>
  <c r="AV76" i="2"/>
  <c r="AV115" i="2"/>
  <c r="AV48" i="2"/>
  <c r="AV34" i="2"/>
  <c r="AV81" i="2"/>
  <c r="AV126" i="2"/>
  <c r="AV38" i="2"/>
  <c r="AV36" i="2"/>
  <c r="AV58" i="2"/>
  <c r="AV67" i="2"/>
  <c r="AV120" i="2"/>
  <c r="AV46" i="2"/>
  <c r="AV108" i="2"/>
  <c r="AV18" i="2"/>
  <c r="AV79" i="2"/>
  <c r="AV107" i="2"/>
  <c r="AV72" i="2"/>
  <c r="AV31" i="2"/>
  <c r="AV47" i="2"/>
  <c r="AV84" i="2"/>
  <c r="AV93" i="2"/>
  <c r="AV2" i="2"/>
  <c r="AV118" i="2"/>
  <c r="AV128" i="2"/>
  <c r="AV75" i="2"/>
  <c r="AV28" i="2"/>
  <c r="AV65" i="2"/>
  <c r="AV77" i="2"/>
  <c r="AV8" i="2"/>
  <c r="AV16" i="2"/>
  <c r="AV105" i="2"/>
  <c r="AV92" i="2"/>
  <c r="AV125" i="2"/>
  <c r="AV32" i="2"/>
  <c r="AV40" i="2"/>
  <c r="AV12" i="2"/>
  <c r="AV44" i="2"/>
  <c r="AV116" i="2"/>
  <c r="AV49" i="2"/>
  <c r="AV59" i="2"/>
  <c r="AV61" i="2"/>
  <c r="AV85" i="2"/>
  <c r="AV122" i="2"/>
  <c r="AV23" i="2"/>
  <c r="AV101" i="2"/>
  <c r="AV95" i="2"/>
  <c r="AV56" i="2"/>
  <c r="AV97" i="2"/>
  <c r="AV45" i="2"/>
  <c r="AV9" i="2"/>
  <c r="AV73" i="2"/>
  <c r="AV121" i="2"/>
  <c r="AV106" i="2"/>
  <c r="AV42" i="2"/>
  <c r="AV15" i="2"/>
  <c r="AV91" i="2"/>
  <c r="AV114" i="2"/>
  <c r="AV129" i="2"/>
  <c r="AV113" i="2"/>
  <c r="AV109" i="2"/>
  <c r="AV88" i="2"/>
  <c r="AV71" i="2"/>
  <c r="AV74" i="2"/>
  <c r="AV3" i="2"/>
  <c r="AV33" i="2"/>
  <c r="AV11" i="2"/>
  <c r="AV69" i="2"/>
  <c r="AV124" i="2"/>
  <c r="AV127" i="2"/>
  <c r="AV19" i="2"/>
  <c r="AV27" i="2"/>
  <c r="AV25" i="2"/>
  <c r="AV55" i="2"/>
  <c r="AV60" i="2"/>
  <c r="AV90" i="2"/>
  <c r="AV112" i="2"/>
  <c r="AV86" i="2"/>
  <c r="AV29" i="2"/>
  <c r="AV66" i="2"/>
  <c r="AV39" i="2"/>
  <c r="AV35" i="2"/>
  <c r="AV17" i="2"/>
  <c r="AV94" i="2"/>
  <c r="AV100" i="2"/>
  <c r="AV117" i="2"/>
  <c r="AV96" i="2"/>
  <c r="AV13" i="2"/>
  <c r="AV64" i="2"/>
  <c r="AV4" i="2"/>
  <c r="AV14" i="2"/>
  <c r="AV111" i="2"/>
  <c r="AV26" i="2"/>
  <c r="AV52" i="2"/>
  <c r="AV50" i="2"/>
  <c r="AV24" i="2"/>
  <c r="AV22" i="2"/>
  <c r="AV37" i="2"/>
  <c r="AV89" i="2"/>
  <c r="AV41" i="2"/>
  <c r="AV54" i="2"/>
  <c r="AV123" i="2"/>
  <c r="AV82" i="2"/>
  <c r="AV98" i="2"/>
  <c r="AV87" i="2"/>
  <c r="AV6" i="2"/>
  <c r="AV10" i="2"/>
  <c r="R63" i="2"/>
  <c r="R70" i="2"/>
  <c r="R83" i="2"/>
  <c r="R110" i="2"/>
  <c r="R7" i="2"/>
  <c r="R80" i="2"/>
  <c r="R48" i="2"/>
  <c r="R38" i="2"/>
  <c r="R120" i="2"/>
  <c r="R79" i="2"/>
  <c r="R47" i="2"/>
  <c r="R118" i="2"/>
  <c r="R65" i="2"/>
  <c r="R105" i="2"/>
  <c r="R40" i="2"/>
  <c r="R49" i="2"/>
  <c r="R122" i="2"/>
  <c r="R56" i="2"/>
  <c r="R73" i="2"/>
  <c r="R15" i="2"/>
  <c r="R113" i="2"/>
  <c r="R74" i="2"/>
  <c r="R69" i="2"/>
  <c r="R27" i="2"/>
  <c r="R90" i="2"/>
  <c r="R66" i="2"/>
  <c r="R94" i="2"/>
  <c r="R13" i="2"/>
  <c r="R111" i="2"/>
  <c r="R24" i="2"/>
  <c r="R41" i="2"/>
  <c r="R54" i="2"/>
  <c r="R53" i="2"/>
  <c r="R119" i="2"/>
  <c r="R43" i="2"/>
  <c r="R5" i="2"/>
  <c r="R21" i="2"/>
  <c r="R51" i="2"/>
  <c r="R34" i="2"/>
  <c r="R36" i="2"/>
  <c r="R46" i="2"/>
  <c r="R107" i="2"/>
  <c r="R84" i="2"/>
  <c r="R128" i="2"/>
  <c r="R77" i="2"/>
  <c r="R92" i="2"/>
  <c r="R12" i="2"/>
  <c r="R59" i="2"/>
  <c r="R23" i="2"/>
  <c r="R97" i="2"/>
  <c r="R121" i="2"/>
  <c r="R91" i="2"/>
  <c r="R109" i="2"/>
  <c r="R3" i="2"/>
  <c r="R124" i="2"/>
  <c r="R25" i="2"/>
  <c r="R112" i="2"/>
  <c r="R39" i="2"/>
  <c r="R100" i="2"/>
  <c r="R64" i="2"/>
  <c r="R26" i="2"/>
  <c r="R22" i="2"/>
  <c r="R87" i="2"/>
  <c r="R78" i="2"/>
  <c r="R20" i="2"/>
  <c r="R102" i="2"/>
  <c r="R62" i="2"/>
  <c r="R103" i="2"/>
  <c r="R76" i="2"/>
  <c r="R81" i="2"/>
  <c r="R58" i="2"/>
  <c r="R108" i="2"/>
  <c r="R72" i="2"/>
  <c r="R93" i="2"/>
  <c r="R75" i="2"/>
  <c r="R8" i="2"/>
  <c r="R125" i="2"/>
  <c r="R44" i="2"/>
  <c r="R61" i="2"/>
  <c r="R101" i="2"/>
  <c r="R45" i="2"/>
  <c r="R106" i="2"/>
  <c r="R114" i="2"/>
  <c r="R88" i="2"/>
  <c r="R33" i="2"/>
  <c r="R127" i="2"/>
  <c r="R55" i="2"/>
  <c r="R86" i="2"/>
  <c r="R35" i="2"/>
  <c r="R117" i="2"/>
  <c r="R4" i="2"/>
  <c r="R52" i="2"/>
  <c r="R37" i="2"/>
  <c r="R123" i="2"/>
  <c r="R6" i="2"/>
  <c r="R57" i="2"/>
  <c r="R99" i="2"/>
  <c r="R104" i="2"/>
  <c r="R30" i="2"/>
  <c r="R68" i="2"/>
  <c r="R115" i="2"/>
  <c r="R126" i="2"/>
  <c r="R67" i="2"/>
  <c r="R18" i="2"/>
  <c r="R31" i="2"/>
  <c r="R2" i="2"/>
  <c r="R28" i="2"/>
  <c r="R16" i="2"/>
  <c r="R32" i="2"/>
  <c r="R116" i="2"/>
  <c r="R85" i="2"/>
  <c r="R95" i="2"/>
  <c r="R9" i="2"/>
  <c r="R42" i="2"/>
  <c r="R129" i="2"/>
  <c r="R71" i="2"/>
  <c r="R11" i="2"/>
  <c r="R19" i="2"/>
  <c r="R60" i="2"/>
  <c r="R29" i="2"/>
  <c r="R17" i="2"/>
  <c r="R96" i="2"/>
  <c r="R14" i="2"/>
  <c r="R50" i="2"/>
  <c r="R89" i="2"/>
  <c r="R82" i="2"/>
  <c r="R10" i="2"/>
  <c r="R98" i="2"/>
</calcChain>
</file>

<file path=xl/sharedStrings.xml><?xml version="1.0" encoding="utf-8"?>
<sst xmlns="http://schemas.openxmlformats.org/spreadsheetml/2006/main" count="126" uniqueCount="122">
  <si>
    <t>row</t>
  </si>
  <si>
    <t>col</t>
  </si>
  <si>
    <t>grn fsp idx</t>
  </si>
  <si>
    <t>red fsp idx</t>
  </si>
  <si>
    <t>t bias</t>
  </si>
  <si>
    <t>t gain</t>
  </si>
  <si>
    <t>ZMW num</t>
  </si>
  <si>
    <t>g bias</t>
  </si>
  <si>
    <t>g gain</t>
  </si>
  <si>
    <t>a bias</t>
  </si>
  <si>
    <t>a gain</t>
  </si>
  <si>
    <t>c bias</t>
  </si>
  <si>
    <t>c gain</t>
  </si>
  <si>
    <t>row hex</t>
  </si>
  <si>
    <t>col hex</t>
  </si>
  <si>
    <t>grn hex</t>
  </si>
  <si>
    <t>red hex</t>
  </si>
  <si>
    <t>t bias hex</t>
  </si>
  <si>
    <t>t gain hex</t>
  </si>
  <si>
    <t>g bias hex</t>
  </si>
  <si>
    <t>g gain hex</t>
  </si>
  <si>
    <t>a bias hex</t>
  </si>
  <si>
    <t>a gain hex</t>
  </si>
  <si>
    <t>c bias hex</t>
  </si>
  <si>
    <t>c gain hex</t>
  </si>
  <si>
    <t>DRAM data</t>
  </si>
  <si>
    <t>Small FP</t>
  </si>
  <si>
    <t>t kinetic trace</t>
  </si>
  <si>
    <t>g kinetic trace</t>
  </si>
  <si>
    <t>a kinetic trace</t>
  </si>
  <si>
    <t>c kinetic trace</t>
  </si>
  <si>
    <t>t ptrace hex</t>
  </si>
  <si>
    <t>t ptrace</t>
  </si>
  <si>
    <t>g ptrace</t>
  </si>
  <si>
    <t>g ptrace hex</t>
  </si>
  <si>
    <t>a ptrace</t>
  </si>
  <si>
    <t>a ptrace hex</t>
  </si>
  <si>
    <t>c ptrace</t>
  </si>
  <si>
    <t>c ptrace hex</t>
  </si>
  <si>
    <t>t ctrace</t>
  </si>
  <si>
    <t>g ctrace</t>
  </si>
  <si>
    <t>a ctrace</t>
  </si>
  <si>
    <t>c ctrace</t>
  </si>
  <si>
    <t>c ctrace hex</t>
  </si>
  <si>
    <t>a ctrace hex</t>
  </si>
  <si>
    <t>g ctrace hex</t>
  </si>
  <si>
    <t>t ctrace hex</t>
  </si>
  <si>
    <t>t ISIM hex</t>
  </si>
  <si>
    <t>ISM</t>
  </si>
  <si>
    <t>ISMI hex</t>
  </si>
  <si>
    <t>len</t>
  </si>
  <si>
    <t>ISMI</t>
  </si>
  <si>
    <t>Intensity</t>
  </si>
  <si>
    <t>Hex</t>
  </si>
  <si>
    <t>t1[0]</t>
  </si>
  <si>
    <t>duration[0]</t>
  </si>
  <si>
    <t>int[0]</t>
  </si>
  <si>
    <t>dye[0]</t>
  </si>
  <si>
    <t>t1[1]</t>
  </si>
  <si>
    <t>duration[1]</t>
  </si>
  <si>
    <t>int[1]</t>
  </si>
  <si>
    <t>dye[1]</t>
  </si>
  <si>
    <t>t1[2]</t>
  </si>
  <si>
    <t>duration[2]</t>
  </si>
  <si>
    <t>int[2]</t>
  </si>
  <si>
    <t>dye[2]</t>
  </si>
  <si>
    <t>intensity[0]</t>
  </si>
  <si>
    <t>intensity[1]</t>
  </si>
  <si>
    <t>intensity[2]</t>
  </si>
  <si>
    <t>gTime</t>
  </si>
  <si>
    <t>Exposure</t>
  </si>
  <si>
    <t>gTime-exposure</t>
  </si>
  <si>
    <t>t1[0] hex</t>
  </si>
  <si>
    <t>duration[0] hex</t>
  </si>
  <si>
    <t>t1[1] hex</t>
  </si>
  <si>
    <t>duration[1] hex</t>
  </si>
  <si>
    <t>t1[2] hex</t>
  </si>
  <si>
    <t>duration[2] hex</t>
  </si>
  <si>
    <t>ZMW num hex</t>
  </si>
  <si>
    <t>dt[0]</t>
  </si>
  <si>
    <t>dt[1]</t>
  </si>
  <si>
    <t>dt[2]</t>
  </si>
  <si>
    <t>dt[0] hex</t>
  </si>
  <si>
    <t>dt[1] hex</t>
  </si>
  <si>
    <t>dt[2] hex</t>
  </si>
  <si>
    <t>tf[0]</t>
  </si>
  <si>
    <t>tf[1]</t>
  </si>
  <si>
    <t>tf[2]</t>
  </si>
  <si>
    <t>time1[0]</t>
  </si>
  <si>
    <t>time2[0]</t>
  </si>
  <si>
    <t>strength[0]</t>
  </si>
  <si>
    <t>time1[1]</t>
  </si>
  <si>
    <t>time2[1]</t>
  </si>
  <si>
    <t>strength[1]</t>
  </si>
  <si>
    <t>time1[2]</t>
  </si>
  <si>
    <t>time2[2]</t>
  </si>
  <si>
    <t>strength[2]</t>
  </si>
  <si>
    <t>intensity[0] hex</t>
  </si>
  <si>
    <t>intensity[1] hex</t>
  </si>
  <si>
    <t>intensity[2] hex</t>
  </si>
  <si>
    <t>c ktrace hex</t>
  </si>
  <si>
    <t>a ktrace[0]</t>
  </si>
  <si>
    <t>a ktrace[1]</t>
  </si>
  <si>
    <t>c ktrace[0]</t>
  </si>
  <si>
    <t>c ktrace[1]</t>
  </si>
  <si>
    <t>c ktrace[2]</t>
  </si>
  <si>
    <t>a ktrace[2]</t>
  </si>
  <si>
    <t>g ktrace[0]</t>
  </si>
  <si>
    <t>g ktrace[1]</t>
  </si>
  <si>
    <t>g ktrace[2]</t>
  </si>
  <si>
    <t>t ktrace[0]</t>
  </si>
  <si>
    <t>t ktrace[1]</t>
  </si>
  <si>
    <t>t ktrace[2]</t>
  </si>
  <si>
    <t>a ktrace hex</t>
  </si>
  <si>
    <t>g ktrace hex</t>
  </si>
  <si>
    <t>t ktrace hex</t>
  </si>
  <si>
    <t>c ktrace</t>
  </si>
  <si>
    <t>a ktrace</t>
  </si>
  <si>
    <t>g ktrace</t>
  </si>
  <si>
    <t>t ktrace</t>
  </si>
  <si>
    <t>grn and red ctrace hex</t>
  </si>
  <si>
    <t>grn and red ctrace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</si>
</sst>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0" fontId="0" fillId="0" borderId="1" xfId="0" applyBorder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0" xfId="0" applyBorder="1"/>
    <xf numFmtId="0" fontId="0" fillId="2" borderId="0" xfId="0" applyFill="1"/>
  </cellXfs>
  <cellStyles count="1">
    <cellStyle name="Normal" xfId="0" builtinId="0"/>
  </cellStyles>
  <dxfs count="1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A1:BC129" totalsRowShown="0" headerRowDxfId="110">
  <autoFilter ref="A1:BC129"/>
  <tableColumns count="55">
    <tableColumn id="31" name="c bias hex" dataDxfId="109">
      <calculatedColumnFormula xml:space="preserve"> LEFT(Sng2String(Table1[[#This Row],[c bias]]), 6)</calculatedColumnFormula>
    </tableColumn>
    <tableColumn id="28" name="a bias hex" dataDxfId="108">
      <calculatedColumnFormula xml:space="preserve"> LEFT(Sng2String(Table1[[#This Row],[a bias]]), 6)</calculatedColumnFormula>
    </tableColumn>
    <tableColumn id="25" name="g bias hex" dataDxfId="107">
      <calculatedColumnFormula xml:space="preserve"> LEFT(Sng2String(Table1[[#This Row],[g bias]]), 6)</calculatedColumnFormula>
    </tableColumn>
    <tableColumn id="22" name="t bias hex" dataDxfId="106">
      <calculatedColumnFormula xml:space="preserve"> LEFT(Sng2String(Table1[[#This Row],[t bias]]), 6)</calculatedColumnFormula>
    </tableColumn>
    <tableColumn id="32" name="c gain hex" dataDxfId="105">
      <calculatedColumnFormula xml:space="preserve"> LEFT(Sng2String(Table1[[#This Row],[c gain]]), 6)</calculatedColumnFormula>
    </tableColumn>
    <tableColumn id="29" name="a gain hex" dataDxfId="104">
      <calculatedColumnFormula xml:space="preserve"> LEFT(Sng2String(Table1[[#This Row],[a gain]]), 6)</calculatedColumnFormula>
    </tableColumn>
    <tableColumn id="26" name="g gain hex" dataDxfId="103">
      <calculatedColumnFormula xml:space="preserve"> LEFT(Sng2String(Table1[[#This Row],[g gain]]), 6)</calculatedColumnFormula>
    </tableColumn>
    <tableColumn id="23" name="t gain hex" dataDxfId="102">
      <calculatedColumnFormula xml:space="preserve"> LEFT(Sng2String(Table1[[#This Row],[t gain]]), 6)</calculatedColumnFormula>
    </tableColumn>
    <tableColumn id="47" name="c ptrace hex" dataDxfId="101">
      <calculatedColumnFormula xml:space="preserve"> Sng2String(Table1[[#This Row],[c ptrace]])</calculatedColumnFormula>
    </tableColumn>
    <tableColumn id="45" name="a ptrace hex" dataDxfId="100">
      <calculatedColumnFormula xml:space="preserve"> Sng2String(Table1[[#This Row],[a ptrace]])</calculatedColumnFormula>
    </tableColumn>
    <tableColumn id="43" name="g ptrace hex" dataDxfId="99">
      <calculatedColumnFormula xml:space="preserve"> Sng2String(Table1[[#This Row],[g ptrace]])</calculatedColumnFormula>
    </tableColumn>
    <tableColumn id="42" name="t ptrace hex" dataDxfId="98">
      <calculatedColumnFormula>Sng2String(Table1[[#This Row],[t ptrace]])</calculatedColumnFormula>
    </tableColumn>
    <tableColumn id="65" name="t ISIM hex" dataDxfId="97">
      <calculatedColumnFormula xml:space="preserve"> INDEX(SmallFP!$A$1:$A$256, Table1[[#This Row],[ISMI]]+1)</calculatedColumnFormula>
    </tableColumn>
    <tableColumn id="59" name="c ctrace hex" dataDxfId="96">
      <calculatedColumnFormula>Single2String(Table1[[#This Row],[c ctrace]])</calculatedColumnFormula>
    </tableColumn>
    <tableColumn id="60" name="a ctrace hex" dataDxfId="95">
      <calculatedColumnFormula>Single2String(Table1[[#This Row],[a ctrace]])</calculatedColumnFormula>
    </tableColumn>
    <tableColumn id="61" name="g ctrace hex" dataDxfId="94">
      <calculatedColumnFormula xml:space="preserve"> Single2String(Table1[[#This Row],[g ctrace]])</calculatedColumnFormula>
    </tableColumn>
    <tableColumn id="62" name="t ctrace hex" dataDxfId="93">
      <calculatedColumnFormula xml:space="preserve"> Single2String(Table1[[#This Row],[t ctrace]])</calculatedColumnFormula>
    </tableColumn>
    <tableColumn id="54" name="grn and red ctrace hex" dataDxfId="92">
      <calculatedColumnFormula>Single2String(Table1[[#This Row],[grn and red ctrace]])</calculatedColumnFormula>
    </tableColumn>
    <tableColumn id="1" name="ZMW num"/>
    <tableColumn id="14" name="ZMW num hex" dataDxfId="0">
      <calculatedColumnFormula>DEC2HEX(Table1[[#This Row],[ZMW num]])</calculatedColumnFormula>
    </tableColumn>
    <tableColumn id="36" name="Small FP" dataDxfId="91">
      <calculatedColumnFormula>Table1[[#This Row],[ZMW num]]+1</calculatedColumnFormula>
    </tableColumn>
    <tableColumn id="2" name="row"/>
    <tableColumn id="3" name="col"/>
    <tableColumn id="4" name="grn fsp idx"/>
    <tableColumn id="5" name="red fsp idx"/>
    <tableColumn id="8" name="ISMI" dataDxfId="90">
      <calculatedColumnFormula>MOD(Table1[[#This Row],[ZMW num]], 2^8)</calculatedColumnFormula>
    </tableColumn>
    <tableColumn id="49" name="ISM" dataDxfId="89">
      <calculatedColumnFormula xml:space="preserve"> String2Single(Table1[[#This Row],[t ISIM hex]] &amp; "00")</calculatedColumnFormula>
    </tableColumn>
    <tableColumn id="37" name="t kinetic trace">
      <calculatedColumnFormula>'Pulse data'!O5</calculatedColumnFormula>
    </tableColumn>
    <tableColumn id="6" name="t bias" dataDxfId="88">
      <calculatedColumnFormula>Table1[[#This Row],[ZMW num]]*0.01</calculatedColumnFormula>
    </tableColumn>
    <tableColumn id="7" name="t gain" dataDxfId="87">
      <calculatedColumnFormula>1+Table1[[#This Row],[t bias]]</calculatedColumnFormula>
    </tableColumn>
    <tableColumn id="41" name="t ptrace" dataDxfId="86">
      <calculatedColumnFormula>Table1[[#This Row],[t kinetic trace]]* String2Single(CONCATENATE(Table1[[#This Row],[t gain hex]], "00")) + String2Single(CONCATENATE(Table1[[#This Row],[t bias hex]], "00"))</calculatedColumnFormula>
    </tableColumn>
    <tableColumn id="55" name="t ctrace" dataDxfId="85">
      <calculatedColumnFormula xml:space="preserve"> Table1[[#This Row],[t ptrace]]*Table1[[#This Row],[ISM]]</calculatedColumnFormula>
    </tableColumn>
    <tableColumn id="38" name="g kinetic trace">
      <calculatedColumnFormula>'Pulse data'!N5</calculatedColumnFormula>
    </tableColumn>
    <tableColumn id="9" name="g bias" dataDxfId="84">
      <calculatedColumnFormula>Table1[[#This Row],[t bias]]+0.5</calculatedColumnFormula>
    </tableColumn>
    <tableColumn id="10" name="g gain" dataDxfId="83">
      <calculatedColumnFormula>Table1[[#This Row],[t gain]]/2</calculatedColumnFormula>
    </tableColumn>
    <tableColumn id="44" name="g ptrace" dataDxfId="82">
      <calculatedColumnFormula>Table1[[#This Row],[g kinetic trace]]* String2Single(CONCATENATE(Table1[[#This Row],[g gain hex]], "00")) + String2Single(CONCATENATE(Table1[[#This Row],[g bias hex]], "00"))</calculatedColumnFormula>
    </tableColumn>
    <tableColumn id="56" name="g ctrace" dataDxfId="81">
      <calculatedColumnFormula xml:space="preserve"> Table1[[#This Row],[g ptrace]]*Table1[[#This Row],[ISM]]</calculatedColumnFormula>
    </tableColumn>
    <tableColumn id="39" name="a kinetic trace" dataDxfId="80">
      <calculatedColumnFormula>'Pulse data'!M5</calculatedColumnFormula>
    </tableColumn>
    <tableColumn id="12" name="a bias" dataDxfId="79">
      <calculatedColumnFormula>Table1[[#This Row],[t bias]]+1</calculatedColumnFormula>
    </tableColumn>
    <tableColumn id="13" name="a gain" dataDxfId="78">
      <calculatedColumnFormula>Table1[[#This Row],[t gain]]-0.5</calculatedColumnFormula>
    </tableColumn>
    <tableColumn id="46" name="a ptrace" dataDxfId="77">
      <calculatedColumnFormula>Table1[[#This Row],[a kinetic trace]]* String2Single(CONCATENATE(Table1[[#This Row],[a gain hex]], "00")) + String2Single(CONCATENATE(Table1[[#This Row],[a bias hex]], "00"))</calculatedColumnFormula>
    </tableColumn>
    <tableColumn id="57" name="a ctrace" dataDxfId="76">
      <calculatedColumnFormula xml:space="preserve"> Table1[[#This Row],[a ptrace]]*Table1[[#This Row],[ISM]]</calculatedColumnFormula>
    </tableColumn>
    <tableColumn id="40" name="c kinetic trace">
      <calculatedColumnFormula>'Pulse data'!L5</calculatedColumnFormula>
    </tableColumn>
    <tableColumn id="15" name="c bias" dataDxfId="75">
      <calculatedColumnFormula>Table1[[#This Row],[t bias]]</calculatedColumnFormula>
    </tableColumn>
    <tableColumn id="16" name="c gain" dataDxfId="74">
      <calculatedColumnFormula>Table1[[#This Row],[t gain]]</calculatedColumnFormula>
    </tableColumn>
    <tableColumn id="48" name="c ptrace" dataDxfId="73">
      <calculatedColumnFormula>Table1[[#This Row],[c kinetic trace]]* String2Single(CONCATENATE(Table1[[#This Row],[c gain hex]], "00")) + String2Single(CONCATENATE(Table1[[#This Row],[c bias hex]], "00"))</calculatedColumnFormula>
    </tableColumn>
    <tableColumn id="58" name="c ctrace" dataDxfId="72">
      <calculatedColumnFormula xml:space="preserve"> Table1[[#This Row],[c ptrace]]*Table1[[#This Row],[ISM]]</calculatedColumnFormula>
    </tableColumn>
    <tableColumn id="53" name="grn and red ctrace" dataDxfId="71">
      <calculatedColumnFormula xml:space="preserve"> Table1[[#This Row],[t ctrace]] + Table1[[#This Row],[g ctrace]] + Table1[[#This Row],[a ctrace]] + Table1[[#This Row],[c ctrace]]</calculatedColumnFormula>
    </tableColumn>
    <tableColumn id="18" name="row hex" dataDxfId="70">
      <calculatedColumnFormula>DEC2HEX(Table1[[#This Row],[row]], 3)</calculatedColumnFormula>
    </tableColumn>
    <tableColumn id="19" name="col hex" dataDxfId="69">
      <calculatedColumnFormula>DEC2HEX(Table1[[#This Row],[col]], 3)</calculatedColumnFormula>
    </tableColumn>
    <tableColumn id="20" name="grn hex" dataDxfId="68">
      <calculatedColumnFormula>DEC2HEX(Table1[[#This Row],[grn fsp idx]], 2)</calculatedColumnFormula>
    </tableColumn>
    <tableColumn id="21" name="red hex" dataDxfId="67">
      <calculatedColumnFormula>DEC2HEX(Table1[[#This Row],[red fsp idx]], 2)</calculatedColumnFormula>
    </tableColumn>
    <tableColumn id="24" name="ISMI hex" dataDxfId="66">
      <calculatedColumnFormula>DEC2HEX(Table1[[#This Row],[ISMI]], 2)</calculatedColumnFormula>
    </tableColumn>
    <tableColumn id="11" name="len" dataDxfId="65">
      <calculatedColumnFormula>LEN(Table1[[#This Row],[DRAM data]])</calculatedColumnFormula>
    </tableColumn>
    <tableColumn id="34" name="DRAM data" dataDxfId="64">
      <calculatedColumnFormula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4:BN132" totalsRowShown="0" headerRowDxfId="63">
  <autoFilter ref="A4:BN132"/>
  <tableColumns count="66">
    <tableColumn id="47" name="duration[0] hex" dataDxfId="62">
      <calculatedColumnFormula>Single2String(Table13[[#This Row],[duration'[0']]])</calculatedColumnFormula>
    </tableColumn>
    <tableColumn id="45" name="duration[1] hex" dataDxfId="61">
      <calculatedColumnFormula>Single2String(Table13[[#This Row],[duration'[1']]])</calculatedColumnFormula>
    </tableColumn>
    <tableColumn id="43" name="duration[2] hex" dataDxfId="60">
      <calculatedColumnFormula>Single2String(Table13[[#This Row],[duration'[2']]])</calculatedColumnFormula>
    </tableColumn>
    <tableColumn id="42" name="intensity[0] hex" dataDxfId="59">
      <calculatedColumnFormula>INDEX(Table3[Hex], Table13[[#This Row],[int'[0']]]+1)</calculatedColumnFormula>
    </tableColumn>
    <tableColumn id="65" name="intensity[1] hex" dataDxfId="58">
      <calculatedColumnFormula>INDEX(Table3[Hex], Table13[[#This Row],[int'[1']]]+1)</calculatedColumnFormula>
    </tableColumn>
    <tableColumn id="59" name="intensity[2] hex" dataDxfId="57">
      <calculatedColumnFormula>INDEX(Table3[Hex], Table13[[#This Row],[int'[1']]]+1)</calculatedColumnFormula>
    </tableColumn>
    <tableColumn id="60" name="c ktrace hex" dataDxfId="56">
      <calculatedColumnFormula>Single2String(Table13[[#This Row],[c ktrace]])</calculatedColumnFormula>
    </tableColumn>
    <tableColumn id="61" name="a ktrace hex" dataDxfId="55">
      <calculatedColumnFormula>Single2String(Table13[[#This Row],[a ktrace]])</calculatedColumnFormula>
    </tableColumn>
    <tableColumn id="3" name="g ktrace hex" dataDxfId="54">
      <calculatedColumnFormula>Single2String(Table13[[#This Row],[g ktrace]])</calculatedColumnFormula>
    </tableColumn>
    <tableColumn id="62" name="t ktrace hex" dataDxfId="53">
      <calculatedColumnFormula>Single2String(Table13[[#This Row],[t ktrace]])</calculatedColumnFormula>
    </tableColumn>
    <tableColumn id="1" name="ZMW num" dataDxfId="52"/>
    <tableColumn id="57" name="c ktrace" dataDxfId="51">
      <calculatedColumnFormula>SUM(Table13[[#This Row],[c ktrace'[2']]:[c ktrace'[0']]])</calculatedColumnFormula>
    </tableColumn>
    <tableColumn id="63" name="a ktrace" dataDxfId="50">
      <calculatedColumnFormula>SUM(Table13[[#This Row],[a ktrace'[2']]:[a ktrace'[0']]])</calculatedColumnFormula>
    </tableColumn>
    <tableColumn id="64" name="g ktrace" dataDxfId="49">
      <calculatedColumnFormula>SUM(Table13[[#This Row],[g ktrace'[2']]:[g ktrace'[0']]])</calculatedColumnFormula>
    </tableColumn>
    <tableColumn id="66" name="t ktrace" dataDxfId="48">
      <calculatedColumnFormula>SUM(Table13[[#This Row],[t ktrace'[2']]:[t ktrace'[0']]])</calculatedColumnFormula>
    </tableColumn>
    <tableColumn id="4" name="c ktrace[2]" dataDxfId="47">
      <calculatedColumnFormula xml:space="preserve"> IF(Table13[[#This Row],[dye'[2']]]=3, Table13[[#This Row],[strength'[2']]], 0)</calculatedColumnFormula>
    </tableColumn>
    <tableColumn id="41" name="c ktrace[1]" dataDxfId="46">
      <calculatedColumnFormula xml:space="preserve"> IF(Table13[[#This Row],[dye'[1']]]=3, Table13[[#This Row],[strength'[1']]], 0)</calculatedColumnFormula>
    </tableColumn>
    <tableColumn id="44" name="c ktrace[0]" dataDxfId="45">
      <calculatedColumnFormula xml:space="preserve"> IF(Table13[[#This Row],[dye'[0']]]=3, Table13[[#This Row],[strength'[0']]], 0)</calculatedColumnFormula>
    </tableColumn>
    <tableColumn id="49" name="a ktrace[2]" dataDxfId="44">
      <calculatedColumnFormula xml:space="preserve"> IF(Table13[[#This Row],[dye'[2']]]=2, Table13[[#This Row],[strength'[2']]], 0)</calculatedColumnFormula>
    </tableColumn>
    <tableColumn id="48" name="a ktrace[1]" dataDxfId="43">
      <calculatedColumnFormula xml:space="preserve"> IF(Table13[[#This Row],[dye'[1']]]=2, Table13[[#This Row],[strength'[1']]], 0)</calculatedColumnFormula>
    </tableColumn>
    <tableColumn id="46" name="a ktrace[0]" dataDxfId="42">
      <calculatedColumnFormula xml:space="preserve"> IF(Table13[[#This Row],[dye'[0']]]=2, Table13[[#This Row],[strength'[0']]], 0)</calculatedColumnFormula>
    </tableColumn>
    <tableColumn id="52" name="g ktrace[2]" dataDxfId="41">
      <calculatedColumnFormula xml:space="preserve"> IF(Table13[[#This Row],[dye'[2']]]=1, Table13[[#This Row],[strength'[2']]], 0)</calculatedColumnFormula>
    </tableColumn>
    <tableColumn id="51" name="g ktrace[1]" dataDxfId="40">
      <calculatedColumnFormula xml:space="preserve"> IF(Table13[[#This Row],[dye'[1']]]=1, Table13[[#This Row],[strength'[1']]], 0)</calculatedColumnFormula>
    </tableColumn>
    <tableColumn id="50" name="g ktrace[0]" dataDxfId="39">
      <calculatedColumnFormula xml:space="preserve"> IF(Table13[[#This Row],[dye'[0']]]=1, Table13[[#This Row],[strength'[0']]], 0)</calculatedColumnFormula>
    </tableColumn>
    <tableColumn id="56" name="t ktrace[2]" dataDxfId="38">
      <calculatedColumnFormula xml:space="preserve"> IF(Table13[[#This Row],[dye'[2']]]=0, Table13[[#This Row],[strength'[2']]], 0)</calculatedColumnFormula>
    </tableColumn>
    <tableColumn id="55" name="t ktrace[1]" dataDxfId="37">
      <calculatedColumnFormula xml:space="preserve"> IF(Table13[[#This Row],[dye'[1']]]=0, Table13[[#This Row],[strength'[1']]], 0)</calculatedColumnFormula>
    </tableColumn>
    <tableColumn id="54" name="t ktrace[0]" dataDxfId="36">
      <calculatedColumnFormula xml:space="preserve"> IF(Table13[[#This Row],[dye'[0']]]=0, Table13[[#This Row],[strength'[0']]], 0)</calculatedColumnFormula>
    </tableColumn>
    <tableColumn id="36" name="t1[0]" dataDxfId="35">
      <calculatedColumnFormula>Table13[[#This Row],[ZMW num]]+1</calculatedColumnFormula>
    </tableColumn>
    <tableColumn id="27" name="time1[0]" dataDxfId="34">
      <calculatedColumnFormula>MAX($D$2, Table13[[#This Row],[t1'[0']]])</calculatedColumnFormula>
    </tableColumn>
    <tableColumn id="8" name="dt[0]" dataDxfId="33">
      <calculatedColumnFormula>MOD(Table13[[#This Row],[ZMW num]], 2^8)</calculatedColumnFormula>
    </tableColumn>
    <tableColumn id="16" name="tf[0]" dataDxfId="32">
      <calculatedColumnFormula>Table13[[#This Row],[t1'[0']]]+Table13[[#This Row],[dt'[0']]]</calculatedColumnFormula>
    </tableColumn>
    <tableColumn id="26" name="time2[0]" dataDxfId="31">
      <calculatedColumnFormula>MIN($C$2, Table13[[#This Row],[tf'[0']]])</calculatedColumnFormula>
    </tableColumn>
    <tableColumn id="28" name="duration[0]" dataDxfId="30">
      <calculatedColumnFormula>Table13[[#This Row],[time2'[0']]]-Table13[[#This Row],[time1'[0']]]</calculatedColumnFormula>
    </tableColumn>
    <tableColumn id="37" name="int[0]"/>
    <tableColumn id="13" name="intensity[0]" dataDxfId="29">
      <calculatedColumnFormula xml:space="preserve"> INDEX(Table3[[#All],[Intensity]], Table13[[#This Row],[int'[0']]]+2)</calculatedColumnFormula>
    </tableColumn>
    <tableColumn id="29" name="strength[0]" dataDxfId="28">
      <calculatedColumnFormula>Table13[[#This Row],[duration'[0']]]*Table13[[#This Row],[intensity'[0']]]</calculatedColumnFormula>
    </tableColumn>
    <tableColumn id="6" name="dye[0]" dataDxfId="27">
      <calculatedColumnFormula>MOD(Table13[[#This Row],[ZMW num]], 4)</calculatedColumnFormula>
    </tableColumn>
    <tableColumn id="58" name="t1[1]" dataDxfId="26">
      <calculatedColumnFormula>#REF! *#REF!</calculatedColumnFormula>
    </tableColumn>
    <tableColumn id="30" name="time1[1]" dataDxfId="25">
      <calculatedColumnFormula>MAX($D$2, Table13[[#This Row],[t1'[1']]])</calculatedColumnFormula>
    </tableColumn>
    <tableColumn id="53" name="dt[1]" dataDxfId="24">
      <calculatedColumnFormula>#REF! +#REF! +#REF! + Table13[[#This Row],[t1'[1']]]</calculatedColumnFormula>
    </tableColumn>
    <tableColumn id="17" name="tf[1]" dataDxfId="23">
      <calculatedColumnFormula>Table13[[#This Row],[t1'[1']]]+Table13[[#This Row],[dt'[1']]]</calculatedColumnFormula>
    </tableColumn>
    <tableColumn id="31" name="time2[1]" dataDxfId="22">
      <calculatedColumnFormula>MIN($C$2, Table13[[#This Row],[tf'[1']]])</calculatedColumnFormula>
    </tableColumn>
    <tableColumn id="32" name="duration[1]" dataDxfId="21">
      <calculatedColumnFormula>Table13[[#This Row],[time2'[1']]]-Table13[[#This Row],[time1'[1']]]</calculatedColumnFormula>
    </tableColumn>
    <tableColumn id="2" name="int[1]"/>
    <tableColumn id="14" name="intensity[1]" dataDxfId="20">
      <calculatedColumnFormula xml:space="preserve"> INDEX(Table3[[#All],[Intensity]], Table13[[#This Row],[int'[1']]]+2)</calculatedColumnFormula>
    </tableColumn>
    <tableColumn id="33" name="strength[1]" dataDxfId="19">
      <calculatedColumnFormula>Table13[[#This Row],[duration'[1']]]*Table13[[#This Row],[intensity'[1']]]</calculatedColumnFormula>
    </tableColumn>
    <tableColumn id="12" name="dye[1]" dataDxfId="18">
      <calculatedColumnFormula>MOD(Table13[[#This Row],[ZMW num]]+1, 4)</calculatedColumnFormula>
    </tableColumn>
    <tableColumn id="10" name="t1[2]"/>
    <tableColumn id="35" name="time1[2]" dataDxfId="17">
      <calculatedColumnFormula>MAX($D$2, Table13[[#This Row],[t1'[2']]])</calculatedColumnFormula>
    </tableColumn>
    <tableColumn id="9" name="dt[2]"/>
    <tableColumn id="25" name="tf[2]" dataDxfId="16">
      <calculatedColumnFormula>Table13[[#This Row],[t1'[2']]]+Table13[[#This Row],[dt'[2']]]</calculatedColumnFormula>
    </tableColumn>
    <tableColumn id="39" name="time2[2]" dataDxfId="15">
      <calculatedColumnFormula>MIN($C$2, Table13[[#This Row],[tf'[2']]])</calculatedColumnFormula>
    </tableColumn>
    <tableColumn id="38" name="duration[2]" dataDxfId="14">
      <calculatedColumnFormula>Table13[[#This Row],[time2'[2']]]-Table13[[#This Row],[time1'[2']]]</calculatedColumnFormula>
    </tableColumn>
    <tableColumn id="7" name="int[2]"/>
    <tableColumn id="15" name="intensity[2]" dataDxfId="13">
      <calculatedColumnFormula xml:space="preserve"> INDEX(Table3[[#All],[Intensity]], Table13[[#This Row],[int'[2']]]+2)</calculatedColumnFormula>
    </tableColumn>
    <tableColumn id="40" name="strength[2]" dataDxfId="12">
      <calculatedColumnFormula>Table13[[#This Row],[duration'[2']]]*Table13[[#This Row],[intensity'[2']]]</calculatedColumnFormula>
    </tableColumn>
    <tableColumn id="5" name="dye[2]" dataDxfId="11">
      <calculatedColumnFormula>MOD(Table13[[#This Row],[ZMW num]]+2, 4)</calculatedColumnFormula>
    </tableColumn>
    <tableColumn id="18" name="t1[0] hex" dataDxfId="10">
      <calculatedColumnFormula>Single2String(Table13[[#This Row],[t1'[0']]])</calculatedColumnFormula>
    </tableColumn>
    <tableColumn id="19" name="dt[0] hex" dataDxfId="9">
      <calculatedColumnFormula>Single2String(Table13[[#This Row],[dt'[0']]])</calculatedColumnFormula>
    </tableColumn>
    <tableColumn id="20" name="t1[1] hex" dataDxfId="8">
      <calculatedColumnFormula>Single2String(Table13[[#This Row],[t1'[1']]])</calculatedColumnFormula>
    </tableColumn>
    <tableColumn id="21" name="dt[1] hex" dataDxfId="7">
      <calculatedColumnFormula>Single2String(Table13[[#This Row],[dt'[1']]])</calculatedColumnFormula>
    </tableColumn>
    <tableColumn id="22" name="t1[2] hex" dataDxfId="6">
      <calculatedColumnFormula>Single2String(Table13[[#This Row],[t1'[2']]])</calculatedColumnFormula>
    </tableColumn>
    <tableColumn id="23" name="dt[2] hex" dataDxfId="5">
      <calculatedColumnFormula>Single2String(Table13[[#This Row],[dt'[2']]])</calculatedColumnFormula>
    </tableColumn>
    <tableColumn id="24" name="ZMW num hex" dataDxfId="4">
      <calculatedColumnFormula>DEC2HEX(Table13[[#This Row],[ZMW num]], 6)</calculatedColumnFormula>
    </tableColumn>
    <tableColumn id="11" name="len" dataDxfId="3">
      <calculatedColumnFormula>LEN(Table13[[#This Row],[DRAM data]])</calculatedColumnFormula>
    </tableColumn>
    <tableColumn id="34" name="DRAM data" dataDxfId="2">
      <calculatedColumnFormula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B17" totalsRowShown="0">
  <autoFilter ref="A1:B17"/>
  <tableColumns count="2">
    <tableColumn id="1" name="Intensity" dataDxfId="1">
      <calculatedColumnFormula>(ROW()-2)/(16-1)</calculatedColumnFormula>
    </tableColumn>
    <tableColumn id="2" name="Hex">
      <calculatedColumnFormula>Single2String(A2)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56"/>
  <sheetViews>
    <sheetView workbookViewId="0">
      <selection activeCell="A27" sqref="A27"/>
    </sheetView>
  </sheetViews>
  <sheetFormatPr defaultRowHeight="15" x14ac:dyDescent="0.25"/>
  <sheetData>
    <row r="1" spans="1:1" x14ac:dyDescent="0.25">
      <c r="A1" t="str">
        <f xml:space="preserve"> LEFT(Sng2String(ROW()), 6)</f>
        <v>3F8000</v>
      </c>
    </row>
    <row r="2" spans="1:1" x14ac:dyDescent="0.25">
      <c r="A2" t="str">
        <f t="shared" ref="A2:A65" si="0" xml:space="preserve"> LEFT(Sng2String(ROW()), 6)</f>
        <v>400000</v>
      </c>
    </row>
    <row r="3" spans="1:1" x14ac:dyDescent="0.25">
      <c r="A3" t="str">
        <f t="shared" si="0"/>
        <v>404000</v>
      </c>
    </row>
    <row r="4" spans="1:1" x14ac:dyDescent="0.25">
      <c r="A4" t="str">
        <f t="shared" si="0"/>
        <v>408000</v>
      </c>
    </row>
    <row r="5" spans="1:1" x14ac:dyDescent="0.25">
      <c r="A5" t="str">
        <f t="shared" si="0"/>
        <v>40A000</v>
      </c>
    </row>
    <row r="6" spans="1:1" x14ac:dyDescent="0.25">
      <c r="A6" t="str">
        <f t="shared" si="0"/>
        <v>40C000</v>
      </c>
    </row>
    <row r="7" spans="1:1" x14ac:dyDescent="0.25">
      <c r="A7" t="str">
        <f t="shared" si="0"/>
        <v>40E000</v>
      </c>
    </row>
    <row r="8" spans="1:1" x14ac:dyDescent="0.25">
      <c r="A8" t="str">
        <f t="shared" si="0"/>
        <v>410000</v>
      </c>
    </row>
    <row r="9" spans="1:1" x14ac:dyDescent="0.25">
      <c r="A9" t="str">
        <f t="shared" si="0"/>
        <v>411000</v>
      </c>
    </row>
    <row r="10" spans="1:1" x14ac:dyDescent="0.25">
      <c r="A10" t="str">
        <f t="shared" si="0"/>
        <v>412000</v>
      </c>
    </row>
    <row r="11" spans="1:1" x14ac:dyDescent="0.25">
      <c r="A11" t="str">
        <f t="shared" si="0"/>
        <v>413000</v>
      </c>
    </row>
    <row r="12" spans="1:1" x14ac:dyDescent="0.25">
      <c r="A12" t="str">
        <f t="shared" si="0"/>
        <v>414000</v>
      </c>
    </row>
    <row r="13" spans="1:1" x14ac:dyDescent="0.25">
      <c r="A13" t="str">
        <f t="shared" si="0"/>
        <v>415000</v>
      </c>
    </row>
    <row r="14" spans="1:1" x14ac:dyDescent="0.25">
      <c r="A14" t="str">
        <f t="shared" si="0"/>
        <v>416000</v>
      </c>
    </row>
    <row r="15" spans="1:1" x14ac:dyDescent="0.25">
      <c r="A15" t="str">
        <f t="shared" si="0"/>
        <v>417000</v>
      </c>
    </row>
    <row r="16" spans="1:1" x14ac:dyDescent="0.25">
      <c r="A16" t="str">
        <f t="shared" si="0"/>
        <v>418000</v>
      </c>
    </row>
    <row r="17" spans="1:1" x14ac:dyDescent="0.25">
      <c r="A17" t="str">
        <f t="shared" si="0"/>
        <v>418800</v>
      </c>
    </row>
    <row r="18" spans="1:1" x14ac:dyDescent="0.25">
      <c r="A18" t="str">
        <f t="shared" si="0"/>
        <v>419000</v>
      </c>
    </row>
    <row r="19" spans="1:1" x14ac:dyDescent="0.25">
      <c r="A19" t="str">
        <f t="shared" si="0"/>
        <v>419800</v>
      </c>
    </row>
    <row r="20" spans="1:1" x14ac:dyDescent="0.25">
      <c r="A20" t="str">
        <f t="shared" si="0"/>
        <v>41A000</v>
      </c>
    </row>
    <row r="21" spans="1:1" x14ac:dyDescent="0.25">
      <c r="A21" t="str">
        <f t="shared" si="0"/>
        <v>41A800</v>
      </c>
    </row>
    <row r="22" spans="1:1" x14ac:dyDescent="0.25">
      <c r="A22" t="str">
        <f t="shared" si="0"/>
        <v>41B000</v>
      </c>
    </row>
    <row r="23" spans="1:1" x14ac:dyDescent="0.25">
      <c r="A23" t="str">
        <f t="shared" si="0"/>
        <v>41B800</v>
      </c>
    </row>
    <row r="24" spans="1:1" x14ac:dyDescent="0.25">
      <c r="A24" t="str">
        <f t="shared" si="0"/>
        <v>41C000</v>
      </c>
    </row>
    <row r="25" spans="1:1" x14ac:dyDescent="0.25">
      <c r="A25" t="str">
        <f t="shared" si="0"/>
        <v>41C800</v>
      </c>
    </row>
    <row r="26" spans="1:1" x14ac:dyDescent="0.25">
      <c r="A26" t="str">
        <f t="shared" si="0"/>
        <v>41D000</v>
      </c>
    </row>
    <row r="27" spans="1:1" x14ac:dyDescent="0.25">
      <c r="A27" t="str">
        <f t="shared" si="0"/>
        <v>41D800</v>
      </c>
    </row>
    <row r="28" spans="1:1" x14ac:dyDescent="0.25">
      <c r="A28" t="str">
        <f t="shared" si="0"/>
        <v>41E000</v>
      </c>
    </row>
    <row r="29" spans="1:1" x14ac:dyDescent="0.25">
      <c r="A29" t="str">
        <f t="shared" si="0"/>
        <v>41E800</v>
      </c>
    </row>
    <row r="30" spans="1:1" x14ac:dyDescent="0.25">
      <c r="A30" t="str">
        <f t="shared" si="0"/>
        <v>41F000</v>
      </c>
    </row>
    <row r="31" spans="1:1" x14ac:dyDescent="0.25">
      <c r="A31" t="str">
        <f t="shared" si="0"/>
        <v>41F800</v>
      </c>
    </row>
    <row r="32" spans="1:1" x14ac:dyDescent="0.25">
      <c r="A32" t="str">
        <f t="shared" si="0"/>
        <v>420000</v>
      </c>
    </row>
    <row r="33" spans="1:1" x14ac:dyDescent="0.25">
      <c r="A33" t="str">
        <f t="shared" si="0"/>
        <v>420400</v>
      </c>
    </row>
    <row r="34" spans="1:1" x14ac:dyDescent="0.25">
      <c r="A34" t="str">
        <f t="shared" si="0"/>
        <v>420800</v>
      </c>
    </row>
    <row r="35" spans="1:1" x14ac:dyDescent="0.25">
      <c r="A35" t="str">
        <f t="shared" si="0"/>
        <v>420C00</v>
      </c>
    </row>
    <row r="36" spans="1:1" x14ac:dyDescent="0.25">
      <c r="A36" t="str">
        <f t="shared" si="0"/>
        <v>421000</v>
      </c>
    </row>
    <row r="37" spans="1:1" x14ac:dyDescent="0.25">
      <c r="A37" t="str">
        <f t="shared" si="0"/>
        <v>421400</v>
      </c>
    </row>
    <row r="38" spans="1:1" x14ac:dyDescent="0.25">
      <c r="A38" t="str">
        <f t="shared" si="0"/>
        <v>421800</v>
      </c>
    </row>
    <row r="39" spans="1:1" x14ac:dyDescent="0.25">
      <c r="A39" t="str">
        <f t="shared" si="0"/>
        <v>421C00</v>
      </c>
    </row>
    <row r="40" spans="1:1" x14ac:dyDescent="0.25">
      <c r="A40" t="str">
        <f t="shared" si="0"/>
        <v>422000</v>
      </c>
    </row>
    <row r="41" spans="1:1" x14ac:dyDescent="0.25">
      <c r="A41" t="str">
        <f t="shared" si="0"/>
        <v>422400</v>
      </c>
    </row>
    <row r="42" spans="1:1" x14ac:dyDescent="0.25">
      <c r="A42" t="str">
        <f t="shared" si="0"/>
        <v>422800</v>
      </c>
    </row>
    <row r="43" spans="1:1" x14ac:dyDescent="0.25">
      <c r="A43" t="str">
        <f t="shared" si="0"/>
        <v>422C00</v>
      </c>
    </row>
    <row r="44" spans="1:1" x14ac:dyDescent="0.25">
      <c r="A44" t="str">
        <f t="shared" si="0"/>
        <v>423000</v>
      </c>
    </row>
    <row r="45" spans="1:1" x14ac:dyDescent="0.25">
      <c r="A45" t="str">
        <f t="shared" si="0"/>
        <v>423400</v>
      </c>
    </row>
    <row r="46" spans="1:1" x14ac:dyDescent="0.25">
      <c r="A46" t="str">
        <f t="shared" si="0"/>
        <v>423800</v>
      </c>
    </row>
    <row r="47" spans="1:1" x14ac:dyDescent="0.25">
      <c r="A47" t="str">
        <f t="shared" si="0"/>
        <v>423C00</v>
      </c>
    </row>
    <row r="48" spans="1:1" x14ac:dyDescent="0.25">
      <c r="A48" t="str">
        <f t="shared" si="0"/>
        <v>424000</v>
      </c>
    </row>
    <row r="49" spans="1:1" x14ac:dyDescent="0.25">
      <c r="A49" t="str">
        <f t="shared" si="0"/>
        <v>424400</v>
      </c>
    </row>
    <row r="50" spans="1:1" x14ac:dyDescent="0.25">
      <c r="A50" t="str">
        <f t="shared" si="0"/>
        <v>424800</v>
      </c>
    </row>
    <row r="51" spans="1:1" x14ac:dyDescent="0.25">
      <c r="A51" t="str">
        <f t="shared" si="0"/>
        <v>424C00</v>
      </c>
    </row>
    <row r="52" spans="1:1" x14ac:dyDescent="0.25">
      <c r="A52" t="str">
        <f t="shared" si="0"/>
        <v>425000</v>
      </c>
    </row>
    <row r="53" spans="1:1" x14ac:dyDescent="0.25">
      <c r="A53" t="str">
        <f t="shared" si="0"/>
        <v>425400</v>
      </c>
    </row>
    <row r="54" spans="1:1" x14ac:dyDescent="0.25">
      <c r="A54" t="str">
        <f t="shared" si="0"/>
        <v>425800</v>
      </c>
    </row>
    <row r="55" spans="1:1" x14ac:dyDescent="0.25">
      <c r="A55" t="str">
        <f t="shared" si="0"/>
        <v>425C00</v>
      </c>
    </row>
    <row r="56" spans="1:1" x14ac:dyDescent="0.25">
      <c r="A56" t="str">
        <f t="shared" si="0"/>
        <v>426000</v>
      </c>
    </row>
    <row r="57" spans="1:1" x14ac:dyDescent="0.25">
      <c r="A57" t="str">
        <f t="shared" si="0"/>
        <v>426400</v>
      </c>
    </row>
    <row r="58" spans="1:1" x14ac:dyDescent="0.25">
      <c r="A58" t="str">
        <f t="shared" si="0"/>
        <v>426800</v>
      </c>
    </row>
    <row r="59" spans="1:1" x14ac:dyDescent="0.25">
      <c r="A59" t="str">
        <f t="shared" si="0"/>
        <v>426C00</v>
      </c>
    </row>
    <row r="60" spans="1:1" x14ac:dyDescent="0.25">
      <c r="A60" t="str">
        <f t="shared" si="0"/>
        <v>427000</v>
      </c>
    </row>
    <row r="61" spans="1:1" x14ac:dyDescent="0.25">
      <c r="A61" t="str">
        <f t="shared" si="0"/>
        <v>427400</v>
      </c>
    </row>
    <row r="62" spans="1:1" x14ac:dyDescent="0.25">
      <c r="A62" t="str">
        <f t="shared" si="0"/>
        <v>427800</v>
      </c>
    </row>
    <row r="63" spans="1:1" x14ac:dyDescent="0.25">
      <c r="A63" t="str">
        <f t="shared" si="0"/>
        <v>427C00</v>
      </c>
    </row>
    <row r="64" spans="1:1" x14ac:dyDescent="0.25">
      <c r="A64" t="str">
        <f t="shared" si="0"/>
        <v>428000</v>
      </c>
    </row>
    <row r="65" spans="1:1" x14ac:dyDescent="0.25">
      <c r="A65" t="str">
        <f t="shared" si="0"/>
        <v>428200</v>
      </c>
    </row>
    <row r="66" spans="1:1" x14ac:dyDescent="0.25">
      <c r="A66" t="str">
        <f t="shared" ref="A66:A129" si="1" xml:space="preserve"> LEFT(Sng2String(ROW()), 6)</f>
        <v>428400</v>
      </c>
    </row>
    <row r="67" spans="1:1" x14ac:dyDescent="0.25">
      <c r="A67" t="str">
        <f t="shared" si="1"/>
        <v>428600</v>
      </c>
    </row>
    <row r="68" spans="1:1" x14ac:dyDescent="0.25">
      <c r="A68" t="str">
        <f t="shared" si="1"/>
        <v>428800</v>
      </c>
    </row>
    <row r="69" spans="1:1" x14ac:dyDescent="0.25">
      <c r="A69" t="str">
        <f t="shared" si="1"/>
        <v>428A00</v>
      </c>
    </row>
    <row r="70" spans="1:1" x14ac:dyDescent="0.25">
      <c r="A70" t="str">
        <f t="shared" si="1"/>
        <v>428C00</v>
      </c>
    </row>
    <row r="71" spans="1:1" x14ac:dyDescent="0.25">
      <c r="A71" t="str">
        <f t="shared" si="1"/>
        <v>428E00</v>
      </c>
    </row>
    <row r="72" spans="1:1" x14ac:dyDescent="0.25">
      <c r="A72" t="str">
        <f t="shared" si="1"/>
        <v>429000</v>
      </c>
    </row>
    <row r="73" spans="1:1" x14ac:dyDescent="0.25">
      <c r="A73" t="str">
        <f t="shared" si="1"/>
        <v>429200</v>
      </c>
    </row>
    <row r="74" spans="1:1" x14ac:dyDescent="0.25">
      <c r="A74" t="str">
        <f t="shared" si="1"/>
        <v>429400</v>
      </c>
    </row>
    <row r="75" spans="1:1" x14ac:dyDescent="0.25">
      <c r="A75" t="str">
        <f t="shared" si="1"/>
        <v>429600</v>
      </c>
    </row>
    <row r="76" spans="1:1" x14ac:dyDescent="0.25">
      <c r="A76" t="str">
        <f t="shared" si="1"/>
        <v>429800</v>
      </c>
    </row>
    <row r="77" spans="1:1" x14ac:dyDescent="0.25">
      <c r="A77" t="str">
        <f t="shared" si="1"/>
        <v>429A00</v>
      </c>
    </row>
    <row r="78" spans="1:1" x14ac:dyDescent="0.25">
      <c r="A78" t="str">
        <f t="shared" si="1"/>
        <v>429C00</v>
      </c>
    </row>
    <row r="79" spans="1:1" x14ac:dyDescent="0.25">
      <c r="A79" t="str">
        <f t="shared" si="1"/>
        <v>429E00</v>
      </c>
    </row>
    <row r="80" spans="1:1" x14ac:dyDescent="0.25">
      <c r="A80" t="str">
        <f t="shared" si="1"/>
        <v>42A000</v>
      </c>
    </row>
    <row r="81" spans="1:1" x14ac:dyDescent="0.25">
      <c r="A81" t="str">
        <f t="shared" si="1"/>
        <v>42A200</v>
      </c>
    </row>
    <row r="82" spans="1:1" x14ac:dyDescent="0.25">
      <c r="A82" t="str">
        <f t="shared" si="1"/>
        <v>42A400</v>
      </c>
    </row>
    <row r="83" spans="1:1" x14ac:dyDescent="0.25">
      <c r="A83" t="str">
        <f t="shared" si="1"/>
        <v>42A600</v>
      </c>
    </row>
    <row r="84" spans="1:1" x14ac:dyDescent="0.25">
      <c r="A84" t="str">
        <f t="shared" si="1"/>
        <v>42A800</v>
      </c>
    </row>
    <row r="85" spans="1:1" x14ac:dyDescent="0.25">
      <c r="A85" t="str">
        <f t="shared" si="1"/>
        <v>42AA00</v>
      </c>
    </row>
    <row r="86" spans="1:1" x14ac:dyDescent="0.25">
      <c r="A86" t="str">
        <f t="shared" si="1"/>
        <v>42AC00</v>
      </c>
    </row>
    <row r="87" spans="1:1" x14ac:dyDescent="0.25">
      <c r="A87" t="str">
        <f t="shared" si="1"/>
        <v>42AE00</v>
      </c>
    </row>
    <row r="88" spans="1:1" x14ac:dyDescent="0.25">
      <c r="A88" t="str">
        <f t="shared" si="1"/>
        <v>42B000</v>
      </c>
    </row>
    <row r="89" spans="1:1" x14ac:dyDescent="0.25">
      <c r="A89" t="str">
        <f t="shared" si="1"/>
        <v>42B200</v>
      </c>
    </row>
    <row r="90" spans="1:1" x14ac:dyDescent="0.25">
      <c r="A90" t="str">
        <f t="shared" si="1"/>
        <v>42B400</v>
      </c>
    </row>
    <row r="91" spans="1:1" x14ac:dyDescent="0.25">
      <c r="A91" t="str">
        <f t="shared" si="1"/>
        <v>42B600</v>
      </c>
    </row>
    <row r="92" spans="1:1" x14ac:dyDescent="0.25">
      <c r="A92" t="str">
        <f t="shared" si="1"/>
        <v>42B800</v>
      </c>
    </row>
    <row r="93" spans="1:1" x14ac:dyDescent="0.25">
      <c r="A93" t="str">
        <f t="shared" si="1"/>
        <v>42BA00</v>
      </c>
    </row>
    <row r="94" spans="1:1" x14ac:dyDescent="0.25">
      <c r="A94" t="str">
        <f t="shared" si="1"/>
        <v>42BC00</v>
      </c>
    </row>
    <row r="95" spans="1:1" x14ac:dyDescent="0.25">
      <c r="A95" t="str">
        <f t="shared" si="1"/>
        <v>42BE00</v>
      </c>
    </row>
    <row r="96" spans="1:1" x14ac:dyDescent="0.25">
      <c r="A96" t="str">
        <f t="shared" si="1"/>
        <v>42C000</v>
      </c>
    </row>
    <row r="97" spans="1:1" x14ac:dyDescent="0.25">
      <c r="A97" t="str">
        <f t="shared" si="1"/>
        <v>42C200</v>
      </c>
    </row>
    <row r="98" spans="1:1" x14ac:dyDescent="0.25">
      <c r="A98" t="str">
        <f t="shared" si="1"/>
        <v>42C400</v>
      </c>
    </row>
    <row r="99" spans="1:1" x14ac:dyDescent="0.25">
      <c r="A99" t="str">
        <f t="shared" si="1"/>
        <v>42C600</v>
      </c>
    </row>
    <row r="100" spans="1:1" x14ac:dyDescent="0.25">
      <c r="A100" t="str">
        <f t="shared" si="1"/>
        <v>42C800</v>
      </c>
    </row>
    <row r="101" spans="1:1" x14ac:dyDescent="0.25">
      <c r="A101" t="str">
        <f t="shared" si="1"/>
        <v>42CA00</v>
      </c>
    </row>
    <row r="102" spans="1:1" x14ac:dyDescent="0.25">
      <c r="A102" t="str">
        <f t="shared" si="1"/>
        <v>42CC00</v>
      </c>
    </row>
    <row r="103" spans="1:1" x14ac:dyDescent="0.25">
      <c r="A103" t="str">
        <f t="shared" si="1"/>
        <v>42CE00</v>
      </c>
    </row>
    <row r="104" spans="1:1" x14ac:dyDescent="0.25">
      <c r="A104" t="str">
        <f t="shared" si="1"/>
        <v>42D000</v>
      </c>
    </row>
    <row r="105" spans="1:1" x14ac:dyDescent="0.25">
      <c r="A105" t="str">
        <f t="shared" si="1"/>
        <v>42D200</v>
      </c>
    </row>
    <row r="106" spans="1:1" x14ac:dyDescent="0.25">
      <c r="A106" t="str">
        <f t="shared" si="1"/>
        <v>42D400</v>
      </c>
    </row>
    <row r="107" spans="1:1" x14ac:dyDescent="0.25">
      <c r="A107" t="str">
        <f t="shared" si="1"/>
        <v>42D600</v>
      </c>
    </row>
    <row r="108" spans="1:1" x14ac:dyDescent="0.25">
      <c r="A108" t="str">
        <f t="shared" si="1"/>
        <v>42D800</v>
      </c>
    </row>
    <row r="109" spans="1:1" x14ac:dyDescent="0.25">
      <c r="A109" t="str">
        <f t="shared" si="1"/>
        <v>42DA00</v>
      </c>
    </row>
    <row r="110" spans="1:1" x14ac:dyDescent="0.25">
      <c r="A110" t="str">
        <f t="shared" si="1"/>
        <v>42DC00</v>
      </c>
    </row>
    <row r="111" spans="1:1" x14ac:dyDescent="0.25">
      <c r="A111" t="str">
        <f t="shared" si="1"/>
        <v>42DE00</v>
      </c>
    </row>
    <row r="112" spans="1:1" x14ac:dyDescent="0.25">
      <c r="A112" t="str">
        <f t="shared" si="1"/>
        <v>42E000</v>
      </c>
    </row>
    <row r="113" spans="1:1" x14ac:dyDescent="0.25">
      <c r="A113" t="str">
        <f t="shared" si="1"/>
        <v>42E200</v>
      </c>
    </row>
    <row r="114" spans="1:1" x14ac:dyDescent="0.25">
      <c r="A114" t="str">
        <f t="shared" si="1"/>
        <v>42E400</v>
      </c>
    </row>
    <row r="115" spans="1:1" x14ac:dyDescent="0.25">
      <c r="A115" t="str">
        <f t="shared" si="1"/>
        <v>42E600</v>
      </c>
    </row>
    <row r="116" spans="1:1" x14ac:dyDescent="0.25">
      <c r="A116" t="str">
        <f t="shared" si="1"/>
        <v>42E800</v>
      </c>
    </row>
    <row r="117" spans="1:1" x14ac:dyDescent="0.25">
      <c r="A117" t="str">
        <f t="shared" si="1"/>
        <v>42EA00</v>
      </c>
    </row>
    <row r="118" spans="1:1" x14ac:dyDescent="0.25">
      <c r="A118" t="str">
        <f t="shared" si="1"/>
        <v>42EC00</v>
      </c>
    </row>
    <row r="119" spans="1:1" x14ac:dyDescent="0.25">
      <c r="A119" t="str">
        <f t="shared" si="1"/>
        <v>42EE00</v>
      </c>
    </row>
    <row r="120" spans="1:1" x14ac:dyDescent="0.25">
      <c r="A120" t="str">
        <f t="shared" si="1"/>
        <v>42F000</v>
      </c>
    </row>
    <row r="121" spans="1:1" x14ac:dyDescent="0.25">
      <c r="A121" t="str">
        <f t="shared" si="1"/>
        <v>42F200</v>
      </c>
    </row>
    <row r="122" spans="1:1" x14ac:dyDescent="0.25">
      <c r="A122" t="str">
        <f t="shared" si="1"/>
        <v>42F400</v>
      </c>
    </row>
    <row r="123" spans="1:1" x14ac:dyDescent="0.25">
      <c r="A123" t="str">
        <f t="shared" si="1"/>
        <v>42F600</v>
      </c>
    </row>
    <row r="124" spans="1:1" x14ac:dyDescent="0.25">
      <c r="A124" t="str">
        <f t="shared" si="1"/>
        <v>42F800</v>
      </c>
    </row>
    <row r="125" spans="1:1" x14ac:dyDescent="0.25">
      <c r="A125" t="str">
        <f t="shared" si="1"/>
        <v>42FA00</v>
      </c>
    </row>
    <row r="126" spans="1:1" x14ac:dyDescent="0.25">
      <c r="A126" t="str">
        <f t="shared" si="1"/>
        <v>42FC00</v>
      </c>
    </row>
    <row r="127" spans="1:1" x14ac:dyDescent="0.25">
      <c r="A127" t="str">
        <f t="shared" si="1"/>
        <v>42FE00</v>
      </c>
    </row>
    <row r="128" spans="1:1" x14ac:dyDescent="0.25">
      <c r="A128" t="str">
        <f t="shared" si="1"/>
        <v>430000</v>
      </c>
    </row>
    <row r="129" spans="1:1" x14ac:dyDescent="0.25">
      <c r="A129" t="str">
        <f t="shared" si="1"/>
        <v>430100</v>
      </c>
    </row>
    <row r="130" spans="1:1" x14ac:dyDescent="0.25">
      <c r="A130" t="str">
        <f t="shared" ref="A130:A193" si="2" xml:space="preserve"> LEFT(Sng2String(ROW()), 6)</f>
        <v>430200</v>
      </c>
    </row>
    <row r="131" spans="1:1" x14ac:dyDescent="0.25">
      <c r="A131" t="str">
        <f t="shared" si="2"/>
        <v>430300</v>
      </c>
    </row>
    <row r="132" spans="1:1" x14ac:dyDescent="0.25">
      <c r="A132" t="str">
        <f t="shared" si="2"/>
        <v>430400</v>
      </c>
    </row>
    <row r="133" spans="1:1" x14ac:dyDescent="0.25">
      <c r="A133" t="str">
        <f t="shared" si="2"/>
        <v>430500</v>
      </c>
    </row>
    <row r="134" spans="1:1" x14ac:dyDescent="0.25">
      <c r="A134" t="str">
        <f t="shared" si="2"/>
        <v>430600</v>
      </c>
    </row>
    <row r="135" spans="1:1" x14ac:dyDescent="0.25">
      <c r="A135" t="str">
        <f t="shared" si="2"/>
        <v>430700</v>
      </c>
    </row>
    <row r="136" spans="1:1" x14ac:dyDescent="0.25">
      <c r="A136" t="str">
        <f t="shared" si="2"/>
        <v>430800</v>
      </c>
    </row>
    <row r="137" spans="1:1" x14ac:dyDescent="0.25">
      <c r="A137" t="str">
        <f t="shared" si="2"/>
        <v>430900</v>
      </c>
    </row>
    <row r="138" spans="1:1" x14ac:dyDescent="0.25">
      <c r="A138" t="str">
        <f t="shared" si="2"/>
        <v>430A00</v>
      </c>
    </row>
    <row r="139" spans="1:1" x14ac:dyDescent="0.25">
      <c r="A139" t="str">
        <f t="shared" si="2"/>
        <v>430B00</v>
      </c>
    </row>
    <row r="140" spans="1:1" x14ac:dyDescent="0.25">
      <c r="A140" t="str">
        <f t="shared" si="2"/>
        <v>430C00</v>
      </c>
    </row>
    <row r="141" spans="1:1" x14ac:dyDescent="0.25">
      <c r="A141" t="str">
        <f t="shared" si="2"/>
        <v>430D00</v>
      </c>
    </row>
    <row r="142" spans="1:1" x14ac:dyDescent="0.25">
      <c r="A142" t="str">
        <f t="shared" si="2"/>
        <v>430E00</v>
      </c>
    </row>
    <row r="143" spans="1:1" x14ac:dyDescent="0.25">
      <c r="A143" t="str">
        <f t="shared" si="2"/>
        <v>430F00</v>
      </c>
    </row>
    <row r="144" spans="1:1" x14ac:dyDescent="0.25">
      <c r="A144" t="str">
        <f t="shared" si="2"/>
        <v>431000</v>
      </c>
    </row>
    <row r="145" spans="1:1" x14ac:dyDescent="0.25">
      <c r="A145" t="str">
        <f t="shared" si="2"/>
        <v>431100</v>
      </c>
    </row>
    <row r="146" spans="1:1" x14ac:dyDescent="0.25">
      <c r="A146" t="str">
        <f t="shared" si="2"/>
        <v>431200</v>
      </c>
    </row>
    <row r="147" spans="1:1" x14ac:dyDescent="0.25">
      <c r="A147" t="str">
        <f t="shared" si="2"/>
        <v>431300</v>
      </c>
    </row>
    <row r="148" spans="1:1" x14ac:dyDescent="0.25">
      <c r="A148" t="str">
        <f t="shared" si="2"/>
        <v>431400</v>
      </c>
    </row>
    <row r="149" spans="1:1" x14ac:dyDescent="0.25">
      <c r="A149" t="str">
        <f t="shared" si="2"/>
        <v>431500</v>
      </c>
    </row>
    <row r="150" spans="1:1" x14ac:dyDescent="0.25">
      <c r="A150" t="str">
        <f t="shared" si="2"/>
        <v>431600</v>
      </c>
    </row>
    <row r="151" spans="1:1" x14ac:dyDescent="0.25">
      <c r="A151" t="str">
        <f t="shared" si="2"/>
        <v>431700</v>
      </c>
    </row>
    <row r="152" spans="1:1" x14ac:dyDescent="0.25">
      <c r="A152" t="str">
        <f t="shared" si="2"/>
        <v>431800</v>
      </c>
    </row>
    <row r="153" spans="1:1" x14ac:dyDescent="0.25">
      <c r="A153" t="str">
        <f t="shared" si="2"/>
        <v>431900</v>
      </c>
    </row>
    <row r="154" spans="1:1" x14ac:dyDescent="0.25">
      <c r="A154" t="str">
        <f t="shared" si="2"/>
        <v>431A00</v>
      </c>
    </row>
    <row r="155" spans="1:1" x14ac:dyDescent="0.25">
      <c r="A155" t="str">
        <f t="shared" si="2"/>
        <v>431B00</v>
      </c>
    </row>
    <row r="156" spans="1:1" x14ac:dyDescent="0.25">
      <c r="A156" t="str">
        <f t="shared" si="2"/>
        <v>431C00</v>
      </c>
    </row>
    <row r="157" spans="1:1" x14ac:dyDescent="0.25">
      <c r="A157" t="str">
        <f t="shared" si="2"/>
        <v>431D00</v>
      </c>
    </row>
    <row r="158" spans="1:1" x14ac:dyDescent="0.25">
      <c r="A158" t="str">
        <f t="shared" si="2"/>
        <v>431E00</v>
      </c>
    </row>
    <row r="159" spans="1:1" x14ac:dyDescent="0.25">
      <c r="A159" t="str">
        <f t="shared" si="2"/>
        <v>431F00</v>
      </c>
    </row>
    <row r="160" spans="1:1" x14ac:dyDescent="0.25">
      <c r="A160" t="str">
        <f t="shared" si="2"/>
        <v>432000</v>
      </c>
    </row>
    <row r="161" spans="1:1" x14ac:dyDescent="0.25">
      <c r="A161" t="str">
        <f t="shared" si="2"/>
        <v>432100</v>
      </c>
    </row>
    <row r="162" spans="1:1" x14ac:dyDescent="0.25">
      <c r="A162" t="str">
        <f t="shared" si="2"/>
        <v>432200</v>
      </c>
    </row>
    <row r="163" spans="1:1" x14ac:dyDescent="0.25">
      <c r="A163" t="str">
        <f t="shared" si="2"/>
        <v>432300</v>
      </c>
    </row>
    <row r="164" spans="1:1" x14ac:dyDescent="0.25">
      <c r="A164" t="str">
        <f t="shared" si="2"/>
        <v>432400</v>
      </c>
    </row>
    <row r="165" spans="1:1" x14ac:dyDescent="0.25">
      <c r="A165" t="str">
        <f t="shared" si="2"/>
        <v>432500</v>
      </c>
    </row>
    <row r="166" spans="1:1" x14ac:dyDescent="0.25">
      <c r="A166" t="str">
        <f t="shared" si="2"/>
        <v>432600</v>
      </c>
    </row>
    <row r="167" spans="1:1" x14ac:dyDescent="0.25">
      <c r="A167" t="str">
        <f t="shared" si="2"/>
        <v>432700</v>
      </c>
    </row>
    <row r="168" spans="1:1" x14ac:dyDescent="0.25">
      <c r="A168" t="str">
        <f t="shared" si="2"/>
        <v>432800</v>
      </c>
    </row>
    <row r="169" spans="1:1" x14ac:dyDescent="0.25">
      <c r="A169" t="str">
        <f t="shared" si="2"/>
        <v>432900</v>
      </c>
    </row>
    <row r="170" spans="1:1" x14ac:dyDescent="0.25">
      <c r="A170" t="str">
        <f t="shared" si="2"/>
        <v>432A00</v>
      </c>
    </row>
    <row r="171" spans="1:1" x14ac:dyDescent="0.25">
      <c r="A171" t="str">
        <f t="shared" si="2"/>
        <v>432B00</v>
      </c>
    </row>
    <row r="172" spans="1:1" x14ac:dyDescent="0.25">
      <c r="A172" t="str">
        <f t="shared" si="2"/>
        <v>432C00</v>
      </c>
    </row>
    <row r="173" spans="1:1" x14ac:dyDescent="0.25">
      <c r="A173" t="str">
        <f t="shared" si="2"/>
        <v>432D00</v>
      </c>
    </row>
    <row r="174" spans="1:1" x14ac:dyDescent="0.25">
      <c r="A174" t="str">
        <f t="shared" si="2"/>
        <v>432E00</v>
      </c>
    </row>
    <row r="175" spans="1:1" x14ac:dyDescent="0.25">
      <c r="A175" t="str">
        <f t="shared" si="2"/>
        <v>432F00</v>
      </c>
    </row>
    <row r="176" spans="1:1" x14ac:dyDescent="0.25">
      <c r="A176" t="str">
        <f t="shared" si="2"/>
        <v>433000</v>
      </c>
    </row>
    <row r="177" spans="1:1" x14ac:dyDescent="0.25">
      <c r="A177" t="str">
        <f t="shared" si="2"/>
        <v>433100</v>
      </c>
    </row>
    <row r="178" spans="1:1" x14ac:dyDescent="0.25">
      <c r="A178" t="str">
        <f t="shared" si="2"/>
        <v>433200</v>
      </c>
    </row>
    <row r="179" spans="1:1" x14ac:dyDescent="0.25">
      <c r="A179" t="str">
        <f t="shared" si="2"/>
        <v>433300</v>
      </c>
    </row>
    <row r="180" spans="1:1" x14ac:dyDescent="0.25">
      <c r="A180" t="str">
        <f t="shared" si="2"/>
        <v>433400</v>
      </c>
    </row>
    <row r="181" spans="1:1" x14ac:dyDescent="0.25">
      <c r="A181" t="str">
        <f t="shared" si="2"/>
        <v>433500</v>
      </c>
    </row>
    <row r="182" spans="1:1" x14ac:dyDescent="0.25">
      <c r="A182" t="str">
        <f t="shared" si="2"/>
        <v>433600</v>
      </c>
    </row>
    <row r="183" spans="1:1" x14ac:dyDescent="0.25">
      <c r="A183" t="str">
        <f t="shared" si="2"/>
        <v>433700</v>
      </c>
    </row>
    <row r="184" spans="1:1" x14ac:dyDescent="0.25">
      <c r="A184" t="str">
        <f t="shared" si="2"/>
        <v>433800</v>
      </c>
    </row>
    <row r="185" spans="1:1" x14ac:dyDescent="0.25">
      <c r="A185" t="str">
        <f t="shared" si="2"/>
        <v>433900</v>
      </c>
    </row>
    <row r="186" spans="1:1" x14ac:dyDescent="0.25">
      <c r="A186" t="str">
        <f t="shared" si="2"/>
        <v>433A00</v>
      </c>
    </row>
    <row r="187" spans="1:1" x14ac:dyDescent="0.25">
      <c r="A187" t="str">
        <f t="shared" si="2"/>
        <v>433B00</v>
      </c>
    </row>
    <row r="188" spans="1:1" x14ac:dyDescent="0.25">
      <c r="A188" t="str">
        <f t="shared" si="2"/>
        <v>433C00</v>
      </c>
    </row>
    <row r="189" spans="1:1" x14ac:dyDescent="0.25">
      <c r="A189" t="str">
        <f t="shared" si="2"/>
        <v>433D00</v>
      </c>
    </row>
    <row r="190" spans="1:1" x14ac:dyDescent="0.25">
      <c r="A190" t="str">
        <f t="shared" si="2"/>
        <v>433E00</v>
      </c>
    </row>
    <row r="191" spans="1:1" x14ac:dyDescent="0.25">
      <c r="A191" t="str">
        <f t="shared" si="2"/>
        <v>433F00</v>
      </c>
    </row>
    <row r="192" spans="1:1" x14ac:dyDescent="0.25">
      <c r="A192" t="str">
        <f t="shared" si="2"/>
        <v>434000</v>
      </c>
    </row>
    <row r="193" spans="1:1" x14ac:dyDescent="0.25">
      <c r="A193" t="str">
        <f t="shared" si="2"/>
        <v>434100</v>
      </c>
    </row>
    <row r="194" spans="1:1" x14ac:dyDescent="0.25">
      <c r="A194" t="str">
        <f t="shared" ref="A194:A256" si="3" xml:space="preserve"> LEFT(Sng2String(ROW()), 6)</f>
        <v>434200</v>
      </c>
    </row>
    <row r="195" spans="1:1" x14ac:dyDescent="0.25">
      <c r="A195" t="str">
        <f t="shared" si="3"/>
        <v>434300</v>
      </c>
    </row>
    <row r="196" spans="1:1" x14ac:dyDescent="0.25">
      <c r="A196" t="str">
        <f t="shared" si="3"/>
        <v>434400</v>
      </c>
    </row>
    <row r="197" spans="1:1" x14ac:dyDescent="0.25">
      <c r="A197" t="str">
        <f t="shared" si="3"/>
        <v>434500</v>
      </c>
    </row>
    <row r="198" spans="1:1" x14ac:dyDescent="0.25">
      <c r="A198" t="str">
        <f t="shared" si="3"/>
        <v>434600</v>
      </c>
    </row>
    <row r="199" spans="1:1" x14ac:dyDescent="0.25">
      <c r="A199" t="str">
        <f t="shared" si="3"/>
        <v>434700</v>
      </c>
    </row>
    <row r="200" spans="1:1" x14ac:dyDescent="0.25">
      <c r="A200" t="str">
        <f t="shared" si="3"/>
        <v>434800</v>
      </c>
    </row>
    <row r="201" spans="1:1" x14ac:dyDescent="0.25">
      <c r="A201" t="str">
        <f t="shared" si="3"/>
        <v>434900</v>
      </c>
    </row>
    <row r="202" spans="1:1" x14ac:dyDescent="0.25">
      <c r="A202" t="str">
        <f t="shared" si="3"/>
        <v>434A00</v>
      </c>
    </row>
    <row r="203" spans="1:1" x14ac:dyDescent="0.25">
      <c r="A203" t="str">
        <f t="shared" si="3"/>
        <v>434B00</v>
      </c>
    </row>
    <row r="204" spans="1:1" x14ac:dyDescent="0.25">
      <c r="A204" t="str">
        <f t="shared" si="3"/>
        <v>434C00</v>
      </c>
    </row>
    <row r="205" spans="1:1" x14ac:dyDescent="0.25">
      <c r="A205" t="str">
        <f t="shared" si="3"/>
        <v>434D00</v>
      </c>
    </row>
    <row r="206" spans="1:1" x14ac:dyDescent="0.25">
      <c r="A206" t="str">
        <f t="shared" si="3"/>
        <v>434E00</v>
      </c>
    </row>
    <row r="207" spans="1:1" x14ac:dyDescent="0.25">
      <c r="A207" t="str">
        <f t="shared" si="3"/>
        <v>434F00</v>
      </c>
    </row>
    <row r="208" spans="1:1" x14ac:dyDescent="0.25">
      <c r="A208" t="str">
        <f t="shared" si="3"/>
        <v>435000</v>
      </c>
    </row>
    <row r="209" spans="1:1" x14ac:dyDescent="0.25">
      <c r="A209" t="str">
        <f t="shared" si="3"/>
        <v>435100</v>
      </c>
    </row>
    <row r="210" spans="1:1" x14ac:dyDescent="0.25">
      <c r="A210" t="str">
        <f t="shared" si="3"/>
        <v>435200</v>
      </c>
    </row>
    <row r="211" spans="1:1" x14ac:dyDescent="0.25">
      <c r="A211" t="str">
        <f t="shared" si="3"/>
        <v>435300</v>
      </c>
    </row>
    <row r="212" spans="1:1" x14ac:dyDescent="0.25">
      <c r="A212" t="str">
        <f t="shared" si="3"/>
        <v>435400</v>
      </c>
    </row>
    <row r="213" spans="1:1" x14ac:dyDescent="0.25">
      <c r="A213" t="str">
        <f t="shared" si="3"/>
        <v>435500</v>
      </c>
    </row>
    <row r="214" spans="1:1" x14ac:dyDescent="0.25">
      <c r="A214" t="str">
        <f t="shared" si="3"/>
        <v>435600</v>
      </c>
    </row>
    <row r="215" spans="1:1" x14ac:dyDescent="0.25">
      <c r="A215" t="str">
        <f t="shared" si="3"/>
        <v>435700</v>
      </c>
    </row>
    <row r="216" spans="1:1" x14ac:dyDescent="0.25">
      <c r="A216" t="str">
        <f t="shared" si="3"/>
        <v>435800</v>
      </c>
    </row>
    <row r="217" spans="1:1" x14ac:dyDescent="0.25">
      <c r="A217" t="str">
        <f t="shared" si="3"/>
        <v>435900</v>
      </c>
    </row>
    <row r="218" spans="1:1" x14ac:dyDescent="0.25">
      <c r="A218" t="str">
        <f t="shared" si="3"/>
        <v>435A00</v>
      </c>
    </row>
    <row r="219" spans="1:1" x14ac:dyDescent="0.25">
      <c r="A219" t="str">
        <f t="shared" si="3"/>
        <v>435B00</v>
      </c>
    </row>
    <row r="220" spans="1:1" x14ac:dyDescent="0.25">
      <c r="A220" t="str">
        <f t="shared" si="3"/>
        <v>435C00</v>
      </c>
    </row>
    <row r="221" spans="1:1" x14ac:dyDescent="0.25">
      <c r="A221" t="str">
        <f t="shared" si="3"/>
        <v>435D00</v>
      </c>
    </row>
    <row r="222" spans="1:1" x14ac:dyDescent="0.25">
      <c r="A222" t="str">
        <f t="shared" si="3"/>
        <v>435E00</v>
      </c>
    </row>
    <row r="223" spans="1:1" x14ac:dyDescent="0.25">
      <c r="A223" t="str">
        <f t="shared" si="3"/>
        <v>435F00</v>
      </c>
    </row>
    <row r="224" spans="1:1" x14ac:dyDescent="0.25">
      <c r="A224" t="str">
        <f t="shared" si="3"/>
        <v>436000</v>
      </c>
    </row>
    <row r="225" spans="1:1" x14ac:dyDescent="0.25">
      <c r="A225" t="str">
        <f t="shared" si="3"/>
        <v>436100</v>
      </c>
    </row>
    <row r="226" spans="1:1" x14ac:dyDescent="0.25">
      <c r="A226" t="str">
        <f t="shared" si="3"/>
        <v>436200</v>
      </c>
    </row>
    <row r="227" spans="1:1" x14ac:dyDescent="0.25">
      <c r="A227" t="str">
        <f t="shared" si="3"/>
        <v>436300</v>
      </c>
    </row>
    <row r="228" spans="1:1" x14ac:dyDescent="0.25">
      <c r="A228" t="str">
        <f t="shared" si="3"/>
        <v>436400</v>
      </c>
    </row>
    <row r="229" spans="1:1" x14ac:dyDescent="0.25">
      <c r="A229" t="str">
        <f t="shared" si="3"/>
        <v>436500</v>
      </c>
    </row>
    <row r="230" spans="1:1" x14ac:dyDescent="0.25">
      <c r="A230" t="str">
        <f t="shared" si="3"/>
        <v>436600</v>
      </c>
    </row>
    <row r="231" spans="1:1" x14ac:dyDescent="0.25">
      <c r="A231" t="str">
        <f t="shared" si="3"/>
        <v>436700</v>
      </c>
    </row>
    <row r="232" spans="1:1" x14ac:dyDescent="0.25">
      <c r="A232" t="str">
        <f t="shared" si="3"/>
        <v>436800</v>
      </c>
    </row>
    <row r="233" spans="1:1" x14ac:dyDescent="0.25">
      <c r="A233" t="str">
        <f t="shared" si="3"/>
        <v>436900</v>
      </c>
    </row>
    <row r="234" spans="1:1" x14ac:dyDescent="0.25">
      <c r="A234" t="str">
        <f t="shared" si="3"/>
        <v>436A00</v>
      </c>
    </row>
    <row r="235" spans="1:1" x14ac:dyDescent="0.25">
      <c r="A235" t="str">
        <f t="shared" si="3"/>
        <v>436B00</v>
      </c>
    </row>
    <row r="236" spans="1:1" x14ac:dyDescent="0.25">
      <c r="A236" t="str">
        <f t="shared" si="3"/>
        <v>436C00</v>
      </c>
    </row>
    <row r="237" spans="1:1" x14ac:dyDescent="0.25">
      <c r="A237" t="str">
        <f t="shared" si="3"/>
        <v>436D00</v>
      </c>
    </row>
    <row r="238" spans="1:1" x14ac:dyDescent="0.25">
      <c r="A238" t="str">
        <f t="shared" si="3"/>
        <v>436E00</v>
      </c>
    </row>
    <row r="239" spans="1:1" x14ac:dyDescent="0.25">
      <c r="A239" t="str">
        <f t="shared" si="3"/>
        <v>436F00</v>
      </c>
    </row>
    <row r="240" spans="1:1" x14ac:dyDescent="0.25">
      <c r="A240" t="str">
        <f t="shared" si="3"/>
        <v>437000</v>
      </c>
    </row>
    <row r="241" spans="1:1" x14ac:dyDescent="0.25">
      <c r="A241" t="str">
        <f t="shared" si="3"/>
        <v>437100</v>
      </c>
    </row>
    <row r="242" spans="1:1" x14ac:dyDescent="0.25">
      <c r="A242" t="str">
        <f t="shared" si="3"/>
        <v>437200</v>
      </c>
    </row>
    <row r="243" spans="1:1" x14ac:dyDescent="0.25">
      <c r="A243" t="str">
        <f t="shared" si="3"/>
        <v>437300</v>
      </c>
    </row>
    <row r="244" spans="1:1" x14ac:dyDescent="0.25">
      <c r="A244" t="str">
        <f t="shared" si="3"/>
        <v>437400</v>
      </c>
    </row>
    <row r="245" spans="1:1" x14ac:dyDescent="0.25">
      <c r="A245" t="str">
        <f t="shared" si="3"/>
        <v>437500</v>
      </c>
    </row>
    <row r="246" spans="1:1" x14ac:dyDescent="0.25">
      <c r="A246" t="str">
        <f t="shared" si="3"/>
        <v>437600</v>
      </c>
    </row>
    <row r="247" spans="1:1" x14ac:dyDescent="0.25">
      <c r="A247" t="str">
        <f t="shared" si="3"/>
        <v>437700</v>
      </c>
    </row>
    <row r="248" spans="1:1" x14ac:dyDescent="0.25">
      <c r="A248" t="str">
        <f t="shared" si="3"/>
        <v>437800</v>
      </c>
    </row>
    <row r="249" spans="1:1" x14ac:dyDescent="0.25">
      <c r="A249" t="str">
        <f t="shared" si="3"/>
        <v>437900</v>
      </c>
    </row>
    <row r="250" spans="1:1" x14ac:dyDescent="0.25">
      <c r="A250" t="str">
        <f t="shared" si="3"/>
        <v>437A00</v>
      </c>
    </row>
    <row r="251" spans="1:1" x14ac:dyDescent="0.25">
      <c r="A251" t="str">
        <f t="shared" si="3"/>
        <v>437B00</v>
      </c>
    </row>
    <row r="252" spans="1:1" x14ac:dyDescent="0.25">
      <c r="A252" t="str">
        <f t="shared" si="3"/>
        <v>437C00</v>
      </c>
    </row>
    <row r="253" spans="1:1" x14ac:dyDescent="0.25">
      <c r="A253" t="str">
        <f t="shared" si="3"/>
        <v>437D00</v>
      </c>
    </row>
    <row r="254" spans="1:1" x14ac:dyDescent="0.25">
      <c r="A254" t="str">
        <f t="shared" si="3"/>
        <v>437E00</v>
      </c>
    </row>
    <row r="255" spans="1:1" x14ac:dyDescent="0.25">
      <c r="A255" t="str">
        <f t="shared" si="3"/>
        <v>437F00</v>
      </c>
    </row>
    <row r="256" spans="1:1" x14ac:dyDescent="0.25">
      <c r="A256" t="str">
        <f t="shared" si="3"/>
        <v>438000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V129"/>
  <sheetViews>
    <sheetView tabSelected="1" topLeftCell="K76" workbookViewId="0">
      <selection activeCell="T3" sqref="T3"/>
    </sheetView>
  </sheetViews>
  <sheetFormatPr defaultRowHeight="15" x14ac:dyDescent="0.25"/>
  <cols>
    <col min="3" max="4" width="8.140625" customWidth="1"/>
    <col min="10" max="10" width="10.42578125" customWidth="1"/>
    <col min="12" max="12" width="9.28515625" customWidth="1"/>
    <col min="15" max="15" width="8.42578125" customWidth="1"/>
    <col min="18" max="18" width="9.5703125" customWidth="1"/>
    <col min="19" max="20" width="6.42578125" customWidth="1"/>
    <col min="21" max="21" width="7" customWidth="1"/>
    <col min="22" max="22" width="4.7109375" customWidth="1"/>
    <col min="23" max="23" width="4.85546875" customWidth="1"/>
    <col min="24" max="24" width="5" customWidth="1"/>
    <col min="25" max="25" width="6" customWidth="1"/>
    <col min="26" max="26" width="5.42578125" customWidth="1"/>
    <col min="27" max="27" width="5.85546875" customWidth="1"/>
    <col min="28" max="28" width="7.42578125" customWidth="1"/>
    <col min="29" max="29" width="5" customWidth="1"/>
    <col min="30" max="30" width="4.85546875" customWidth="1"/>
    <col min="31" max="31" width="6.28515625" customWidth="1"/>
    <col min="32" max="32" width="6.5703125" customWidth="1"/>
    <col min="33" max="33" width="7" customWidth="1"/>
    <col min="34" max="34" width="5.7109375" customWidth="1"/>
    <col min="35" max="35" width="5.85546875" customWidth="1"/>
    <col min="36" max="36" width="6.28515625" customWidth="1"/>
    <col min="37" max="37" width="4.5703125" customWidth="1"/>
    <col min="38" max="38" width="6.85546875" customWidth="1"/>
    <col min="39" max="40" width="6.7109375" customWidth="1"/>
    <col min="41" max="41" width="6.28515625" customWidth="1"/>
    <col min="42" max="42" width="6.85546875" customWidth="1"/>
    <col min="43" max="43" width="7.28515625" customWidth="1"/>
    <col min="44" max="44" width="6.7109375" customWidth="1"/>
    <col min="45" max="45" width="7" customWidth="1"/>
    <col min="46" max="46" width="6.28515625" customWidth="1"/>
    <col min="47" max="48" width="7.28515625" customWidth="1"/>
    <col min="49" max="49" width="6.85546875" customWidth="1"/>
    <col min="50" max="50" width="7.140625" customWidth="1"/>
    <col min="51" max="51" width="5.140625" customWidth="1"/>
    <col min="52" max="52" width="6.28515625" customWidth="1"/>
    <col min="53" max="53" width="5.140625" customWidth="1"/>
    <col min="54" max="54" width="5.7109375" customWidth="1"/>
    <col min="55" max="55" width="5.5703125" customWidth="1"/>
    <col min="56" max="56" width="5.28515625" customWidth="1"/>
    <col min="57" max="57" width="6.5703125" customWidth="1"/>
    <col min="58" max="58" width="6.42578125" customWidth="1"/>
    <col min="59" max="59" width="7" customWidth="1"/>
    <col min="60" max="60" width="7.85546875" customWidth="1"/>
    <col min="61" max="61" width="7.42578125" customWidth="1"/>
    <col min="62" max="62" width="7.28515625" customWidth="1"/>
    <col min="63" max="63" width="4.28515625" customWidth="1"/>
    <col min="64" max="64" width="5.7109375" customWidth="1"/>
    <col min="65" max="65" width="6.5703125" customWidth="1"/>
    <col min="66" max="66" width="9.7109375" customWidth="1"/>
    <col min="67" max="67" width="5.5703125" customWidth="1"/>
    <col min="68" max="68" width="7.7109375" customWidth="1"/>
    <col min="69" max="69" width="5.28515625" customWidth="1"/>
    <col min="70" max="70" width="6" customWidth="1"/>
    <col min="71" max="71" width="9.140625" customWidth="1"/>
    <col min="72" max="72" width="6.7109375" customWidth="1"/>
    <col min="73" max="73" width="9.85546875" customWidth="1"/>
    <col min="74" max="74" width="5.85546875" style="3" customWidth="1"/>
    <col min="75" max="75" width="5.85546875" customWidth="1"/>
    <col min="76" max="77" width="5" customWidth="1"/>
    <col min="78" max="79" width="7.85546875" customWidth="1"/>
    <col min="80" max="80" width="5.28515625" customWidth="1"/>
    <col min="81" max="81" width="6.85546875" customWidth="1"/>
    <col min="83" max="83" width="5.42578125" customWidth="1"/>
    <col min="85" max="85" width="7.7109375" customWidth="1"/>
    <col min="86" max="86" width="6" customWidth="1"/>
    <col min="87" max="87" width="6.85546875" customWidth="1"/>
    <col min="88" max="88" width="6.7109375" customWidth="1"/>
    <col min="89" max="89" width="5.7109375" customWidth="1"/>
    <col min="90" max="90" width="7.5703125" customWidth="1"/>
  </cols>
  <sheetData>
    <row r="1" spans="1:74" s="4" customFormat="1" ht="45" customHeight="1" x14ac:dyDescent="0.25">
      <c r="A1" s="4" t="s">
        <v>23</v>
      </c>
      <c r="B1" s="4" t="s">
        <v>21</v>
      </c>
      <c r="C1" s="4" t="s">
        <v>19</v>
      </c>
      <c r="D1" s="4" t="s">
        <v>17</v>
      </c>
      <c r="E1" s="4" t="s">
        <v>24</v>
      </c>
      <c r="F1" s="4" t="s">
        <v>22</v>
      </c>
      <c r="G1" s="4" t="s">
        <v>20</v>
      </c>
      <c r="H1" s="4" t="s">
        <v>18</v>
      </c>
      <c r="I1" s="4" t="s">
        <v>38</v>
      </c>
      <c r="J1" s="4" t="s">
        <v>36</v>
      </c>
      <c r="K1" s="4" t="s">
        <v>34</v>
      </c>
      <c r="L1" s="4" t="s">
        <v>31</v>
      </c>
      <c r="M1" s="4" t="s">
        <v>47</v>
      </c>
      <c r="N1" s="4" t="s">
        <v>43</v>
      </c>
      <c r="O1" s="4" t="s">
        <v>44</v>
      </c>
      <c r="P1" s="4" t="s">
        <v>45</v>
      </c>
      <c r="Q1" s="4" t="s">
        <v>46</v>
      </c>
      <c r="R1" s="4" t="s">
        <v>120</v>
      </c>
      <c r="S1" s="4" t="s">
        <v>6</v>
      </c>
      <c r="T1" s="4" t="s">
        <v>78</v>
      </c>
      <c r="U1" s="4" t="s">
        <v>26</v>
      </c>
      <c r="V1" s="4" t="s">
        <v>0</v>
      </c>
      <c r="W1" s="4" t="s">
        <v>1</v>
      </c>
      <c r="X1" s="4" t="s">
        <v>2</v>
      </c>
      <c r="Y1" s="4" t="s">
        <v>3</v>
      </c>
      <c r="Z1" s="4" t="s">
        <v>51</v>
      </c>
      <c r="AA1" s="4" t="s">
        <v>48</v>
      </c>
      <c r="AB1" s="4" t="s">
        <v>27</v>
      </c>
      <c r="AC1" s="4" t="s">
        <v>4</v>
      </c>
      <c r="AD1" s="4" t="s">
        <v>5</v>
      </c>
      <c r="AE1" s="4" t="s">
        <v>32</v>
      </c>
      <c r="AF1" s="4" t="s">
        <v>39</v>
      </c>
      <c r="AG1" s="4" t="s">
        <v>28</v>
      </c>
      <c r="AH1" s="4" t="s">
        <v>7</v>
      </c>
      <c r="AI1" s="4" t="s">
        <v>8</v>
      </c>
      <c r="AJ1" s="4" t="s">
        <v>33</v>
      </c>
      <c r="AK1" s="4" t="s">
        <v>40</v>
      </c>
      <c r="AL1" s="4" t="s">
        <v>29</v>
      </c>
      <c r="AM1" s="4" t="s">
        <v>9</v>
      </c>
      <c r="AN1" s="4" t="s">
        <v>10</v>
      </c>
      <c r="AO1" s="4" t="s">
        <v>35</v>
      </c>
      <c r="AP1" s="4" t="s">
        <v>41</v>
      </c>
      <c r="AQ1" s="4" t="s">
        <v>30</v>
      </c>
      <c r="AR1" s="4" t="s">
        <v>11</v>
      </c>
      <c r="AS1" s="4" t="s">
        <v>12</v>
      </c>
      <c r="AT1" s="4" t="s">
        <v>37</v>
      </c>
      <c r="AU1" s="4" t="s">
        <v>42</v>
      </c>
      <c r="AV1" s="4" t="s">
        <v>121</v>
      </c>
      <c r="AW1" s="5" t="s">
        <v>13</v>
      </c>
      <c r="AX1" s="4" t="s">
        <v>14</v>
      </c>
      <c r="AY1" s="4" t="s">
        <v>15</v>
      </c>
      <c r="AZ1" s="4" t="s">
        <v>16</v>
      </c>
      <c r="BA1" s="4" t="s">
        <v>49</v>
      </c>
      <c r="BB1" s="4" t="s">
        <v>50</v>
      </c>
      <c r="BC1" s="4" t="s">
        <v>25</v>
      </c>
    </row>
    <row r="2" spans="1:74" x14ac:dyDescent="0.25">
      <c r="A2" s="1" t="str">
        <f xml:space="preserve"> LEFT(Sng2String(Table1[[#This Row],[c bias]]), 6)</f>
        <v>000000</v>
      </c>
      <c r="B2" s="1" t="str">
        <f xml:space="preserve"> LEFT(Sng2String(Table1[[#This Row],[a bias]]), 6)</f>
        <v>3F8000</v>
      </c>
      <c r="C2" s="1" t="str">
        <f xml:space="preserve"> LEFT(Sng2String(Table1[[#This Row],[g bias]]), 6)</f>
        <v>3F0000</v>
      </c>
      <c r="D2" s="1" t="str">
        <f xml:space="preserve"> LEFT(Sng2String(Table1[[#This Row],[t bias]]), 6)</f>
        <v>000000</v>
      </c>
      <c r="E2" s="1" t="str">
        <f xml:space="preserve"> LEFT(Sng2String(Table1[[#This Row],[c gain]]), 6)</f>
        <v>3F8000</v>
      </c>
      <c r="F2" s="1" t="str">
        <f xml:space="preserve"> LEFT(Sng2String(Table1[[#This Row],[a gain]]), 6)</f>
        <v>3F0000</v>
      </c>
      <c r="G2" s="1" t="str">
        <f xml:space="preserve"> LEFT(Sng2String(Table1[[#This Row],[g gain]]), 6)</f>
        <v>3F0000</v>
      </c>
      <c r="H2" s="1" t="str">
        <f xml:space="preserve"> LEFT(Sng2String(Table1[[#This Row],[t gain]]), 6)</f>
        <v>3F8000</v>
      </c>
      <c r="I2" t="str">
        <f xml:space="preserve"> Sng2String(Table1[[#This Row],[c ptrace]])</f>
        <v>00000000</v>
      </c>
      <c r="J2" t="str">
        <f xml:space="preserve"> Sng2String(Table1[[#This Row],[a ptrace]])</f>
        <v>3F800000</v>
      </c>
      <c r="K2" t="str">
        <f xml:space="preserve"> Sng2String(Table1[[#This Row],[g ptrace]])</f>
        <v>3F000000</v>
      </c>
      <c r="L2" t="str">
        <f>Sng2String(Table1[[#This Row],[t ptrace]])</f>
        <v>00000000</v>
      </c>
      <c r="M2" t="str">
        <f xml:space="preserve"> INDEX(SmallFP!$A$1:$A$256, Table1[[#This Row],[ISMI]]+1)</f>
        <v>3F8000</v>
      </c>
      <c r="N2" t="str">
        <f>Single2String(Table1[[#This Row],[c ctrace]])</f>
        <v>00000000</v>
      </c>
      <c r="O2" t="str">
        <f>Single2String(Table1[[#This Row],[a ctrace]])</f>
        <v>3F800000</v>
      </c>
      <c r="P2" t="str">
        <f xml:space="preserve"> Single2String(Table1[[#This Row],[g ctrace]])</f>
        <v>3F000000</v>
      </c>
      <c r="Q2" t="str">
        <f xml:space="preserve"> Single2String(Table1[[#This Row],[t ctrace]])</f>
        <v>00000000</v>
      </c>
      <c r="R2" t="str">
        <f>Single2String(Table1[[#This Row],[grn and red ctrace]])</f>
        <v>3FC00000</v>
      </c>
      <c r="S2">
        <v>0</v>
      </c>
      <c r="T2" t="str">
        <f>DEC2HEX(Table1[[#This Row],[ZMW num]])</f>
        <v>0</v>
      </c>
      <c r="U2">
        <f>Table1[[#This Row],[ZMW num]]+1</f>
        <v>1</v>
      </c>
      <c r="V2">
        <v>3</v>
      </c>
      <c r="W2">
        <v>3</v>
      </c>
      <c r="X2">
        <v>1</v>
      </c>
      <c r="Y2">
        <v>254</v>
      </c>
      <c r="Z2">
        <f>MOD(Table1[[#This Row],[ZMW num]], 2^8)</f>
        <v>0</v>
      </c>
      <c r="AA2">
        <f xml:space="preserve"> String2Single(Table1[[#This Row],[t ISIM hex]] &amp; "00")</f>
        <v>1</v>
      </c>
      <c r="AB2">
        <f>'Pulse data'!O5</f>
        <v>0</v>
      </c>
      <c r="AC2">
        <f>Table1[[#This Row],[ZMW num]]*0.01</f>
        <v>0</v>
      </c>
      <c r="AD2">
        <f>1+Table1[[#This Row],[t bias]]</f>
        <v>1</v>
      </c>
      <c r="AE2">
        <f>Table1[[#This Row],[t kinetic trace]]* String2Single(CONCATENATE(Table1[[#This Row],[t gain hex]], "00")) + String2Single(CONCATENATE(Table1[[#This Row],[t bias hex]], "00"))</f>
        <v>0</v>
      </c>
      <c r="AF2">
        <f xml:space="preserve"> Table1[[#This Row],[t ptrace]]*Table1[[#This Row],[ISM]]</f>
        <v>0</v>
      </c>
      <c r="AG2">
        <f>'Pulse data'!N5</f>
        <v>0</v>
      </c>
      <c r="AH2">
        <f>Table1[[#This Row],[t bias]]+0.5</f>
        <v>0.5</v>
      </c>
      <c r="AI2">
        <f>Table1[[#This Row],[t gain]]/2</f>
        <v>0.5</v>
      </c>
      <c r="AJ2">
        <f>Table1[[#This Row],[g kinetic trace]]* String2Single(CONCATENATE(Table1[[#This Row],[g gain hex]], "00")) + String2Single(CONCATENATE(Table1[[#This Row],[g bias hex]], "00"))</f>
        <v>0.5</v>
      </c>
      <c r="AK2">
        <f xml:space="preserve"> Table1[[#This Row],[g ptrace]]*Table1[[#This Row],[ISM]]</f>
        <v>0.5</v>
      </c>
      <c r="AL2">
        <f>'Pulse data'!M5</f>
        <v>0</v>
      </c>
      <c r="AM2">
        <f>Table1[[#This Row],[t bias]]+1</f>
        <v>1</v>
      </c>
      <c r="AN2">
        <f>Table1[[#This Row],[t gain]]-0.5</f>
        <v>0.5</v>
      </c>
      <c r="AO2">
        <f>Table1[[#This Row],[a kinetic trace]]* String2Single(CONCATENATE(Table1[[#This Row],[a gain hex]], "00")) + String2Single(CONCATENATE(Table1[[#This Row],[a bias hex]], "00"))</f>
        <v>1</v>
      </c>
      <c r="AP2">
        <f xml:space="preserve"> Table1[[#This Row],[a ptrace]]*Table1[[#This Row],[ISM]]</f>
        <v>1</v>
      </c>
      <c r="AQ2">
        <f>'Pulse data'!L5</f>
        <v>0</v>
      </c>
      <c r="AR2">
        <f>Table1[[#This Row],[t bias]]</f>
        <v>0</v>
      </c>
      <c r="AS2">
        <f>Table1[[#This Row],[t gain]]</f>
        <v>1</v>
      </c>
      <c r="AT2">
        <f>Table1[[#This Row],[c kinetic trace]]* String2Single(CONCATENATE(Table1[[#This Row],[c gain hex]], "00")) + String2Single(CONCATENATE(Table1[[#This Row],[c bias hex]], "00"))</f>
        <v>0</v>
      </c>
      <c r="AU2">
        <f xml:space="preserve"> Table1[[#This Row],[c ptrace]]*Table1[[#This Row],[ISM]]</f>
        <v>0</v>
      </c>
      <c r="AV2">
        <f xml:space="preserve"> Table1[[#This Row],[t ctrace]] + Table1[[#This Row],[g ctrace]] + Table1[[#This Row],[a ctrace]] + Table1[[#This Row],[c ctrace]]</f>
        <v>1.5</v>
      </c>
      <c r="AW2" s="2" t="str">
        <f>DEC2HEX(Table1[[#This Row],[row]], 3)</f>
        <v>003</v>
      </c>
      <c r="AX2" s="1" t="str">
        <f>DEC2HEX(Table1[[#This Row],[col]], 3)</f>
        <v>003</v>
      </c>
      <c r="AY2" s="1" t="str">
        <f>DEC2HEX(Table1[[#This Row],[grn fsp idx]], 2)</f>
        <v>01</v>
      </c>
      <c r="AZ2" s="1" t="str">
        <f>DEC2HEX(Table1[[#This Row],[red fsp idx]], 2)</f>
        <v>FE</v>
      </c>
      <c r="BA2" s="1" t="str">
        <f>DEC2HEX(Table1[[#This Row],[ISMI]], 2)</f>
        <v>00</v>
      </c>
      <c r="BB2" s="1">
        <f>LEN(Table1[[#This Row],[DRAM data]])</f>
        <v>64</v>
      </c>
      <c r="BC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00300301FE000000003F80003F00003F00003F80003F00000000003F80000002</v>
      </c>
      <c r="BV2"/>
    </row>
    <row r="3" spans="1:74" x14ac:dyDescent="0.25">
      <c r="A3" s="1" t="str">
        <f xml:space="preserve"> LEFT(Sng2String(Table1[[#This Row],[c bias]]), 6)</f>
        <v>3C23D7</v>
      </c>
      <c r="B3" s="1" t="str">
        <f xml:space="preserve"> LEFT(Sng2String(Table1[[#This Row],[a bias]]), 6)</f>
        <v>3F8147</v>
      </c>
      <c r="C3" s="1" t="str">
        <f xml:space="preserve"> LEFT(Sng2String(Table1[[#This Row],[g bias]]), 6)</f>
        <v>3F028F</v>
      </c>
      <c r="D3" s="1" t="str">
        <f xml:space="preserve"> LEFT(Sng2String(Table1[[#This Row],[t bias]]), 6)</f>
        <v>3C23D7</v>
      </c>
      <c r="E3" s="1" t="str">
        <f xml:space="preserve"> LEFT(Sng2String(Table1[[#This Row],[c gain]]), 6)</f>
        <v>3F8147</v>
      </c>
      <c r="F3" s="1" t="str">
        <f xml:space="preserve"> LEFT(Sng2String(Table1[[#This Row],[a gain]]), 6)</f>
        <v>3F028F</v>
      </c>
      <c r="G3" s="1" t="str">
        <f xml:space="preserve"> LEFT(Sng2String(Table1[[#This Row],[g gain]]), 6)</f>
        <v>3F0147</v>
      </c>
      <c r="H3" s="1" t="str">
        <f xml:space="preserve"> LEFT(Sng2String(Table1[[#This Row],[t gain]]), 6)</f>
        <v>3F8147</v>
      </c>
      <c r="I3" t="str">
        <f xml:space="preserve"> Sng2String(Table1[[#This Row],[c ptrace]])</f>
        <v>3C23D700</v>
      </c>
      <c r="J3" t="str">
        <f xml:space="preserve"> Sng2String(Table1[[#This Row],[a ptrace]])</f>
        <v>3F814700</v>
      </c>
      <c r="K3" t="str">
        <f xml:space="preserve"> Sng2String(Table1[[#This Row],[g ptrace]])</f>
        <v>3F028F00</v>
      </c>
      <c r="L3" t="str">
        <f>Sng2String(Table1[[#This Row],[t ptrace]])</f>
        <v>3C23D700</v>
      </c>
      <c r="M3" t="str">
        <f xml:space="preserve"> INDEX(SmallFP!$A$1:$A$256, Table1[[#This Row],[ISMI]]+1)</f>
        <v>400000</v>
      </c>
      <c r="N3" t="str">
        <f>Single2String(Table1[[#This Row],[c ctrace]])</f>
        <v>3CA3D700</v>
      </c>
      <c r="O3" t="str">
        <f>Single2String(Table1[[#This Row],[a ctrace]])</f>
        <v>40014700</v>
      </c>
      <c r="P3" t="str">
        <f xml:space="preserve"> Single2String(Table1[[#This Row],[g ctrace]])</f>
        <v>3F828F00</v>
      </c>
      <c r="Q3" t="str">
        <f xml:space="preserve"> Single2String(Table1[[#This Row],[t ctrace]])</f>
        <v>3CA3D700</v>
      </c>
      <c r="R3" t="str">
        <f>Single2String(Table1[[#This Row],[grn and red ctrace]])</f>
        <v>40451DDC</v>
      </c>
      <c r="S3">
        <v>1</v>
      </c>
      <c r="T3" t="str">
        <f>DEC2HEX(Table1[[#This Row],[ZMW num]])</f>
        <v>1</v>
      </c>
      <c r="U3">
        <f>Table1[[#This Row],[ZMW num]]+1</f>
        <v>2</v>
      </c>
      <c r="V3">
        <v>3</v>
      </c>
      <c r="W3">
        <v>5</v>
      </c>
      <c r="X3">
        <v>3</v>
      </c>
      <c r="Y3">
        <v>252</v>
      </c>
      <c r="Z3">
        <f>MOD(Table1[[#This Row],[ZMW num]], 2^8)</f>
        <v>1</v>
      </c>
      <c r="AA3">
        <f xml:space="preserve"> String2Single(Table1[[#This Row],[t ISIM hex]] &amp; "00")</f>
        <v>2</v>
      </c>
      <c r="AB3">
        <f>'Pulse data'!O6</f>
        <v>0</v>
      </c>
      <c r="AC3">
        <f>Table1[[#This Row],[ZMW num]]*0.01</f>
        <v>0.01</v>
      </c>
      <c r="AD3">
        <f>1+Table1[[#This Row],[t bias]]</f>
        <v>1.01</v>
      </c>
      <c r="AE3">
        <f>Table1[[#This Row],[t kinetic trace]]* String2Single(CONCATENATE(Table1[[#This Row],[t gain hex]], "00")) + String2Single(CONCATENATE(Table1[[#This Row],[t bias hex]], "00"))</f>
        <v>9.9999904632568359E-3</v>
      </c>
      <c r="AF3">
        <f xml:space="preserve"> Table1[[#This Row],[t ptrace]]*Table1[[#This Row],[ISM]]</f>
        <v>1.9999980926513672E-2</v>
      </c>
      <c r="AG3">
        <f>'Pulse data'!N6</f>
        <v>0</v>
      </c>
      <c r="AH3">
        <f>Table1[[#This Row],[t bias]]+0.5</f>
        <v>0.51</v>
      </c>
      <c r="AI3">
        <f>Table1[[#This Row],[t gain]]/2</f>
        <v>0.505</v>
      </c>
      <c r="AJ3">
        <f>Table1[[#This Row],[g kinetic trace]]* String2Single(CONCATENATE(Table1[[#This Row],[g gain hex]], "00")) + String2Single(CONCATENATE(Table1[[#This Row],[g bias hex]], "00"))</f>
        <v>0.5099945068359375</v>
      </c>
      <c r="AK3">
        <f xml:space="preserve"> Table1[[#This Row],[g ptrace]]*Table1[[#This Row],[ISM]]</f>
        <v>1.019989013671875</v>
      </c>
      <c r="AL3">
        <f>'Pulse data'!M6</f>
        <v>0</v>
      </c>
      <c r="AM3">
        <f>Table1[[#This Row],[t bias]]+1</f>
        <v>1.01</v>
      </c>
      <c r="AN3">
        <f>Table1[[#This Row],[t gain]]-0.5</f>
        <v>0.51</v>
      </c>
      <c r="AO3">
        <f>Table1[[#This Row],[a kinetic trace]]* String2Single(CONCATENATE(Table1[[#This Row],[a gain hex]], "00")) + String2Single(CONCATENATE(Table1[[#This Row],[a bias hex]], "00"))</f>
        <v>1.009979248046875</v>
      </c>
      <c r="AP3">
        <f xml:space="preserve"> Table1[[#This Row],[a ptrace]]*Table1[[#This Row],[ISM]]</f>
        <v>2.01995849609375</v>
      </c>
      <c r="AQ3">
        <f>'Pulse data'!L6</f>
        <v>0</v>
      </c>
      <c r="AR3">
        <f>Table1[[#This Row],[t bias]]</f>
        <v>0.01</v>
      </c>
      <c r="AS3">
        <f>Table1[[#This Row],[t gain]]</f>
        <v>1.01</v>
      </c>
      <c r="AT3">
        <f>Table1[[#This Row],[c kinetic trace]]* String2Single(CONCATENATE(Table1[[#This Row],[c gain hex]], "00")) + String2Single(CONCATENATE(Table1[[#This Row],[c bias hex]], "00"))</f>
        <v>9.9999904632568359E-3</v>
      </c>
      <c r="AU3">
        <f xml:space="preserve"> Table1[[#This Row],[c ptrace]]*Table1[[#This Row],[ISM]]</f>
        <v>1.9999980926513672E-2</v>
      </c>
      <c r="AV3">
        <f xml:space="preserve"> Table1[[#This Row],[t ctrace]] + Table1[[#This Row],[g ctrace]] + Table1[[#This Row],[a ctrace]] + Table1[[#This Row],[c ctrace]]</f>
        <v>3.0799474716186523</v>
      </c>
      <c r="AW3" s="2" t="str">
        <f>DEC2HEX(Table1[[#This Row],[row]], 3)</f>
        <v>003</v>
      </c>
      <c r="AX3" s="1" t="str">
        <f>DEC2HEX(Table1[[#This Row],[col]], 3)</f>
        <v>005</v>
      </c>
      <c r="AY3" s="1" t="str">
        <f>DEC2HEX(Table1[[#This Row],[grn fsp idx]], 2)</f>
        <v>03</v>
      </c>
      <c r="AZ3" s="1" t="str">
        <f>DEC2HEX(Table1[[#This Row],[red fsp idx]], 2)</f>
        <v>FC</v>
      </c>
      <c r="BA3" s="1" t="str">
        <f>DEC2HEX(Table1[[#This Row],[ISMI]], 2)</f>
        <v>01</v>
      </c>
      <c r="BB3" s="1">
        <f>LEN(Table1[[#This Row],[DRAM data]])</f>
        <v>64</v>
      </c>
      <c r="BC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00300503FC013C23D73F81473F028F3F01473F81473F028F3C23D73F81470002</v>
      </c>
      <c r="BV3"/>
    </row>
    <row r="4" spans="1:74" x14ac:dyDescent="0.25">
      <c r="A4" s="1" t="str">
        <f xml:space="preserve"> LEFT(Sng2String(Table1[[#This Row],[c bias]]), 6)</f>
        <v>3CA3D7</v>
      </c>
      <c r="B4" s="1" t="str">
        <f xml:space="preserve"> LEFT(Sng2String(Table1[[#This Row],[a bias]]), 6)</f>
        <v>3F828F</v>
      </c>
      <c r="C4" s="1" t="str">
        <f xml:space="preserve"> LEFT(Sng2String(Table1[[#This Row],[g bias]]), 6)</f>
        <v>3F051E</v>
      </c>
      <c r="D4" s="1" t="str">
        <f xml:space="preserve"> LEFT(Sng2String(Table1[[#This Row],[t bias]]), 6)</f>
        <v>3CA3D7</v>
      </c>
      <c r="E4" s="1" t="str">
        <f xml:space="preserve"> LEFT(Sng2String(Table1[[#This Row],[c gain]]), 6)</f>
        <v>3F828F</v>
      </c>
      <c r="F4" s="1" t="str">
        <f xml:space="preserve"> LEFT(Sng2String(Table1[[#This Row],[a gain]]), 6)</f>
        <v>3F051E</v>
      </c>
      <c r="G4" s="1" t="str">
        <f xml:space="preserve"> LEFT(Sng2String(Table1[[#This Row],[g gain]]), 6)</f>
        <v>3F028F</v>
      </c>
      <c r="H4" s="1" t="str">
        <f xml:space="preserve"> LEFT(Sng2String(Table1[[#This Row],[t gain]]), 6)</f>
        <v>3F828F</v>
      </c>
      <c r="I4" t="str">
        <f xml:space="preserve"> Sng2String(Table1[[#This Row],[c ptrace]])</f>
        <v>3CA3D700</v>
      </c>
      <c r="J4" t="str">
        <f xml:space="preserve"> Sng2String(Table1[[#This Row],[a ptrace]])</f>
        <v>3F828F00</v>
      </c>
      <c r="K4" t="str">
        <f xml:space="preserve"> Sng2String(Table1[[#This Row],[g ptrace]])</f>
        <v>3F051E00</v>
      </c>
      <c r="L4" t="str">
        <f>Sng2String(Table1[[#This Row],[t ptrace]])</f>
        <v>3CA3D700</v>
      </c>
      <c r="M4" t="str">
        <f xml:space="preserve"> INDEX(SmallFP!$A$1:$A$256, Table1[[#This Row],[ISMI]]+1)</f>
        <v>404000</v>
      </c>
      <c r="N4" t="str">
        <f>Single2String(Table1[[#This Row],[c ctrace]])</f>
        <v>3D75C280</v>
      </c>
      <c r="O4" t="str">
        <f>Single2String(Table1[[#This Row],[a ctrace]])</f>
        <v>4043D680</v>
      </c>
      <c r="P4" t="str">
        <f xml:space="preserve"> Single2String(Table1[[#This Row],[g ctrace]])</f>
        <v>3FC7AD00</v>
      </c>
      <c r="Q4" t="str">
        <f xml:space="preserve"> Single2String(Table1[[#This Row],[t ctrace]])</f>
        <v>3D75C280</v>
      </c>
      <c r="R4" t="str">
        <f>Single2String(Table1[[#This Row],[grn and red ctrace]])</f>
        <v>4097AD8A</v>
      </c>
      <c r="S4">
        <v>2</v>
      </c>
      <c r="T4" t="str">
        <f>DEC2HEX(Table1[[#This Row],[ZMW num]])</f>
        <v>2</v>
      </c>
      <c r="U4">
        <f>Table1[[#This Row],[ZMW num]]+1</f>
        <v>3</v>
      </c>
      <c r="V4">
        <v>3</v>
      </c>
      <c r="W4">
        <v>8</v>
      </c>
      <c r="X4">
        <v>5</v>
      </c>
      <c r="Y4">
        <v>250</v>
      </c>
      <c r="Z4">
        <f>MOD(Table1[[#This Row],[ZMW num]], 2^8)</f>
        <v>2</v>
      </c>
      <c r="AA4">
        <f xml:space="preserve"> String2Single(Table1[[#This Row],[t ISIM hex]] &amp; "00")</f>
        <v>3</v>
      </c>
      <c r="AB4">
        <f>'Pulse data'!O7</f>
        <v>0</v>
      </c>
      <c r="AC4">
        <f>Table1[[#This Row],[ZMW num]]*0.01</f>
        <v>0.02</v>
      </c>
      <c r="AD4">
        <f>1+Table1[[#This Row],[t bias]]</f>
        <v>1.02</v>
      </c>
      <c r="AE4">
        <f>Table1[[#This Row],[t kinetic trace]]* String2Single(CONCATENATE(Table1[[#This Row],[t gain hex]], "00")) + String2Single(CONCATENATE(Table1[[#This Row],[t bias hex]], "00"))</f>
        <v>1.9999980926513672E-2</v>
      </c>
      <c r="AF4">
        <f xml:space="preserve"> Table1[[#This Row],[t ptrace]]*Table1[[#This Row],[ISM]]</f>
        <v>5.9999942779541016E-2</v>
      </c>
      <c r="AG4">
        <f>'Pulse data'!N7</f>
        <v>0</v>
      </c>
      <c r="AH4">
        <f>Table1[[#This Row],[t bias]]+0.5</f>
        <v>0.52</v>
      </c>
      <c r="AI4">
        <f>Table1[[#This Row],[t gain]]/2</f>
        <v>0.51</v>
      </c>
      <c r="AJ4">
        <f>Table1[[#This Row],[g kinetic trace]]* String2Single(CONCATENATE(Table1[[#This Row],[g gain hex]], "00")) + String2Single(CONCATENATE(Table1[[#This Row],[g bias hex]], "00"))</f>
        <v>0.519989013671875</v>
      </c>
      <c r="AK4">
        <f xml:space="preserve"> Table1[[#This Row],[g ptrace]]*Table1[[#This Row],[ISM]]</f>
        <v>1.559967041015625</v>
      </c>
      <c r="AL4">
        <f>'Pulse data'!M7</f>
        <v>0</v>
      </c>
      <c r="AM4">
        <f>Table1[[#This Row],[t bias]]+1</f>
        <v>1.02</v>
      </c>
      <c r="AN4">
        <f>Table1[[#This Row],[t gain]]-0.5</f>
        <v>0.52</v>
      </c>
      <c r="AO4">
        <f>Table1[[#This Row],[a kinetic trace]]* String2Single(CONCATENATE(Table1[[#This Row],[a gain hex]], "00")) + String2Single(CONCATENATE(Table1[[#This Row],[a bias hex]], "00"))</f>
        <v>1.019989013671875</v>
      </c>
      <c r="AP4">
        <f xml:space="preserve"> Table1[[#This Row],[a ptrace]]*Table1[[#This Row],[ISM]]</f>
        <v>3.059967041015625</v>
      </c>
      <c r="AQ4">
        <f>'Pulse data'!L7</f>
        <v>0</v>
      </c>
      <c r="AR4">
        <f>Table1[[#This Row],[t bias]]</f>
        <v>0.02</v>
      </c>
      <c r="AS4">
        <f>Table1[[#This Row],[t gain]]</f>
        <v>1.02</v>
      </c>
      <c r="AT4">
        <f>Table1[[#This Row],[c kinetic trace]]* String2Single(CONCATENATE(Table1[[#This Row],[c gain hex]], "00")) + String2Single(CONCATENATE(Table1[[#This Row],[c bias hex]], "00"))</f>
        <v>1.9999980926513672E-2</v>
      </c>
      <c r="AU4">
        <f xml:space="preserve"> Table1[[#This Row],[c ptrace]]*Table1[[#This Row],[ISM]]</f>
        <v>5.9999942779541016E-2</v>
      </c>
      <c r="AV4">
        <f xml:space="preserve"> Table1[[#This Row],[t ctrace]] + Table1[[#This Row],[g ctrace]] + Table1[[#This Row],[a ctrace]] + Table1[[#This Row],[c ctrace]]</f>
        <v>4.739933967590332</v>
      </c>
      <c r="AW4" s="2" t="str">
        <f>DEC2HEX(Table1[[#This Row],[row]], 3)</f>
        <v>003</v>
      </c>
      <c r="AX4" s="1" t="str">
        <f>DEC2HEX(Table1[[#This Row],[col]], 3)</f>
        <v>008</v>
      </c>
      <c r="AY4" s="1" t="str">
        <f>DEC2HEX(Table1[[#This Row],[grn fsp idx]], 2)</f>
        <v>05</v>
      </c>
      <c r="AZ4" s="1" t="str">
        <f>DEC2HEX(Table1[[#This Row],[red fsp idx]], 2)</f>
        <v>FA</v>
      </c>
      <c r="BA4" s="1" t="str">
        <f>DEC2HEX(Table1[[#This Row],[ISMI]], 2)</f>
        <v>02</v>
      </c>
      <c r="BB4" s="1">
        <f>LEN(Table1[[#This Row],[DRAM data]])</f>
        <v>64</v>
      </c>
      <c r="BC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00300805FA023CA3D73F828F3F051E3F028F3F828F3F051E3CA3D73F828F0002</v>
      </c>
      <c r="BV4"/>
    </row>
    <row r="5" spans="1:74" x14ac:dyDescent="0.25">
      <c r="A5" s="1" t="str">
        <f xml:space="preserve"> LEFT(Sng2String(Table1[[#This Row],[c bias]]), 6)</f>
        <v>3CF5C2</v>
      </c>
      <c r="B5" s="1" t="str">
        <f xml:space="preserve"> LEFT(Sng2String(Table1[[#This Row],[a bias]]), 6)</f>
        <v>3F83D7</v>
      </c>
      <c r="C5" s="1" t="str">
        <f xml:space="preserve"> LEFT(Sng2String(Table1[[#This Row],[g bias]]), 6)</f>
        <v>3F07AE</v>
      </c>
      <c r="D5" s="1" t="str">
        <f xml:space="preserve"> LEFT(Sng2String(Table1[[#This Row],[t bias]]), 6)</f>
        <v>3CF5C2</v>
      </c>
      <c r="E5" s="1" t="str">
        <f xml:space="preserve"> LEFT(Sng2String(Table1[[#This Row],[c gain]]), 6)</f>
        <v>3F83D7</v>
      </c>
      <c r="F5" s="1" t="str">
        <f xml:space="preserve"> LEFT(Sng2String(Table1[[#This Row],[a gain]]), 6)</f>
        <v>3F07AE</v>
      </c>
      <c r="G5" s="1" t="str">
        <f xml:space="preserve"> LEFT(Sng2String(Table1[[#This Row],[g gain]]), 6)</f>
        <v>3F03D7</v>
      </c>
      <c r="H5" s="1" t="str">
        <f xml:space="preserve"> LEFT(Sng2String(Table1[[#This Row],[t gain]]), 6)</f>
        <v>3F83D7</v>
      </c>
      <c r="I5" t="str">
        <f xml:space="preserve"> Sng2String(Table1[[#This Row],[c ptrace]])</f>
        <v>3CF5C200</v>
      </c>
      <c r="J5" t="str">
        <f xml:space="preserve"> Sng2String(Table1[[#This Row],[a ptrace]])</f>
        <v>3F83D700</v>
      </c>
      <c r="K5" t="str">
        <f xml:space="preserve"> Sng2String(Table1[[#This Row],[g ptrace]])</f>
        <v>3F07AE00</v>
      </c>
      <c r="L5" t="str">
        <f>Sng2String(Table1[[#This Row],[t ptrace]])</f>
        <v>3CF5C200</v>
      </c>
      <c r="M5" t="str">
        <f xml:space="preserve"> INDEX(SmallFP!$A$1:$A$256, Table1[[#This Row],[ISMI]]+1)</f>
        <v>408000</v>
      </c>
      <c r="N5" t="str">
        <f>Single2String(Table1[[#This Row],[c ctrace]])</f>
        <v>3DF5C200</v>
      </c>
      <c r="O5" t="str">
        <f>Single2String(Table1[[#This Row],[a ctrace]])</f>
        <v>4083D700</v>
      </c>
      <c r="P5" t="str">
        <f xml:space="preserve"> Single2String(Table1[[#This Row],[g ctrace]])</f>
        <v>4007AE00</v>
      </c>
      <c r="Q5" t="str">
        <f xml:space="preserve"> Single2String(Table1[[#This Row],[t ctrace]])</f>
        <v>3DF5C200</v>
      </c>
      <c r="R5" t="str">
        <f>Single2String(Table1[[#This Row],[grn and red ctrace]])</f>
        <v>40CF5C10</v>
      </c>
      <c r="S5">
        <v>3</v>
      </c>
      <c r="T5" t="str">
        <f>DEC2HEX(Table1[[#This Row],[ZMW num]])</f>
        <v>3</v>
      </c>
      <c r="U5">
        <f>Table1[[#This Row],[ZMW num]]+1</f>
        <v>4</v>
      </c>
      <c r="V5">
        <v>3</v>
      </c>
      <c r="W5">
        <v>10</v>
      </c>
      <c r="X5">
        <v>7</v>
      </c>
      <c r="Y5">
        <v>248</v>
      </c>
      <c r="Z5">
        <f>MOD(Table1[[#This Row],[ZMW num]], 2^8)</f>
        <v>3</v>
      </c>
      <c r="AA5">
        <f xml:space="preserve"> String2Single(Table1[[#This Row],[t ISIM hex]] &amp; "00")</f>
        <v>4</v>
      </c>
      <c r="AB5">
        <f>'Pulse data'!O8</f>
        <v>0</v>
      </c>
      <c r="AC5">
        <f>Table1[[#This Row],[ZMW num]]*0.01</f>
        <v>0.03</v>
      </c>
      <c r="AD5">
        <f>1+Table1[[#This Row],[t bias]]</f>
        <v>1.03</v>
      </c>
      <c r="AE5">
        <f>Table1[[#This Row],[t kinetic trace]]* String2Single(CONCATENATE(Table1[[#This Row],[t gain hex]], "00")) + String2Single(CONCATENATE(Table1[[#This Row],[t bias hex]], "00"))</f>
        <v>2.9999732971191406E-2</v>
      </c>
      <c r="AF5">
        <f xml:space="preserve"> Table1[[#This Row],[t ptrace]]*Table1[[#This Row],[ISM]]</f>
        <v>0.11999893188476563</v>
      </c>
      <c r="AG5">
        <f>'Pulse data'!N8</f>
        <v>0</v>
      </c>
      <c r="AH5">
        <f>Table1[[#This Row],[t bias]]+0.5</f>
        <v>0.53</v>
      </c>
      <c r="AI5">
        <f>Table1[[#This Row],[t gain]]/2</f>
        <v>0.51500000000000001</v>
      </c>
      <c r="AJ5">
        <f>Table1[[#This Row],[g kinetic trace]]* String2Single(CONCATENATE(Table1[[#This Row],[g gain hex]], "00")) + String2Single(CONCATENATE(Table1[[#This Row],[g bias hex]], "00"))</f>
        <v>0.529998779296875</v>
      </c>
      <c r="AK5">
        <f xml:space="preserve"> Table1[[#This Row],[g ptrace]]*Table1[[#This Row],[ISM]]</f>
        <v>2.1199951171875</v>
      </c>
      <c r="AL5">
        <f>'Pulse data'!M8</f>
        <v>0</v>
      </c>
      <c r="AM5">
        <f>Table1[[#This Row],[t bias]]+1</f>
        <v>1.03</v>
      </c>
      <c r="AN5">
        <f>Table1[[#This Row],[t gain]]-0.5</f>
        <v>0.53</v>
      </c>
      <c r="AO5">
        <f>Table1[[#This Row],[a kinetic trace]]* String2Single(CONCATENATE(Table1[[#This Row],[a gain hex]], "00")) + String2Single(CONCATENATE(Table1[[#This Row],[a bias hex]], "00"))</f>
        <v>1.029998779296875</v>
      </c>
      <c r="AP5">
        <f xml:space="preserve"> Table1[[#This Row],[a ptrace]]*Table1[[#This Row],[ISM]]</f>
        <v>4.1199951171875</v>
      </c>
      <c r="AQ5">
        <f>'Pulse data'!L8</f>
        <v>0</v>
      </c>
      <c r="AR5">
        <f>Table1[[#This Row],[t bias]]</f>
        <v>0.03</v>
      </c>
      <c r="AS5">
        <f>Table1[[#This Row],[t gain]]</f>
        <v>1.03</v>
      </c>
      <c r="AT5">
        <f>Table1[[#This Row],[c kinetic trace]]* String2Single(CONCATENATE(Table1[[#This Row],[c gain hex]], "00")) + String2Single(CONCATENATE(Table1[[#This Row],[c bias hex]], "00"))</f>
        <v>2.9999732971191406E-2</v>
      </c>
      <c r="AU5">
        <f xml:space="preserve"> Table1[[#This Row],[c ptrace]]*Table1[[#This Row],[ISM]]</f>
        <v>0.11999893188476563</v>
      </c>
      <c r="AV5">
        <f xml:space="preserve"> Table1[[#This Row],[t ctrace]] + Table1[[#This Row],[g ctrace]] + Table1[[#This Row],[a ctrace]] + Table1[[#This Row],[c ctrace]]</f>
        <v>6.4799880981445313</v>
      </c>
      <c r="AW5" s="2" t="str">
        <f>DEC2HEX(Table1[[#This Row],[row]], 3)</f>
        <v>003</v>
      </c>
      <c r="AX5" s="1" t="str">
        <f>DEC2HEX(Table1[[#This Row],[col]], 3)</f>
        <v>00A</v>
      </c>
      <c r="AY5" s="1" t="str">
        <f>DEC2HEX(Table1[[#This Row],[grn fsp idx]], 2)</f>
        <v>07</v>
      </c>
      <c r="AZ5" s="1" t="str">
        <f>DEC2HEX(Table1[[#This Row],[red fsp idx]], 2)</f>
        <v>F8</v>
      </c>
      <c r="BA5" s="1" t="str">
        <f>DEC2HEX(Table1[[#This Row],[ISMI]], 2)</f>
        <v>03</v>
      </c>
      <c r="BB5" s="1">
        <f>LEN(Table1[[#This Row],[DRAM data]])</f>
        <v>64</v>
      </c>
      <c r="BC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00300A07F8033CF5C23F83D73F07AE3F03D73F83D73F07AE3CF5C23F83D70002</v>
      </c>
      <c r="BV5"/>
    </row>
    <row r="6" spans="1:74" x14ac:dyDescent="0.25">
      <c r="A6" s="1" t="str">
        <f xml:space="preserve"> LEFT(Sng2String(Table1[[#This Row],[c bias]]), 6)</f>
        <v>3D23D7</v>
      </c>
      <c r="B6" s="1" t="str">
        <f xml:space="preserve"> LEFT(Sng2String(Table1[[#This Row],[a bias]]), 6)</f>
        <v>3F851E</v>
      </c>
      <c r="C6" s="1" t="str">
        <f xml:space="preserve"> LEFT(Sng2String(Table1[[#This Row],[g bias]]), 6)</f>
        <v>3F0A3D</v>
      </c>
      <c r="D6" s="1" t="str">
        <f xml:space="preserve"> LEFT(Sng2String(Table1[[#This Row],[t bias]]), 6)</f>
        <v>3D23D7</v>
      </c>
      <c r="E6" s="1" t="str">
        <f xml:space="preserve"> LEFT(Sng2String(Table1[[#This Row],[c gain]]), 6)</f>
        <v>3F851E</v>
      </c>
      <c r="F6" s="1" t="str">
        <f xml:space="preserve"> LEFT(Sng2String(Table1[[#This Row],[a gain]]), 6)</f>
        <v>3F0A3D</v>
      </c>
      <c r="G6" s="1" t="str">
        <f xml:space="preserve"> LEFT(Sng2String(Table1[[#This Row],[g gain]]), 6)</f>
        <v>3F051E</v>
      </c>
      <c r="H6" s="1" t="str">
        <f xml:space="preserve"> LEFT(Sng2String(Table1[[#This Row],[t gain]]), 6)</f>
        <v>3F851E</v>
      </c>
      <c r="I6" t="str">
        <f xml:space="preserve"> Sng2String(Table1[[#This Row],[c ptrace]])</f>
        <v>3D23D700</v>
      </c>
      <c r="J6" t="str">
        <f xml:space="preserve"> Sng2String(Table1[[#This Row],[a ptrace]])</f>
        <v>3F851E00</v>
      </c>
      <c r="K6" t="str">
        <f xml:space="preserve"> Sng2String(Table1[[#This Row],[g ptrace]])</f>
        <v>3F0A3D00</v>
      </c>
      <c r="L6" t="str">
        <f>Sng2String(Table1[[#This Row],[t ptrace]])</f>
        <v>3D23D700</v>
      </c>
      <c r="M6" t="str">
        <f xml:space="preserve"> INDEX(SmallFP!$A$1:$A$256, Table1[[#This Row],[ISMI]]+1)</f>
        <v>40A000</v>
      </c>
      <c r="N6" t="str">
        <f>Single2String(Table1[[#This Row],[c ctrace]])</f>
        <v>3E4CCCC0</v>
      </c>
      <c r="O6" t="str">
        <f>Single2String(Table1[[#This Row],[a ctrace]])</f>
        <v>40A66580</v>
      </c>
      <c r="P6" t="str">
        <f xml:space="preserve"> Single2String(Table1[[#This Row],[g ctrace]])</f>
        <v>402CCC40</v>
      </c>
      <c r="Q6" t="str">
        <f xml:space="preserve"> Single2String(Table1[[#This Row],[t ctrace]])</f>
        <v>3E4CCCC0</v>
      </c>
      <c r="R6" t="str">
        <f>Single2String(Table1[[#This Row],[grn and red ctrace]])</f>
        <v>4104CC36</v>
      </c>
      <c r="S6">
        <v>4</v>
      </c>
      <c r="T6" t="str">
        <f>DEC2HEX(Table1[[#This Row],[ZMW num]])</f>
        <v>4</v>
      </c>
      <c r="U6">
        <f>Table1[[#This Row],[ZMW num]]+1</f>
        <v>5</v>
      </c>
      <c r="V6">
        <v>3</v>
      </c>
      <c r="W6">
        <v>14</v>
      </c>
      <c r="X6">
        <v>9</v>
      </c>
      <c r="Y6">
        <v>246</v>
      </c>
      <c r="Z6">
        <f>MOD(Table1[[#This Row],[ZMW num]], 2^8)</f>
        <v>4</v>
      </c>
      <c r="AA6">
        <f xml:space="preserve"> String2Single(Table1[[#This Row],[t ISIM hex]] &amp; "00")</f>
        <v>5</v>
      </c>
      <c r="AB6">
        <f>'Pulse data'!O9</f>
        <v>0</v>
      </c>
      <c r="AC6">
        <f>Table1[[#This Row],[ZMW num]]*0.01</f>
        <v>0.04</v>
      </c>
      <c r="AD6">
        <f>1+Table1[[#This Row],[t bias]]</f>
        <v>1.04</v>
      </c>
      <c r="AE6">
        <f>Table1[[#This Row],[t kinetic trace]]* String2Single(CONCATENATE(Table1[[#This Row],[t gain hex]], "00")) + String2Single(CONCATENATE(Table1[[#This Row],[t bias hex]], "00"))</f>
        <v>3.9999961853027344E-2</v>
      </c>
      <c r="AF6">
        <f xml:space="preserve"> Table1[[#This Row],[t ptrace]]*Table1[[#This Row],[ISM]]</f>
        <v>0.19999980926513672</v>
      </c>
      <c r="AG6">
        <f>'Pulse data'!N9</f>
        <v>0</v>
      </c>
      <c r="AH6">
        <f>Table1[[#This Row],[t bias]]+0.5</f>
        <v>0.54</v>
      </c>
      <c r="AI6">
        <f>Table1[[#This Row],[t gain]]/2</f>
        <v>0.52</v>
      </c>
      <c r="AJ6">
        <f>Table1[[#This Row],[g kinetic trace]]* String2Single(CONCATENATE(Table1[[#This Row],[g gain hex]], "00")) + String2Single(CONCATENATE(Table1[[#This Row],[g bias hex]], "00"))</f>
        <v>0.5399932861328125</v>
      </c>
      <c r="AK6">
        <f xml:space="preserve"> Table1[[#This Row],[g ptrace]]*Table1[[#This Row],[ISM]]</f>
        <v>2.6999664306640625</v>
      </c>
      <c r="AL6">
        <f>'Pulse data'!M9</f>
        <v>0</v>
      </c>
      <c r="AM6">
        <f>Table1[[#This Row],[t bias]]+1</f>
        <v>1.04</v>
      </c>
      <c r="AN6">
        <f>Table1[[#This Row],[t gain]]-0.5</f>
        <v>0.54</v>
      </c>
      <c r="AO6">
        <f>Table1[[#This Row],[a kinetic trace]]* String2Single(CONCATENATE(Table1[[#This Row],[a gain hex]], "00")) + String2Single(CONCATENATE(Table1[[#This Row],[a bias hex]], "00"))</f>
        <v>1.03997802734375</v>
      </c>
      <c r="AP6">
        <f xml:space="preserve"> Table1[[#This Row],[a ptrace]]*Table1[[#This Row],[ISM]]</f>
        <v>5.19989013671875</v>
      </c>
      <c r="AQ6">
        <f>'Pulse data'!L9</f>
        <v>0</v>
      </c>
      <c r="AR6">
        <f>Table1[[#This Row],[t bias]]</f>
        <v>0.04</v>
      </c>
      <c r="AS6">
        <f>Table1[[#This Row],[t gain]]</f>
        <v>1.04</v>
      </c>
      <c r="AT6">
        <f>Table1[[#This Row],[c kinetic trace]]* String2Single(CONCATENATE(Table1[[#This Row],[c gain hex]], "00")) + String2Single(CONCATENATE(Table1[[#This Row],[c bias hex]], "00"))</f>
        <v>3.9999961853027344E-2</v>
      </c>
      <c r="AU6">
        <f xml:space="preserve"> Table1[[#This Row],[c ptrace]]*Table1[[#This Row],[ISM]]</f>
        <v>0.19999980926513672</v>
      </c>
      <c r="AV6">
        <f xml:space="preserve"> Table1[[#This Row],[t ctrace]] + Table1[[#This Row],[g ctrace]] + Table1[[#This Row],[a ctrace]] + Table1[[#This Row],[c ctrace]]</f>
        <v>8.2998561859130859</v>
      </c>
      <c r="AW6" s="2" t="str">
        <f>DEC2HEX(Table1[[#This Row],[row]], 3)</f>
        <v>003</v>
      </c>
      <c r="AX6" s="1" t="str">
        <f>DEC2HEX(Table1[[#This Row],[col]], 3)</f>
        <v>00E</v>
      </c>
      <c r="AY6" s="1" t="str">
        <f>DEC2HEX(Table1[[#This Row],[grn fsp idx]], 2)</f>
        <v>09</v>
      </c>
      <c r="AZ6" s="1" t="str">
        <f>DEC2HEX(Table1[[#This Row],[red fsp idx]], 2)</f>
        <v>F6</v>
      </c>
      <c r="BA6" s="1" t="str">
        <f>DEC2HEX(Table1[[#This Row],[ISMI]], 2)</f>
        <v>04</v>
      </c>
      <c r="BB6" s="1">
        <f>LEN(Table1[[#This Row],[DRAM data]])</f>
        <v>64</v>
      </c>
      <c r="BC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00300E09F6043D23D73F851E3F0A3D3F051E3F851E3F0A3D3D23D73F851E0002</v>
      </c>
      <c r="BV6"/>
    </row>
    <row r="7" spans="1:74" x14ac:dyDescent="0.25">
      <c r="A7" s="1" t="str">
        <f xml:space="preserve"> LEFT(Sng2String(Table1[[#This Row],[c bias]]), 6)</f>
        <v>3D4CCC</v>
      </c>
      <c r="B7" s="1" t="str">
        <f xml:space="preserve"> LEFT(Sng2String(Table1[[#This Row],[a bias]]), 6)</f>
        <v>3F8666</v>
      </c>
      <c r="C7" s="1" t="str">
        <f xml:space="preserve"> LEFT(Sng2String(Table1[[#This Row],[g bias]]), 6)</f>
        <v>3F0CCC</v>
      </c>
      <c r="D7" s="1" t="str">
        <f xml:space="preserve"> LEFT(Sng2String(Table1[[#This Row],[t bias]]), 6)</f>
        <v>3D4CCC</v>
      </c>
      <c r="E7" s="1" t="str">
        <f xml:space="preserve"> LEFT(Sng2String(Table1[[#This Row],[c gain]]), 6)</f>
        <v>3F8666</v>
      </c>
      <c r="F7" s="1" t="str">
        <f xml:space="preserve"> LEFT(Sng2String(Table1[[#This Row],[a gain]]), 6)</f>
        <v>3F0CCC</v>
      </c>
      <c r="G7" s="1" t="str">
        <f xml:space="preserve"> LEFT(Sng2String(Table1[[#This Row],[g gain]]), 6)</f>
        <v>3F0666</v>
      </c>
      <c r="H7" s="1" t="str">
        <f xml:space="preserve"> LEFT(Sng2String(Table1[[#This Row],[t gain]]), 6)</f>
        <v>3F8666</v>
      </c>
      <c r="I7" t="str">
        <f xml:space="preserve"> Sng2String(Table1[[#This Row],[c ptrace]])</f>
        <v>3D4CCC00</v>
      </c>
      <c r="J7" t="str">
        <f xml:space="preserve"> Sng2String(Table1[[#This Row],[a ptrace]])</f>
        <v>3F866600</v>
      </c>
      <c r="K7" t="str">
        <f xml:space="preserve"> Sng2String(Table1[[#This Row],[g ptrace]])</f>
        <v>3F0CCC00</v>
      </c>
      <c r="L7" t="str">
        <f>Sng2String(Table1[[#This Row],[t ptrace]])</f>
        <v>3D4CCC00</v>
      </c>
      <c r="M7" t="str">
        <f xml:space="preserve"> INDEX(SmallFP!$A$1:$A$256, Table1[[#This Row],[ISMI]]+1)</f>
        <v>40C000</v>
      </c>
      <c r="N7" t="str">
        <f>Single2String(Table1[[#This Row],[c ctrace]])</f>
        <v>3E999900</v>
      </c>
      <c r="O7" t="str">
        <f>Single2String(Table1[[#This Row],[a ctrace]])</f>
        <v>40C99900</v>
      </c>
      <c r="P7" t="str">
        <f xml:space="preserve"> Single2String(Table1[[#This Row],[g ctrace]])</f>
        <v>40533200</v>
      </c>
      <c r="Q7" t="str">
        <f xml:space="preserve"> Single2String(Table1[[#This Row],[t ctrace]])</f>
        <v>3E999900</v>
      </c>
      <c r="R7" t="str">
        <f>Single2String(Table1[[#This Row],[grn and red ctrace]])</f>
        <v>41233290</v>
      </c>
      <c r="S7">
        <v>5</v>
      </c>
      <c r="T7" t="str">
        <f>DEC2HEX(Table1[[#This Row],[ZMW num]])</f>
        <v>5</v>
      </c>
      <c r="U7">
        <f>Table1[[#This Row],[ZMW num]]+1</f>
        <v>6</v>
      </c>
      <c r="V7">
        <v>3</v>
      </c>
      <c r="W7">
        <v>15</v>
      </c>
      <c r="X7">
        <v>11</v>
      </c>
      <c r="Y7">
        <v>244</v>
      </c>
      <c r="Z7">
        <f>MOD(Table1[[#This Row],[ZMW num]], 2^8)</f>
        <v>5</v>
      </c>
      <c r="AA7">
        <f xml:space="preserve"> String2Single(Table1[[#This Row],[t ISIM hex]] &amp; "00")</f>
        <v>6</v>
      </c>
      <c r="AB7">
        <f>'Pulse data'!O10</f>
        <v>0</v>
      </c>
      <c r="AC7">
        <f>Table1[[#This Row],[ZMW num]]*0.01</f>
        <v>0.05</v>
      </c>
      <c r="AD7">
        <f>1+Table1[[#This Row],[t bias]]</f>
        <v>1.05</v>
      </c>
      <c r="AE7">
        <f>Table1[[#This Row],[t kinetic trace]]* String2Single(CONCATENATE(Table1[[#This Row],[t gain hex]], "00")) + String2Single(CONCATENATE(Table1[[#This Row],[t bias hex]], "00"))</f>
        <v>4.9999237060546875E-2</v>
      </c>
      <c r="AF7">
        <f xml:space="preserve"> Table1[[#This Row],[t ptrace]]*Table1[[#This Row],[ISM]]</f>
        <v>0.29999542236328125</v>
      </c>
      <c r="AG7">
        <f>'Pulse data'!N10</f>
        <v>0</v>
      </c>
      <c r="AH7">
        <f>Table1[[#This Row],[t bias]]+0.5</f>
        <v>0.55000000000000004</v>
      </c>
      <c r="AI7">
        <f>Table1[[#This Row],[t gain]]/2</f>
        <v>0.52500000000000002</v>
      </c>
      <c r="AJ7">
        <f>Table1[[#This Row],[g kinetic trace]]* String2Single(CONCATENATE(Table1[[#This Row],[g gain hex]], "00")) + String2Single(CONCATENATE(Table1[[#This Row],[g bias hex]], "00"))</f>
        <v>0.54998779296875</v>
      </c>
      <c r="AK7">
        <f xml:space="preserve"> Table1[[#This Row],[g ptrace]]*Table1[[#This Row],[ISM]]</f>
        <v>3.2999267578125</v>
      </c>
      <c r="AL7">
        <f>'Pulse data'!M10</f>
        <v>0</v>
      </c>
      <c r="AM7">
        <f>Table1[[#This Row],[t bias]]+1</f>
        <v>1.05</v>
      </c>
      <c r="AN7">
        <f>Table1[[#This Row],[t gain]]-0.5</f>
        <v>0.55000000000000004</v>
      </c>
      <c r="AO7">
        <f>Table1[[#This Row],[a kinetic trace]]* String2Single(CONCATENATE(Table1[[#This Row],[a gain hex]], "00")) + String2Single(CONCATENATE(Table1[[#This Row],[a bias hex]], "00"))</f>
        <v>1.04998779296875</v>
      </c>
      <c r="AP7">
        <f xml:space="preserve"> Table1[[#This Row],[a ptrace]]*Table1[[#This Row],[ISM]]</f>
        <v>6.2999267578125</v>
      </c>
      <c r="AQ7">
        <f>'Pulse data'!L10</f>
        <v>0</v>
      </c>
      <c r="AR7">
        <f>Table1[[#This Row],[t bias]]</f>
        <v>0.05</v>
      </c>
      <c r="AS7">
        <f>Table1[[#This Row],[t gain]]</f>
        <v>1.05</v>
      </c>
      <c r="AT7">
        <f>Table1[[#This Row],[c kinetic trace]]* String2Single(CONCATENATE(Table1[[#This Row],[c gain hex]], "00")) + String2Single(CONCATENATE(Table1[[#This Row],[c bias hex]], "00"))</f>
        <v>4.9999237060546875E-2</v>
      </c>
      <c r="AU7">
        <f xml:space="preserve"> Table1[[#This Row],[c ptrace]]*Table1[[#This Row],[ISM]]</f>
        <v>0.29999542236328125</v>
      </c>
      <c r="AV7">
        <f xml:space="preserve"> Table1[[#This Row],[t ctrace]] + Table1[[#This Row],[g ctrace]] + Table1[[#This Row],[a ctrace]] + Table1[[#This Row],[c ctrace]]</f>
        <v>10.199844360351562</v>
      </c>
      <c r="AW7" s="2" t="str">
        <f>DEC2HEX(Table1[[#This Row],[row]], 3)</f>
        <v>003</v>
      </c>
      <c r="AX7" s="1" t="str">
        <f>DEC2HEX(Table1[[#This Row],[col]], 3)</f>
        <v>00F</v>
      </c>
      <c r="AY7" s="1" t="str">
        <f>DEC2HEX(Table1[[#This Row],[grn fsp idx]], 2)</f>
        <v>0B</v>
      </c>
      <c r="AZ7" s="1" t="str">
        <f>DEC2HEX(Table1[[#This Row],[red fsp idx]], 2)</f>
        <v>F4</v>
      </c>
      <c r="BA7" s="1" t="str">
        <f>DEC2HEX(Table1[[#This Row],[ISMI]], 2)</f>
        <v>05</v>
      </c>
      <c r="BB7" s="1">
        <f>LEN(Table1[[#This Row],[DRAM data]])</f>
        <v>64</v>
      </c>
      <c r="BC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00300F0BF4053D4CCC3F86663F0CCC3F06663F86663F0CCC3D4CCC3F86660002</v>
      </c>
      <c r="BV7"/>
    </row>
    <row r="8" spans="1:74" x14ac:dyDescent="0.25">
      <c r="A8" s="1" t="str">
        <f xml:space="preserve"> LEFT(Sng2String(Table1[[#This Row],[c bias]]), 6)</f>
        <v>3D75C2</v>
      </c>
      <c r="B8" s="1" t="str">
        <f xml:space="preserve"> LEFT(Sng2String(Table1[[#This Row],[a bias]]), 6)</f>
        <v>3F87AE</v>
      </c>
      <c r="C8" s="1" t="str">
        <f xml:space="preserve"> LEFT(Sng2String(Table1[[#This Row],[g bias]]), 6)</f>
        <v>3F0F5C</v>
      </c>
      <c r="D8" s="1" t="str">
        <f xml:space="preserve"> LEFT(Sng2String(Table1[[#This Row],[t bias]]), 6)</f>
        <v>3D75C2</v>
      </c>
      <c r="E8" s="1" t="str">
        <f xml:space="preserve"> LEFT(Sng2String(Table1[[#This Row],[c gain]]), 6)</f>
        <v>3F87AE</v>
      </c>
      <c r="F8" s="1" t="str">
        <f xml:space="preserve"> LEFT(Sng2String(Table1[[#This Row],[a gain]]), 6)</f>
        <v>3F0F5C</v>
      </c>
      <c r="G8" s="1" t="str">
        <f xml:space="preserve"> LEFT(Sng2String(Table1[[#This Row],[g gain]]), 6)</f>
        <v>3F07AE</v>
      </c>
      <c r="H8" s="1" t="str">
        <f xml:space="preserve"> LEFT(Sng2String(Table1[[#This Row],[t gain]]), 6)</f>
        <v>3F87AE</v>
      </c>
      <c r="I8" t="str">
        <f xml:space="preserve"> Sng2String(Table1[[#This Row],[c ptrace]])</f>
        <v>3D75C200</v>
      </c>
      <c r="J8" t="str">
        <f xml:space="preserve"> Sng2String(Table1[[#This Row],[a ptrace]])</f>
        <v>3F87AE00</v>
      </c>
      <c r="K8" t="str">
        <f xml:space="preserve"> Sng2String(Table1[[#This Row],[g ptrace]])</f>
        <v>3F0F5C00</v>
      </c>
      <c r="L8" t="str">
        <f>Sng2String(Table1[[#This Row],[t ptrace]])</f>
        <v>3D75C200</v>
      </c>
      <c r="M8" t="str">
        <f xml:space="preserve"> INDEX(SmallFP!$A$1:$A$256, Table1[[#This Row],[ISMI]]+1)</f>
        <v>40E000</v>
      </c>
      <c r="N8" t="str">
        <f>Single2String(Table1[[#This Row],[c ctrace]])</f>
        <v>3ED709C0</v>
      </c>
      <c r="O8" t="str">
        <f>Single2String(Table1[[#This Row],[a ctrace]])</f>
        <v>40ED7080</v>
      </c>
      <c r="P8" t="str">
        <f xml:space="preserve"> Single2String(Table1[[#This Row],[g ctrace]])</f>
        <v>407AE100</v>
      </c>
      <c r="Q8" t="str">
        <f xml:space="preserve"> Single2String(Table1[[#This Row],[t ctrace]])</f>
        <v>3ED709C0</v>
      </c>
      <c r="R8" t="str">
        <f>Single2String(Table1[[#This Row],[grn and red ctrace]])</f>
        <v>4142E11C</v>
      </c>
      <c r="S8">
        <v>6</v>
      </c>
      <c r="T8" t="str">
        <f>DEC2HEX(Table1[[#This Row],[ZMW num]])</f>
        <v>6</v>
      </c>
      <c r="U8">
        <f>Table1[[#This Row],[ZMW num]]+1</f>
        <v>7</v>
      </c>
      <c r="V8">
        <v>3</v>
      </c>
      <c r="W8">
        <v>18</v>
      </c>
      <c r="X8">
        <v>13</v>
      </c>
      <c r="Y8">
        <v>242</v>
      </c>
      <c r="Z8">
        <f>MOD(Table1[[#This Row],[ZMW num]], 2^8)</f>
        <v>6</v>
      </c>
      <c r="AA8">
        <f xml:space="preserve"> String2Single(Table1[[#This Row],[t ISIM hex]] &amp; "00")</f>
        <v>7</v>
      </c>
      <c r="AB8">
        <f>'Pulse data'!O11</f>
        <v>0</v>
      </c>
      <c r="AC8">
        <f>Table1[[#This Row],[ZMW num]]*0.01</f>
        <v>0.06</v>
      </c>
      <c r="AD8">
        <f>1+Table1[[#This Row],[t bias]]</f>
        <v>1.06</v>
      </c>
      <c r="AE8">
        <f>Table1[[#This Row],[t kinetic trace]]* String2Single(CONCATENATE(Table1[[#This Row],[t gain hex]], "00")) + String2Single(CONCATENATE(Table1[[#This Row],[t bias hex]], "00"))</f>
        <v>5.9999465942382813E-2</v>
      </c>
      <c r="AF8">
        <f xml:space="preserve"> Table1[[#This Row],[t ptrace]]*Table1[[#This Row],[ISM]]</f>
        <v>0.41999626159667969</v>
      </c>
      <c r="AG8">
        <f>'Pulse data'!N11</f>
        <v>0</v>
      </c>
      <c r="AH8">
        <f>Table1[[#This Row],[t bias]]+0.5</f>
        <v>0.56000000000000005</v>
      </c>
      <c r="AI8">
        <f>Table1[[#This Row],[t gain]]/2</f>
        <v>0.53</v>
      </c>
      <c r="AJ8">
        <f>Table1[[#This Row],[g kinetic trace]]* String2Single(CONCATENATE(Table1[[#This Row],[g gain hex]], "00")) + String2Single(CONCATENATE(Table1[[#This Row],[g bias hex]], "00"))</f>
        <v>0.55999755859375</v>
      </c>
      <c r="AK8">
        <f xml:space="preserve"> Table1[[#This Row],[g ptrace]]*Table1[[#This Row],[ISM]]</f>
        <v>3.91998291015625</v>
      </c>
      <c r="AL8">
        <f>'Pulse data'!M11</f>
        <v>0</v>
      </c>
      <c r="AM8">
        <f>Table1[[#This Row],[t bias]]+1</f>
        <v>1.06</v>
      </c>
      <c r="AN8">
        <f>Table1[[#This Row],[t gain]]-0.5</f>
        <v>0.56000000000000005</v>
      </c>
      <c r="AO8">
        <f>Table1[[#This Row],[a kinetic trace]]* String2Single(CONCATENATE(Table1[[#This Row],[a gain hex]], "00")) + String2Single(CONCATENATE(Table1[[#This Row],[a bias hex]], "00"))</f>
        <v>1.05999755859375</v>
      </c>
      <c r="AP8">
        <f xml:space="preserve"> Table1[[#This Row],[a ptrace]]*Table1[[#This Row],[ISM]]</f>
        <v>7.41998291015625</v>
      </c>
      <c r="AQ8">
        <f>'Pulse data'!L11</f>
        <v>0</v>
      </c>
      <c r="AR8">
        <f>Table1[[#This Row],[t bias]]</f>
        <v>0.06</v>
      </c>
      <c r="AS8">
        <f>Table1[[#This Row],[t gain]]</f>
        <v>1.06</v>
      </c>
      <c r="AT8">
        <f>Table1[[#This Row],[c kinetic trace]]* String2Single(CONCATENATE(Table1[[#This Row],[c gain hex]], "00")) + String2Single(CONCATENATE(Table1[[#This Row],[c bias hex]], "00"))</f>
        <v>5.9999465942382813E-2</v>
      </c>
      <c r="AU8">
        <f xml:space="preserve"> Table1[[#This Row],[c ptrace]]*Table1[[#This Row],[ISM]]</f>
        <v>0.41999626159667969</v>
      </c>
      <c r="AV8">
        <f xml:space="preserve"> Table1[[#This Row],[t ctrace]] + Table1[[#This Row],[g ctrace]] + Table1[[#This Row],[a ctrace]] + Table1[[#This Row],[c ctrace]]</f>
        <v>12.179958343505859</v>
      </c>
      <c r="AW8" s="2" t="str">
        <f>DEC2HEX(Table1[[#This Row],[row]], 3)</f>
        <v>003</v>
      </c>
      <c r="AX8" s="1" t="str">
        <f>DEC2HEX(Table1[[#This Row],[col]], 3)</f>
        <v>012</v>
      </c>
      <c r="AY8" s="1" t="str">
        <f>DEC2HEX(Table1[[#This Row],[grn fsp idx]], 2)</f>
        <v>0D</v>
      </c>
      <c r="AZ8" s="1" t="str">
        <f>DEC2HEX(Table1[[#This Row],[red fsp idx]], 2)</f>
        <v>F2</v>
      </c>
      <c r="BA8" s="1" t="str">
        <f>DEC2HEX(Table1[[#This Row],[ISMI]], 2)</f>
        <v>06</v>
      </c>
      <c r="BB8" s="1">
        <f>LEN(Table1[[#This Row],[DRAM data]])</f>
        <v>64</v>
      </c>
      <c r="BC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0030120DF2063D75C23F87AE3F0F5C3F07AE3F87AE3F0F5C3D75C23F87AE0002</v>
      </c>
      <c r="BV8"/>
    </row>
    <row r="9" spans="1:74" x14ac:dyDescent="0.25">
      <c r="A9" s="1" t="str">
        <f xml:space="preserve"> LEFT(Sng2String(Table1[[#This Row],[c bias]]), 6)</f>
        <v>3D8F5C</v>
      </c>
      <c r="B9" s="1" t="str">
        <f xml:space="preserve"> LEFT(Sng2String(Table1[[#This Row],[a bias]]), 6)</f>
        <v>3F88F5</v>
      </c>
      <c r="C9" s="1" t="str">
        <f xml:space="preserve"> LEFT(Sng2String(Table1[[#This Row],[g bias]]), 6)</f>
        <v>3F11EB</v>
      </c>
      <c r="D9" s="1" t="str">
        <f xml:space="preserve"> LEFT(Sng2String(Table1[[#This Row],[t bias]]), 6)</f>
        <v>3D8F5C</v>
      </c>
      <c r="E9" s="1" t="str">
        <f xml:space="preserve"> LEFT(Sng2String(Table1[[#This Row],[c gain]]), 6)</f>
        <v>3F88F5</v>
      </c>
      <c r="F9" s="1" t="str">
        <f xml:space="preserve"> LEFT(Sng2String(Table1[[#This Row],[a gain]]), 6)</f>
        <v>3F11EB</v>
      </c>
      <c r="G9" s="1" t="str">
        <f xml:space="preserve"> LEFT(Sng2String(Table1[[#This Row],[g gain]]), 6)</f>
        <v>3F08F5</v>
      </c>
      <c r="H9" s="1" t="str">
        <f xml:space="preserve"> LEFT(Sng2String(Table1[[#This Row],[t gain]]), 6)</f>
        <v>3F88F5</v>
      </c>
      <c r="I9" t="str">
        <f xml:space="preserve"> Sng2String(Table1[[#This Row],[c ptrace]])</f>
        <v>3D8F5C00</v>
      </c>
      <c r="J9" t="str">
        <f xml:space="preserve"> Sng2String(Table1[[#This Row],[a ptrace]])</f>
        <v>3F88F500</v>
      </c>
      <c r="K9" t="str">
        <f xml:space="preserve"> Sng2String(Table1[[#This Row],[g ptrace]])</f>
        <v>3F11EB00</v>
      </c>
      <c r="L9" t="str">
        <f>Sng2String(Table1[[#This Row],[t ptrace]])</f>
        <v>3D8F5C00</v>
      </c>
      <c r="M9" t="str">
        <f xml:space="preserve"> INDEX(SmallFP!$A$1:$A$256, Table1[[#This Row],[ISMI]]+1)</f>
        <v>410000</v>
      </c>
      <c r="N9" t="str">
        <f>Single2String(Table1[[#This Row],[c ctrace]])</f>
        <v>3F0F5C00</v>
      </c>
      <c r="O9" t="str">
        <f>Single2String(Table1[[#This Row],[a ctrace]])</f>
        <v>4108F500</v>
      </c>
      <c r="P9" t="str">
        <f xml:space="preserve"> Single2String(Table1[[#This Row],[g ctrace]])</f>
        <v>4091EB00</v>
      </c>
      <c r="Q9" t="str">
        <f xml:space="preserve"> Single2String(Table1[[#This Row],[t ctrace]])</f>
        <v>3F0F5C00</v>
      </c>
      <c r="R9" t="str">
        <f>Single2String(Table1[[#This Row],[grn and red ctrace]])</f>
        <v>4163D600</v>
      </c>
      <c r="S9">
        <v>7</v>
      </c>
      <c r="T9" t="str">
        <f>DEC2HEX(Table1[[#This Row],[ZMW num]])</f>
        <v>7</v>
      </c>
      <c r="U9">
        <f>Table1[[#This Row],[ZMW num]]+1</f>
        <v>8</v>
      </c>
      <c r="V9">
        <v>3</v>
      </c>
      <c r="W9">
        <v>21</v>
      </c>
      <c r="X9">
        <v>15</v>
      </c>
      <c r="Y9">
        <v>240</v>
      </c>
      <c r="Z9">
        <f>MOD(Table1[[#This Row],[ZMW num]], 2^8)</f>
        <v>7</v>
      </c>
      <c r="AA9">
        <f xml:space="preserve"> String2Single(Table1[[#This Row],[t ISIM hex]] &amp; "00")</f>
        <v>8</v>
      </c>
      <c r="AB9">
        <f>'Pulse data'!O12</f>
        <v>0</v>
      </c>
      <c r="AC9">
        <f>Table1[[#This Row],[ZMW num]]*0.01</f>
        <v>7.0000000000000007E-2</v>
      </c>
      <c r="AD9">
        <f>1+Table1[[#This Row],[t bias]]</f>
        <v>1.07</v>
      </c>
      <c r="AE9">
        <f>Table1[[#This Row],[t kinetic trace]]* String2Single(CONCATENATE(Table1[[#This Row],[t gain hex]], "00")) + String2Single(CONCATENATE(Table1[[#This Row],[t bias hex]], "00"))</f>
        <v>6.999969482421875E-2</v>
      </c>
      <c r="AF9">
        <f xml:space="preserve"> Table1[[#This Row],[t ptrace]]*Table1[[#This Row],[ISM]]</f>
        <v>0.55999755859375</v>
      </c>
      <c r="AG9">
        <f>'Pulse data'!N12</f>
        <v>0</v>
      </c>
      <c r="AH9">
        <f>Table1[[#This Row],[t bias]]+0.5</f>
        <v>0.57000000000000006</v>
      </c>
      <c r="AI9">
        <f>Table1[[#This Row],[t gain]]/2</f>
        <v>0.53500000000000003</v>
      </c>
      <c r="AJ9">
        <f>Table1[[#This Row],[g kinetic trace]]* String2Single(CONCATENATE(Table1[[#This Row],[g gain hex]], "00")) + String2Single(CONCATENATE(Table1[[#This Row],[g bias hex]], "00"))</f>
        <v>0.5699920654296875</v>
      </c>
      <c r="AK9">
        <f xml:space="preserve"> Table1[[#This Row],[g ptrace]]*Table1[[#This Row],[ISM]]</f>
        <v>4.5599365234375</v>
      </c>
      <c r="AL9">
        <f>'Pulse data'!M12</f>
        <v>0</v>
      </c>
      <c r="AM9">
        <f>Table1[[#This Row],[t bias]]+1</f>
        <v>1.07</v>
      </c>
      <c r="AN9">
        <f>Table1[[#This Row],[t gain]]-0.5</f>
        <v>0.57000000000000006</v>
      </c>
      <c r="AO9">
        <f>Table1[[#This Row],[a kinetic trace]]* String2Single(CONCATENATE(Table1[[#This Row],[a gain hex]], "00")) + String2Single(CONCATENATE(Table1[[#This Row],[a bias hex]], "00"))</f>
        <v>1.069976806640625</v>
      </c>
      <c r="AP9">
        <f xml:space="preserve"> Table1[[#This Row],[a ptrace]]*Table1[[#This Row],[ISM]]</f>
        <v>8.559814453125</v>
      </c>
      <c r="AQ9">
        <f>'Pulse data'!L12</f>
        <v>0</v>
      </c>
      <c r="AR9">
        <f>Table1[[#This Row],[t bias]]</f>
        <v>7.0000000000000007E-2</v>
      </c>
      <c r="AS9">
        <f>Table1[[#This Row],[t gain]]</f>
        <v>1.07</v>
      </c>
      <c r="AT9">
        <f>Table1[[#This Row],[c kinetic trace]]* String2Single(CONCATENATE(Table1[[#This Row],[c gain hex]], "00")) + String2Single(CONCATENATE(Table1[[#This Row],[c bias hex]], "00"))</f>
        <v>6.999969482421875E-2</v>
      </c>
      <c r="AU9">
        <f xml:space="preserve"> Table1[[#This Row],[c ptrace]]*Table1[[#This Row],[ISM]]</f>
        <v>0.55999755859375</v>
      </c>
      <c r="AV9">
        <f xml:space="preserve"> Table1[[#This Row],[t ctrace]] + Table1[[#This Row],[g ctrace]] + Table1[[#This Row],[a ctrace]] + Table1[[#This Row],[c ctrace]]</f>
        <v>14.23974609375</v>
      </c>
      <c r="AW9" s="2" t="str">
        <f>DEC2HEX(Table1[[#This Row],[row]], 3)</f>
        <v>003</v>
      </c>
      <c r="AX9" s="1" t="str">
        <f>DEC2HEX(Table1[[#This Row],[col]], 3)</f>
        <v>015</v>
      </c>
      <c r="AY9" s="1" t="str">
        <f>DEC2HEX(Table1[[#This Row],[grn fsp idx]], 2)</f>
        <v>0F</v>
      </c>
      <c r="AZ9" s="1" t="str">
        <f>DEC2HEX(Table1[[#This Row],[red fsp idx]], 2)</f>
        <v>F0</v>
      </c>
      <c r="BA9" s="1" t="str">
        <f>DEC2HEX(Table1[[#This Row],[ISMI]], 2)</f>
        <v>07</v>
      </c>
      <c r="BB9" s="1">
        <f>LEN(Table1[[#This Row],[DRAM data]])</f>
        <v>64</v>
      </c>
      <c r="BC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0030150FF0073D8F5C3F88F53F11EB3F08F53F88F53F11EB3D8F5C3F88F50002</v>
      </c>
      <c r="BV9"/>
    </row>
    <row r="10" spans="1:74" x14ac:dyDescent="0.25">
      <c r="A10" s="1" t="str">
        <f xml:space="preserve"> LEFT(Sng2String(Table1[[#This Row],[c bias]]), 6)</f>
        <v>3DA3D7</v>
      </c>
      <c r="B10" s="1" t="str">
        <f xml:space="preserve"> LEFT(Sng2String(Table1[[#This Row],[a bias]]), 6)</f>
        <v>3F8A3D</v>
      </c>
      <c r="C10" s="1" t="str">
        <f xml:space="preserve"> LEFT(Sng2String(Table1[[#This Row],[g bias]]), 6)</f>
        <v>3F147A</v>
      </c>
      <c r="D10" s="1" t="str">
        <f xml:space="preserve"> LEFT(Sng2String(Table1[[#This Row],[t bias]]), 6)</f>
        <v>3DA3D7</v>
      </c>
      <c r="E10" s="1" t="str">
        <f xml:space="preserve"> LEFT(Sng2String(Table1[[#This Row],[c gain]]), 6)</f>
        <v>3F8A3D</v>
      </c>
      <c r="F10" s="1" t="str">
        <f xml:space="preserve"> LEFT(Sng2String(Table1[[#This Row],[a gain]]), 6)</f>
        <v>3F147A</v>
      </c>
      <c r="G10" s="1" t="str">
        <f xml:space="preserve"> LEFT(Sng2String(Table1[[#This Row],[g gain]]), 6)</f>
        <v>3F0A3D</v>
      </c>
      <c r="H10" s="1" t="str">
        <f xml:space="preserve"> LEFT(Sng2String(Table1[[#This Row],[t gain]]), 6)</f>
        <v>3F8A3D</v>
      </c>
      <c r="I10" t="str">
        <f xml:space="preserve"> Sng2String(Table1[[#This Row],[c ptrace]])</f>
        <v>3DA3D700</v>
      </c>
      <c r="J10" t="str">
        <f xml:space="preserve"> Sng2String(Table1[[#This Row],[a ptrace]])</f>
        <v>3F8A3D00</v>
      </c>
      <c r="K10" t="str">
        <f xml:space="preserve"> Sng2String(Table1[[#This Row],[g ptrace]])</f>
        <v>3F147A00</v>
      </c>
      <c r="L10" t="str">
        <f>Sng2String(Table1[[#This Row],[t ptrace]])</f>
        <v>3DA3D700</v>
      </c>
      <c r="M10" t="str">
        <f xml:space="preserve"> INDEX(SmallFP!$A$1:$A$256, Table1[[#This Row],[ISMI]]+1)</f>
        <v>411000</v>
      </c>
      <c r="N10" t="str">
        <f>Single2String(Table1[[#This Row],[c ctrace]])</f>
        <v>3F3851E0</v>
      </c>
      <c r="O10" t="str">
        <f>Single2String(Table1[[#This Row],[a ctrace]])</f>
        <v>411B84A0</v>
      </c>
      <c r="P10" t="str">
        <f xml:space="preserve"> Single2String(Table1[[#This Row],[g ctrace]])</f>
        <v>40A70940</v>
      </c>
      <c r="Q10" t="str">
        <f xml:space="preserve"> Single2String(Table1[[#This Row],[t ctrace]])</f>
        <v>3F3851E0</v>
      </c>
      <c r="R10" t="str">
        <f>Single2String(Table1[[#This Row],[grn and red ctrace]])</f>
        <v>418309BE</v>
      </c>
      <c r="S10">
        <v>8</v>
      </c>
      <c r="T10" t="str">
        <f>DEC2HEX(Table1[[#This Row],[ZMW num]])</f>
        <v>8</v>
      </c>
      <c r="U10">
        <f>Table1[[#This Row],[ZMW num]]+1</f>
        <v>9</v>
      </c>
      <c r="V10">
        <v>3</v>
      </c>
      <c r="W10">
        <v>24</v>
      </c>
      <c r="X10">
        <v>17</v>
      </c>
      <c r="Y10">
        <v>238</v>
      </c>
      <c r="Z10">
        <f>MOD(Table1[[#This Row],[ZMW num]], 2^8)</f>
        <v>8</v>
      </c>
      <c r="AA10">
        <f xml:space="preserve"> String2Single(Table1[[#This Row],[t ISIM hex]] &amp; "00")</f>
        <v>9</v>
      </c>
      <c r="AB10">
        <f>'Pulse data'!O13</f>
        <v>0</v>
      </c>
      <c r="AC10">
        <f>Table1[[#This Row],[ZMW num]]*0.01</f>
        <v>0.08</v>
      </c>
      <c r="AD10">
        <f>1+Table1[[#This Row],[t bias]]</f>
        <v>1.08</v>
      </c>
      <c r="AE10">
        <f>Table1[[#This Row],[t kinetic trace]]* String2Single(CONCATENATE(Table1[[#This Row],[t gain hex]], "00")) + String2Single(CONCATENATE(Table1[[#This Row],[t bias hex]], "00"))</f>
        <v>7.9999923706054688E-2</v>
      </c>
      <c r="AF10">
        <f xml:space="preserve"> Table1[[#This Row],[t ptrace]]*Table1[[#This Row],[ISM]]</f>
        <v>0.71999931335449219</v>
      </c>
      <c r="AG10">
        <f>'Pulse data'!N13</f>
        <v>0</v>
      </c>
      <c r="AH10">
        <f>Table1[[#This Row],[t bias]]+0.5</f>
        <v>0.57999999999999996</v>
      </c>
      <c r="AI10">
        <f>Table1[[#This Row],[t gain]]/2</f>
        <v>0.54</v>
      </c>
      <c r="AJ10">
        <f>Table1[[#This Row],[g kinetic trace]]* String2Single(CONCATENATE(Table1[[#This Row],[g gain hex]], "00")) + String2Single(CONCATENATE(Table1[[#This Row],[g bias hex]], "00"))</f>
        <v>0.579986572265625</v>
      </c>
      <c r="AK10">
        <f xml:space="preserve"> Table1[[#This Row],[g ptrace]]*Table1[[#This Row],[ISM]]</f>
        <v>5.219879150390625</v>
      </c>
      <c r="AL10">
        <f>'Pulse data'!M13</f>
        <v>0</v>
      </c>
      <c r="AM10">
        <f>Table1[[#This Row],[t bias]]+1</f>
        <v>1.08</v>
      </c>
      <c r="AN10">
        <f>Table1[[#This Row],[t gain]]-0.5</f>
        <v>0.58000000000000007</v>
      </c>
      <c r="AO10">
        <f>Table1[[#This Row],[a kinetic trace]]* String2Single(CONCATENATE(Table1[[#This Row],[a gain hex]], "00")) + String2Single(CONCATENATE(Table1[[#This Row],[a bias hex]], "00"))</f>
        <v>1.079986572265625</v>
      </c>
      <c r="AP10">
        <f xml:space="preserve"> Table1[[#This Row],[a ptrace]]*Table1[[#This Row],[ISM]]</f>
        <v>9.719879150390625</v>
      </c>
      <c r="AQ10">
        <f>'Pulse data'!L13</f>
        <v>0</v>
      </c>
      <c r="AR10">
        <f>Table1[[#This Row],[t bias]]</f>
        <v>0.08</v>
      </c>
      <c r="AS10">
        <f>Table1[[#This Row],[t gain]]</f>
        <v>1.08</v>
      </c>
      <c r="AT10">
        <f>Table1[[#This Row],[c kinetic trace]]* String2Single(CONCATENATE(Table1[[#This Row],[c gain hex]], "00")) + String2Single(CONCATENATE(Table1[[#This Row],[c bias hex]], "00"))</f>
        <v>7.9999923706054688E-2</v>
      </c>
      <c r="AU10">
        <f xml:space="preserve"> Table1[[#This Row],[c ptrace]]*Table1[[#This Row],[ISM]]</f>
        <v>0.71999931335449219</v>
      </c>
      <c r="AV10">
        <f xml:space="preserve"> Table1[[#This Row],[t ctrace]] + Table1[[#This Row],[g ctrace]] + Table1[[#This Row],[a ctrace]] + Table1[[#This Row],[c ctrace]]</f>
        <v>16.379756927490234</v>
      </c>
      <c r="AW10" s="2" t="str">
        <f>DEC2HEX(Table1[[#This Row],[row]], 3)</f>
        <v>003</v>
      </c>
      <c r="AX10" s="1" t="str">
        <f>DEC2HEX(Table1[[#This Row],[col]], 3)</f>
        <v>018</v>
      </c>
      <c r="AY10" s="1" t="str">
        <f>DEC2HEX(Table1[[#This Row],[grn fsp idx]], 2)</f>
        <v>11</v>
      </c>
      <c r="AZ10" s="1" t="str">
        <f>DEC2HEX(Table1[[#This Row],[red fsp idx]], 2)</f>
        <v>EE</v>
      </c>
      <c r="BA10" s="1" t="str">
        <f>DEC2HEX(Table1[[#This Row],[ISMI]], 2)</f>
        <v>08</v>
      </c>
      <c r="BB10" s="1">
        <f>LEN(Table1[[#This Row],[DRAM data]])</f>
        <v>64</v>
      </c>
      <c r="BC1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00301811EE083DA3D73F8A3D3F147A3F0A3D3F8A3D3F147A3DA3D73F8A3D0002</v>
      </c>
      <c r="BV10"/>
    </row>
    <row r="11" spans="1:74" x14ac:dyDescent="0.25">
      <c r="A11" s="1" t="str">
        <f xml:space="preserve"> LEFT(Sng2String(Table1[[#This Row],[c bias]]), 6)</f>
        <v>3DB851</v>
      </c>
      <c r="B11" s="1" t="str">
        <f xml:space="preserve"> LEFT(Sng2String(Table1[[#This Row],[a bias]]), 6)</f>
        <v>3F8B85</v>
      </c>
      <c r="C11" s="1" t="str">
        <f xml:space="preserve"> LEFT(Sng2String(Table1[[#This Row],[g bias]]), 6)</f>
        <v>3F170A</v>
      </c>
      <c r="D11" s="1" t="str">
        <f xml:space="preserve"> LEFT(Sng2String(Table1[[#This Row],[t bias]]), 6)</f>
        <v>3DB851</v>
      </c>
      <c r="E11" s="1" t="str">
        <f xml:space="preserve"> LEFT(Sng2String(Table1[[#This Row],[c gain]]), 6)</f>
        <v>3F8B85</v>
      </c>
      <c r="F11" s="1" t="str">
        <f xml:space="preserve"> LEFT(Sng2String(Table1[[#This Row],[a gain]]), 6)</f>
        <v>3F170A</v>
      </c>
      <c r="G11" s="1" t="str">
        <f xml:space="preserve"> LEFT(Sng2String(Table1[[#This Row],[g gain]]), 6)</f>
        <v>3F0B85</v>
      </c>
      <c r="H11" s="1" t="str">
        <f xml:space="preserve"> LEFT(Sng2String(Table1[[#This Row],[t gain]]), 6)</f>
        <v>3F8B85</v>
      </c>
      <c r="I11" t="str">
        <f xml:space="preserve"> Sng2String(Table1[[#This Row],[c ptrace]])</f>
        <v>3DB85100</v>
      </c>
      <c r="J11" t="str">
        <f xml:space="preserve"> Sng2String(Table1[[#This Row],[a ptrace]])</f>
        <v>3F8B8500</v>
      </c>
      <c r="K11" t="str">
        <f xml:space="preserve"> Sng2String(Table1[[#This Row],[g ptrace]])</f>
        <v>3F170A00</v>
      </c>
      <c r="L11" t="str">
        <f>Sng2String(Table1[[#This Row],[t ptrace]])</f>
        <v>3DB85100</v>
      </c>
      <c r="M11" t="str">
        <f xml:space="preserve"> INDEX(SmallFP!$A$1:$A$256, Table1[[#This Row],[ISMI]]+1)</f>
        <v>412000</v>
      </c>
      <c r="N11" t="str">
        <f>Single2String(Table1[[#This Row],[c ctrace]])</f>
        <v>3F666540</v>
      </c>
      <c r="O11" t="str">
        <f>Single2String(Table1[[#This Row],[a ctrace]])</f>
        <v>412E6640</v>
      </c>
      <c r="P11" t="str">
        <f xml:space="preserve"> Single2String(Table1[[#This Row],[g ctrace]])</f>
        <v>40BCCC80</v>
      </c>
      <c r="Q11" t="str">
        <f xml:space="preserve"> Single2String(Table1[[#This Row],[t ctrace]])</f>
        <v>3F666540</v>
      </c>
      <c r="R11" t="str">
        <f>Single2String(Table1[[#This Row],[grn and red ctrace]])</f>
        <v>4194CC94</v>
      </c>
      <c r="S11">
        <v>9</v>
      </c>
      <c r="T11" t="str">
        <f>DEC2HEX(Table1[[#This Row],[ZMW num]])</f>
        <v>9</v>
      </c>
      <c r="U11">
        <f>Table1[[#This Row],[ZMW num]]+1</f>
        <v>10</v>
      </c>
      <c r="V11">
        <v>3</v>
      </c>
      <c r="W11">
        <v>28</v>
      </c>
      <c r="X11">
        <v>19</v>
      </c>
      <c r="Y11">
        <v>236</v>
      </c>
      <c r="Z11">
        <f>MOD(Table1[[#This Row],[ZMW num]], 2^8)</f>
        <v>9</v>
      </c>
      <c r="AA11">
        <f xml:space="preserve"> String2Single(Table1[[#This Row],[t ISIM hex]] &amp; "00")</f>
        <v>10</v>
      </c>
      <c r="AB11">
        <f>'Pulse data'!O14</f>
        <v>0</v>
      </c>
      <c r="AC11">
        <f>Table1[[#This Row],[ZMW num]]*0.01</f>
        <v>0.09</v>
      </c>
      <c r="AD11">
        <f>1+Table1[[#This Row],[t bias]]</f>
        <v>1.0900000000000001</v>
      </c>
      <c r="AE11">
        <f>Table1[[#This Row],[t kinetic trace]]* String2Single(CONCATENATE(Table1[[#This Row],[t gain hex]], "00")) + String2Single(CONCATENATE(Table1[[#This Row],[t bias hex]], "00"))</f>
        <v>8.9998245239257813E-2</v>
      </c>
      <c r="AF11">
        <f xml:space="preserve"> Table1[[#This Row],[t ptrace]]*Table1[[#This Row],[ISM]]</f>
        <v>0.89998245239257813</v>
      </c>
      <c r="AG11">
        <f>'Pulse data'!N14</f>
        <v>0</v>
      </c>
      <c r="AH11">
        <f>Table1[[#This Row],[t bias]]+0.5</f>
        <v>0.59</v>
      </c>
      <c r="AI11">
        <f>Table1[[#This Row],[t gain]]/2</f>
        <v>0.54500000000000004</v>
      </c>
      <c r="AJ11">
        <f>Table1[[#This Row],[g kinetic trace]]* String2Single(CONCATENATE(Table1[[#This Row],[g gain hex]], "00")) + String2Single(CONCATENATE(Table1[[#This Row],[g bias hex]], "00"))</f>
        <v>0.589996337890625</v>
      </c>
      <c r="AK11">
        <f xml:space="preserve"> Table1[[#This Row],[g ptrace]]*Table1[[#This Row],[ISM]]</f>
        <v>5.89996337890625</v>
      </c>
      <c r="AL11">
        <f>'Pulse data'!M14</f>
        <v>0</v>
      </c>
      <c r="AM11">
        <f>Table1[[#This Row],[t bias]]+1</f>
        <v>1.0900000000000001</v>
      </c>
      <c r="AN11">
        <f>Table1[[#This Row],[t gain]]-0.5</f>
        <v>0.59000000000000008</v>
      </c>
      <c r="AO11">
        <f>Table1[[#This Row],[a kinetic trace]]* String2Single(CONCATENATE(Table1[[#This Row],[a gain hex]], "00")) + String2Single(CONCATENATE(Table1[[#This Row],[a bias hex]], "00"))</f>
        <v>1.089996337890625</v>
      </c>
      <c r="AP11">
        <f xml:space="preserve"> Table1[[#This Row],[a ptrace]]*Table1[[#This Row],[ISM]]</f>
        <v>10.89996337890625</v>
      </c>
      <c r="AQ11">
        <f>'Pulse data'!L14</f>
        <v>0</v>
      </c>
      <c r="AR11">
        <f>Table1[[#This Row],[t bias]]</f>
        <v>0.09</v>
      </c>
      <c r="AS11">
        <f>Table1[[#This Row],[t gain]]</f>
        <v>1.0900000000000001</v>
      </c>
      <c r="AT11">
        <f>Table1[[#This Row],[c kinetic trace]]* String2Single(CONCATENATE(Table1[[#This Row],[c gain hex]], "00")) + String2Single(CONCATENATE(Table1[[#This Row],[c bias hex]], "00"))</f>
        <v>8.9998245239257813E-2</v>
      </c>
      <c r="AU11">
        <f xml:space="preserve"> Table1[[#This Row],[c ptrace]]*Table1[[#This Row],[ISM]]</f>
        <v>0.89998245239257813</v>
      </c>
      <c r="AV11">
        <f xml:space="preserve"> Table1[[#This Row],[t ctrace]] + Table1[[#This Row],[g ctrace]] + Table1[[#This Row],[a ctrace]] + Table1[[#This Row],[c ctrace]]</f>
        <v>18.599891662597656</v>
      </c>
      <c r="AW11" s="2" t="str">
        <f>DEC2HEX(Table1[[#This Row],[row]], 3)</f>
        <v>003</v>
      </c>
      <c r="AX11" s="1" t="str">
        <f>DEC2HEX(Table1[[#This Row],[col]], 3)</f>
        <v>01C</v>
      </c>
      <c r="AY11" s="1" t="str">
        <f>DEC2HEX(Table1[[#This Row],[grn fsp idx]], 2)</f>
        <v>13</v>
      </c>
      <c r="AZ11" s="1" t="str">
        <f>DEC2HEX(Table1[[#This Row],[red fsp idx]], 2)</f>
        <v>EC</v>
      </c>
      <c r="BA11" s="1" t="str">
        <f>DEC2HEX(Table1[[#This Row],[ISMI]], 2)</f>
        <v>09</v>
      </c>
      <c r="BB11" s="1">
        <f>LEN(Table1[[#This Row],[DRAM data]])</f>
        <v>64</v>
      </c>
      <c r="BC1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00301C13EC093DB8513F8B853F170A3F0B853F8B853F170A3DB8513F8B850002</v>
      </c>
      <c r="BV11"/>
    </row>
    <row r="12" spans="1:74" x14ac:dyDescent="0.25">
      <c r="A12" s="1" t="str">
        <f xml:space="preserve"> LEFT(Sng2String(Table1[[#This Row],[c bias]]), 6)</f>
        <v>3DCCCC</v>
      </c>
      <c r="B12" s="1" t="str">
        <f xml:space="preserve"> LEFT(Sng2String(Table1[[#This Row],[a bias]]), 6)</f>
        <v>3F8CCC</v>
      </c>
      <c r="C12" s="1" t="str">
        <f xml:space="preserve"> LEFT(Sng2String(Table1[[#This Row],[g bias]]), 6)</f>
        <v>3F1999</v>
      </c>
      <c r="D12" s="1" t="str">
        <f xml:space="preserve"> LEFT(Sng2String(Table1[[#This Row],[t bias]]), 6)</f>
        <v>3DCCCC</v>
      </c>
      <c r="E12" s="1" t="str">
        <f xml:space="preserve"> LEFT(Sng2String(Table1[[#This Row],[c gain]]), 6)</f>
        <v>3F8CCC</v>
      </c>
      <c r="F12" s="1" t="str">
        <f xml:space="preserve"> LEFT(Sng2String(Table1[[#This Row],[a gain]]), 6)</f>
        <v>3F1999</v>
      </c>
      <c r="G12" s="1" t="str">
        <f xml:space="preserve"> LEFT(Sng2String(Table1[[#This Row],[g gain]]), 6)</f>
        <v>3F0CCC</v>
      </c>
      <c r="H12" s="1" t="str">
        <f xml:space="preserve"> LEFT(Sng2String(Table1[[#This Row],[t gain]]), 6)</f>
        <v>3F8CCC</v>
      </c>
      <c r="I12" t="str">
        <f xml:space="preserve"> Sng2String(Table1[[#This Row],[c ptrace]])</f>
        <v>3DCCCC00</v>
      </c>
      <c r="J12" t="str">
        <f xml:space="preserve"> Sng2String(Table1[[#This Row],[a ptrace]])</f>
        <v>3F8CCC00</v>
      </c>
      <c r="K12" t="str">
        <f xml:space="preserve"> Sng2String(Table1[[#This Row],[g ptrace]])</f>
        <v>3F199900</v>
      </c>
      <c r="L12" t="str">
        <f>Sng2String(Table1[[#This Row],[t ptrace]])</f>
        <v>3DCCCC00</v>
      </c>
      <c r="M12" t="str">
        <f xml:space="preserve"> INDEX(SmallFP!$A$1:$A$256, Table1[[#This Row],[ISMI]]+1)</f>
        <v>413000</v>
      </c>
      <c r="N12" t="str">
        <f>Single2String(Table1[[#This Row],[c ctrace]])</f>
        <v>3F8CCC40</v>
      </c>
      <c r="O12" t="str">
        <f>Single2String(Table1[[#This Row],[a ctrace]])</f>
        <v>41419880</v>
      </c>
      <c r="P12" t="str">
        <f xml:space="preserve"> Single2String(Table1[[#This Row],[g ctrace]])</f>
        <v>40D33260</v>
      </c>
      <c r="Q12" t="str">
        <f xml:space="preserve"> Single2String(Table1[[#This Row],[t ctrace]])</f>
        <v>3F8CCC40</v>
      </c>
      <c r="R12" t="str">
        <f>Single2String(Table1[[#This Row],[grn and red ctrace]])</f>
        <v>41A73260</v>
      </c>
      <c r="S12">
        <v>10</v>
      </c>
      <c r="T12" t="str">
        <f>DEC2HEX(Table1[[#This Row],[ZMW num]])</f>
        <v>A</v>
      </c>
      <c r="U12">
        <f>Table1[[#This Row],[ZMW num]]+1</f>
        <v>11</v>
      </c>
      <c r="V12">
        <v>3</v>
      </c>
      <c r="W12">
        <v>32</v>
      </c>
      <c r="X12">
        <v>21</v>
      </c>
      <c r="Y12">
        <v>234</v>
      </c>
      <c r="Z12">
        <f>MOD(Table1[[#This Row],[ZMW num]], 2^8)</f>
        <v>10</v>
      </c>
      <c r="AA12">
        <f xml:space="preserve"> String2Single(Table1[[#This Row],[t ISIM hex]] &amp; "00")</f>
        <v>11</v>
      </c>
      <c r="AB12">
        <f>'Pulse data'!O15</f>
        <v>0</v>
      </c>
      <c r="AC12">
        <f>Table1[[#This Row],[ZMW num]]*0.01</f>
        <v>0.1</v>
      </c>
      <c r="AD12">
        <f>1+Table1[[#This Row],[t bias]]</f>
        <v>1.1000000000000001</v>
      </c>
      <c r="AE12">
        <f>Table1[[#This Row],[t kinetic trace]]* String2Single(CONCATENATE(Table1[[#This Row],[t gain hex]], "00")) + String2Single(CONCATENATE(Table1[[#This Row],[t bias hex]], "00"))</f>
        <v>9.999847412109375E-2</v>
      </c>
      <c r="AF12">
        <f xml:space="preserve"> Table1[[#This Row],[t ptrace]]*Table1[[#This Row],[ISM]]</f>
        <v>1.0999832153320313</v>
      </c>
      <c r="AG12">
        <f>'Pulse data'!N15</f>
        <v>0</v>
      </c>
      <c r="AH12">
        <f>Table1[[#This Row],[t bias]]+0.5</f>
        <v>0.6</v>
      </c>
      <c r="AI12">
        <f>Table1[[#This Row],[t gain]]/2</f>
        <v>0.55000000000000004</v>
      </c>
      <c r="AJ12">
        <f>Table1[[#This Row],[g kinetic trace]]* String2Single(CONCATENATE(Table1[[#This Row],[g gain hex]], "00")) + String2Single(CONCATENATE(Table1[[#This Row],[g bias hex]], "00"))</f>
        <v>0.5999908447265625</v>
      </c>
      <c r="AK12">
        <f xml:space="preserve"> Table1[[#This Row],[g ptrace]]*Table1[[#This Row],[ISM]]</f>
        <v>6.5998992919921875</v>
      </c>
      <c r="AL12">
        <f>'Pulse data'!M15</f>
        <v>0</v>
      </c>
      <c r="AM12">
        <f>Table1[[#This Row],[t bias]]+1</f>
        <v>1.1000000000000001</v>
      </c>
      <c r="AN12">
        <f>Table1[[#This Row],[t gain]]-0.5</f>
        <v>0.60000000000000009</v>
      </c>
      <c r="AO12">
        <f>Table1[[#This Row],[a kinetic trace]]* String2Single(CONCATENATE(Table1[[#This Row],[a gain hex]], "00")) + String2Single(CONCATENATE(Table1[[#This Row],[a bias hex]], "00"))</f>
        <v>1.0999755859375</v>
      </c>
      <c r="AP12">
        <f xml:space="preserve"> Table1[[#This Row],[a ptrace]]*Table1[[#This Row],[ISM]]</f>
        <v>12.0997314453125</v>
      </c>
      <c r="AQ12">
        <f>'Pulse data'!L15</f>
        <v>0</v>
      </c>
      <c r="AR12">
        <f>Table1[[#This Row],[t bias]]</f>
        <v>0.1</v>
      </c>
      <c r="AS12">
        <f>Table1[[#This Row],[t gain]]</f>
        <v>1.1000000000000001</v>
      </c>
      <c r="AT12">
        <f>Table1[[#This Row],[c kinetic trace]]* String2Single(CONCATENATE(Table1[[#This Row],[c gain hex]], "00")) + String2Single(CONCATENATE(Table1[[#This Row],[c bias hex]], "00"))</f>
        <v>9.999847412109375E-2</v>
      </c>
      <c r="AU12">
        <f xml:space="preserve"> Table1[[#This Row],[c ptrace]]*Table1[[#This Row],[ISM]]</f>
        <v>1.0999832153320313</v>
      </c>
      <c r="AV12">
        <f xml:space="preserve"> Table1[[#This Row],[t ctrace]] + Table1[[#This Row],[g ctrace]] + Table1[[#This Row],[a ctrace]] + Table1[[#This Row],[c ctrace]]</f>
        <v>20.89959716796875</v>
      </c>
      <c r="AW12" s="2" t="str">
        <f>DEC2HEX(Table1[[#This Row],[row]], 3)</f>
        <v>003</v>
      </c>
      <c r="AX12" s="1" t="str">
        <f>DEC2HEX(Table1[[#This Row],[col]], 3)</f>
        <v>020</v>
      </c>
      <c r="AY12" s="1" t="str">
        <f>DEC2HEX(Table1[[#This Row],[grn fsp idx]], 2)</f>
        <v>15</v>
      </c>
      <c r="AZ12" s="1" t="str">
        <f>DEC2HEX(Table1[[#This Row],[red fsp idx]], 2)</f>
        <v>EA</v>
      </c>
      <c r="BA12" s="1" t="str">
        <f>DEC2HEX(Table1[[#This Row],[ISMI]], 2)</f>
        <v>0A</v>
      </c>
      <c r="BB12" s="1">
        <f>LEN(Table1[[#This Row],[DRAM data]])</f>
        <v>64</v>
      </c>
      <c r="BC1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00302015EA0A3DCCCC3F8CCC3F19993F0CCC3F8CCC3F19993DCCCC3F8CCC0002</v>
      </c>
      <c r="BV12"/>
    </row>
    <row r="13" spans="1:74" x14ac:dyDescent="0.25">
      <c r="A13" s="1" t="str">
        <f xml:space="preserve"> LEFT(Sng2String(Table1[[#This Row],[c bias]]), 6)</f>
        <v>3DE147</v>
      </c>
      <c r="B13" s="1" t="str">
        <f xml:space="preserve"> LEFT(Sng2String(Table1[[#This Row],[a bias]]), 6)</f>
        <v>3F8E14</v>
      </c>
      <c r="C13" s="1" t="str">
        <f xml:space="preserve"> LEFT(Sng2String(Table1[[#This Row],[g bias]]), 6)</f>
        <v>3F1C28</v>
      </c>
      <c r="D13" s="1" t="str">
        <f xml:space="preserve"> LEFT(Sng2String(Table1[[#This Row],[t bias]]), 6)</f>
        <v>3DE147</v>
      </c>
      <c r="E13" s="1" t="str">
        <f xml:space="preserve"> LEFT(Sng2String(Table1[[#This Row],[c gain]]), 6)</f>
        <v>3F8E14</v>
      </c>
      <c r="F13" s="1" t="str">
        <f xml:space="preserve"> LEFT(Sng2String(Table1[[#This Row],[a gain]]), 6)</f>
        <v>3F1C28</v>
      </c>
      <c r="G13" s="1" t="str">
        <f xml:space="preserve"> LEFT(Sng2String(Table1[[#This Row],[g gain]]), 6)</f>
        <v>3F0E14</v>
      </c>
      <c r="H13" s="1" t="str">
        <f xml:space="preserve"> LEFT(Sng2String(Table1[[#This Row],[t gain]]), 6)</f>
        <v>3F8E14</v>
      </c>
      <c r="I13" t="str">
        <f xml:space="preserve"> Sng2String(Table1[[#This Row],[c ptrace]])</f>
        <v>3DE14700</v>
      </c>
      <c r="J13" t="str">
        <f xml:space="preserve"> Sng2String(Table1[[#This Row],[a ptrace]])</f>
        <v>3F8E1400</v>
      </c>
      <c r="K13" t="str">
        <f xml:space="preserve"> Sng2String(Table1[[#This Row],[g ptrace]])</f>
        <v>3F1C2800</v>
      </c>
      <c r="L13" t="str">
        <f>Sng2String(Table1[[#This Row],[t ptrace]])</f>
        <v>3DE14700</v>
      </c>
      <c r="M13" t="str">
        <f xml:space="preserve"> INDEX(SmallFP!$A$1:$A$256, Table1[[#This Row],[ISMI]]+1)</f>
        <v>414000</v>
      </c>
      <c r="N13" t="str">
        <f>Single2String(Table1[[#This Row],[c ctrace]])</f>
        <v>3FA8F540</v>
      </c>
      <c r="O13" t="str">
        <f>Single2String(Table1[[#This Row],[a ctrace]])</f>
        <v>41551E00</v>
      </c>
      <c r="P13" t="str">
        <f xml:space="preserve"> Single2String(Table1[[#This Row],[g ctrace]])</f>
        <v>40EA3C00</v>
      </c>
      <c r="Q13" t="str">
        <f xml:space="preserve"> Single2String(Table1[[#This Row],[t ctrace]])</f>
        <v>3FA8F540</v>
      </c>
      <c r="R13" t="str">
        <f>Single2String(Table1[[#This Row],[grn and red ctrace]])</f>
        <v>41BA3CA8</v>
      </c>
      <c r="S13">
        <v>11</v>
      </c>
      <c r="T13" t="str">
        <f>DEC2HEX(Table1[[#This Row],[ZMW num]])</f>
        <v>B</v>
      </c>
      <c r="U13">
        <f>Table1[[#This Row],[ZMW num]]+1</f>
        <v>12</v>
      </c>
      <c r="V13">
        <v>3</v>
      </c>
      <c r="W13">
        <v>35</v>
      </c>
      <c r="X13">
        <v>23</v>
      </c>
      <c r="Y13">
        <v>232</v>
      </c>
      <c r="Z13">
        <f>MOD(Table1[[#This Row],[ZMW num]], 2^8)</f>
        <v>11</v>
      </c>
      <c r="AA13">
        <f xml:space="preserve"> String2Single(Table1[[#This Row],[t ISIM hex]] &amp; "00")</f>
        <v>12</v>
      </c>
      <c r="AB13">
        <f>'Pulse data'!O16</f>
        <v>0</v>
      </c>
      <c r="AC13">
        <f>Table1[[#This Row],[ZMW num]]*0.01</f>
        <v>0.11</v>
      </c>
      <c r="AD13">
        <f>1+Table1[[#This Row],[t bias]]</f>
        <v>1.1100000000000001</v>
      </c>
      <c r="AE13">
        <f>Table1[[#This Row],[t kinetic trace]]* String2Single(CONCATENATE(Table1[[#This Row],[t gain hex]], "00")) + String2Single(CONCATENATE(Table1[[#This Row],[t bias hex]], "00"))</f>
        <v>0.10999870300292969</v>
      </c>
      <c r="AF13">
        <f xml:space="preserve"> Table1[[#This Row],[t ptrace]]*Table1[[#This Row],[ISM]]</f>
        <v>1.3199844360351563</v>
      </c>
      <c r="AG13">
        <f>'Pulse data'!N16</f>
        <v>0</v>
      </c>
      <c r="AH13">
        <f>Table1[[#This Row],[t bias]]+0.5</f>
        <v>0.61</v>
      </c>
      <c r="AI13">
        <f>Table1[[#This Row],[t gain]]/2</f>
        <v>0.55500000000000005</v>
      </c>
      <c r="AJ13">
        <f>Table1[[#This Row],[g kinetic trace]]* String2Single(CONCATENATE(Table1[[#This Row],[g gain hex]], "00")) + String2Single(CONCATENATE(Table1[[#This Row],[g bias hex]], "00"))</f>
        <v>0.6099853515625</v>
      </c>
      <c r="AK13">
        <f xml:space="preserve"> Table1[[#This Row],[g ptrace]]*Table1[[#This Row],[ISM]]</f>
        <v>7.31982421875</v>
      </c>
      <c r="AL13">
        <f>'Pulse data'!M16</f>
        <v>0</v>
      </c>
      <c r="AM13">
        <f>Table1[[#This Row],[t bias]]+1</f>
        <v>1.1100000000000001</v>
      </c>
      <c r="AN13">
        <f>Table1[[#This Row],[t gain]]-0.5</f>
        <v>0.6100000000000001</v>
      </c>
      <c r="AO13">
        <f>Table1[[#This Row],[a kinetic trace]]* String2Single(CONCATENATE(Table1[[#This Row],[a gain hex]], "00")) + String2Single(CONCATENATE(Table1[[#This Row],[a bias hex]], "00"))</f>
        <v>1.1099853515625</v>
      </c>
      <c r="AP13">
        <f xml:space="preserve"> Table1[[#This Row],[a ptrace]]*Table1[[#This Row],[ISM]]</f>
        <v>13.31982421875</v>
      </c>
      <c r="AQ13">
        <f>'Pulse data'!L16</f>
        <v>0</v>
      </c>
      <c r="AR13">
        <f>Table1[[#This Row],[t bias]]</f>
        <v>0.11</v>
      </c>
      <c r="AS13">
        <f>Table1[[#This Row],[t gain]]</f>
        <v>1.1100000000000001</v>
      </c>
      <c r="AT13">
        <f>Table1[[#This Row],[c kinetic trace]]* String2Single(CONCATENATE(Table1[[#This Row],[c gain hex]], "00")) + String2Single(CONCATENATE(Table1[[#This Row],[c bias hex]], "00"))</f>
        <v>0.10999870300292969</v>
      </c>
      <c r="AU13">
        <f xml:space="preserve"> Table1[[#This Row],[c ptrace]]*Table1[[#This Row],[ISM]]</f>
        <v>1.3199844360351563</v>
      </c>
      <c r="AV13">
        <f xml:space="preserve"> Table1[[#This Row],[t ctrace]] + Table1[[#This Row],[g ctrace]] + Table1[[#This Row],[a ctrace]] + Table1[[#This Row],[c ctrace]]</f>
        <v>23.279617309570313</v>
      </c>
      <c r="AW13" s="2" t="str">
        <f>DEC2HEX(Table1[[#This Row],[row]], 3)</f>
        <v>003</v>
      </c>
      <c r="AX13" s="1" t="str">
        <f>DEC2HEX(Table1[[#This Row],[col]], 3)</f>
        <v>023</v>
      </c>
      <c r="AY13" s="1" t="str">
        <f>DEC2HEX(Table1[[#This Row],[grn fsp idx]], 2)</f>
        <v>17</v>
      </c>
      <c r="AZ13" s="1" t="str">
        <f>DEC2HEX(Table1[[#This Row],[red fsp idx]], 2)</f>
        <v>E8</v>
      </c>
      <c r="BA13" s="1" t="str">
        <f>DEC2HEX(Table1[[#This Row],[ISMI]], 2)</f>
        <v>0B</v>
      </c>
      <c r="BB13" s="1">
        <f>LEN(Table1[[#This Row],[DRAM data]])</f>
        <v>64</v>
      </c>
      <c r="BC1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00302317E80B3DE1473F8E143F1C283F0E143F8E143F1C283DE1473F8E140002</v>
      </c>
      <c r="BV13"/>
    </row>
    <row r="14" spans="1:74" x14ac:dyDescent="0.25">
      <c r="A14" s="1" t="str">
        <f xml:space="preserve"> LEFT(Sng2String(Table1[[#This Row],[c bias]]), 6)</f>
        <v>3DF5C2</v>
      </c>
      <c r="B14" s="1" t="str">
        <f xml:space="preserve"> LEFT(Sng2String(Table1[[#This Row],[a bias]]), 6)</f>
        <v>3F8F5C</v>
      </c>
      <c r="C14" s="1" t="str">
        <f xml:space="preserve"> LEFT(Sng2String(Table1[[#This Row],[g bias]]), 6)</f>
        <v>3F1EB8</v>
      </c>
      <c r="D14" s="1" t="str">
        <f xml:space="preserve"> LEFT(Sng2String(Table1[[#This Row],[t bias]]), 6)</f>
        <v>3DF5C2</v>
      </c>
      <c r="E14" s="1" t="str">
        <f xml:space="preserve"> LEFT(Sng2String(Table1[[#This Row],[c gain]]), 6)</f>
        <v>3F8F5C</v>
      </c>
      <c r="F14" s="1" t="str">
        <f xml:space="preserve"> LEFT(Sng2String(Table1[[#This Row],[a gain]]), 6)</f>
        <v>3F1EB8</v>
      </c>
      <c r="G14" s="1" t="str">
        <f xml:space="preserve"> LEFT(Sng2String(Table1[[#This Row],[g gain]]), 6)</f>
        <v>3F0F5C</v>
      </c>
      <c r="H14" s="1" t="str">
        <f xml:space="preserve"> LEFT(Sng2String(Table1[[#This Row],[t gain]]), 6)</f>
        <v>3F8F5C</v>
      </c>
      <c r="I14" t="str">
        <f xml:space="preserve"> Sng2String(Table1[[#This Row],[c ptrace]])</f>
        <v>3DF5C200</v>
      </c>
      <c r="J14" t="str">
        <f xml:space="preserve"> Sng2String(Table1[[#This Row],[a ptrace]])</f>
        <v>3F8F5C00</v>
      </c>
      <c r="K14" t="str">
        <f xml:space="preserve"> Sng2String(Table1[[#This Row],[g ptrace]])</f>
        <v>3F1EB800</v>
      </c>
      <c r="L14" t="str">
        <f>Sng2String(Table1[[#This Row],[t ptrace]])</f>
        <v>3DF5C200</v>
      </c>
      <c r="M14" t="str">
        <f xml:space="preserve"> INDEX(SmallFP!$A$1:$A$256, Table1[[#This Row],[ISMI]]+1)</f>
        <v>415000</v>
      </c>
      <c r="N14" t="str">
        <f>Single2String(Table1[[#This Row],[c ctrace]])</f>
        <v>3FC7ADA0</v>
      </c>
      <c r="O14" t="str">
        <f>Single2String(Table1[[#This Row],[a ctrace]])</f>
        <v>4168F580</v>
      </c>
      <c r="P14" t="str">
        <f xml:space="preserve"> Single2String(Table1[[#This Row],[g ctrace]])</f>
        <v>4100F580</v>
      </c>
      <c r="Q14" t="str">
        <f xml:space="preserve"> Single2String(Table1[[#This Row],[t ctrace]])</f>
        <v>3FC7ADA0</v>
      </c>
      <c r="R14" t="str">
        <f>Single2String(Table1[[#This Row],[grn and red ctrace]])</f>
        <v>41CDEB34</v>
      </c>
      <c r="S14">
        <v>12</v>
      </c>
      <c r="T14" t="str">
        <f>DEC2HEX(Table1[[#This Row],[ZMW num]])</f>
        <v>C</v>
      </c>
      <c r="U14">
        <f>Table1[[#This Row],[ZMW num]]+1</f>
        <v>13</v>
      </c>
      <c r="V14">
        <v>3</v>
      </c>
      <c r="W14">
        <v>40</v>
      </c>
      <c r="X14">
        <v>25</v>
      </c>
      <c r="Y14">
        <v>230</v>
      </c>
      <c r="Z14">
        <f>MOD(Table1[[#This Row],[ZMW num]], 2^8)</f>
        <v>12</v>
      </c>
      <c r="AA14">
        <f xml:space="preserve"> String2Single(Table1[[#This Row],[t ISIM hex]] &amp; "00")</f>
        <v>13</v>
      </c>
      <c r="AB14">
        <f>'Pulse data'!O17</f>
        <v>0</v>
      </c>
      <c r="AC14">
        <f>Table1[[#This Row],[ZMW num]]*0.01</f>
        <v>0.12</v>
      </c>
      <c r="AD14">
        <f>1+Table1[[#This Row],[t bias]]</f>
        <v>1.1200000000000001</v>
      </c>
      <c r="AE14">
        <f>Table1[[#This Row],[t kinetic trace]]* String2Single(CONCATENATE(Table1[[#This Row],[t gain hex]], "00")) + String2Single(CONCATENATE(Table1[[#This Row],[t bias hex]], "00"))</f>
        <v>0.11999893188476563</v>
      </c>
      <c r="AF14">
        <f xml:space="preserve"> Table1[[#This Row],[t ptrace]]*Table1[[#This Row],[ISM]]</f>
        <v>1.5599861145019531</v>
      </c>
      <c r="AG14">
        <f>'Pulse data'!N17</f>
        <v>0</v>
      </c>
      <c r="AH14">
        <f>Table1[[#This Row],[t bias]]+0.5</f>
        <v>0.62</v>
      </c>
      <c r="AI14">
        <f>Table1[[#This Row],[t gain]]/2</f>
        <v>0.56000000000000005</v>
      </c>
      <c r="AJ14">
        <f>Table1[[#This Row],[g kinetic trace]]* String2Single(CONCATENATE(Table1[[#This Row],[g gain hex]], "00")) + String2Single(CONCATENATE(Table1[[#This Row],[g bias hex]], "00"))</f>
        <v>0.6199951171875</v>
      </c>
      <c r="AK14">
        <f xml:space="preserve"> Table1[[#This Row],[g ptrace]]*Table1[[#This Row],[ISM]]</f>
        <v>8.0599365234375</v>
      </c>
      <c r="AL14">
        <f>'Pulse data'!M17</f>
        <v>0</v>
      </c>
      <c r="AM14">
        <f>Table1[[#This Row],[t bias]]+1</f>
        <v>1.1200000000000001</v>
      </c>
      <c r="AN14">
        <f>Table1[[#This Row],[t gain]]-0.5</f>
        <v>0.62000000000000011</v>
      </c>
      <c r="AO14">
        <f>Table1[[#This Row],[a kinetic trace]]* String2Single(CONCATENATE(Table1[[#This Row],[a gain hex]], "00")) + String2Single(CONCATENATE(Table1[[#This Row],[a bias hex]], "00"))</f>
        <v>1.1199951171875</v>
      </c>
      <c r="AP14">
        <f xml:space="preserve"> Table1[[#This Row],[a ptrace]]*Table1[[#This Row],[ISM]]</f>
        <v>14.5599365234375</v>
      </c>
      <c r="AQ14">
        <f>'Pulse data'!L17</f>
        <v>0</v>
      </c>
      <c r="AR14">
        <f>Table1[[#This Row],[t bias]]</f>
        <v>0.12</v>
      </c>
      <c r="AS14">
        <f>Table1[[#This Row],[t gain]]</f>
        <v>1.1200000000000001</v>
      </c>
      <c r="AT14">
        <f>Table1[[#This Row],[c kinetic trace]]* String2Single(CONCATENATE(Table1[[#This Row],[c gain hex]], "00")) + String2Single(CONCATENATE(Table1[[#This Row],[c bias hex]], "00"))</f>
        <v>0.11999893188476563</v>
      </c>
      <c r="AU14">
        <f xml:space="preserve"> Table1[[#This Row],[c ptrace]]*Table1[[#This Row],[ISM]]</f>
        <v>1.5599861145019531</v>
      </c>
      <c r="AV14">
        <f xml:space="preserve"> Table1[[#This Row],[t ctrace]] + Table1[[#This Row],[g ctrace]] + Table1[[#This Row],[a ctrace]] + Table1[[#This Row],[c ctrace]]</f>
        <v>25.739845275878906</v>
      </c>
      <c r="AW14" s="2" t="str">
        <f>DEC2HEX(Table1[[#This Row],[row]], 3)</f>
        <v>003</v>
      </c>
      <c r="AX14" s="1" t="str">
        <f>DEC2HEX(Table1[[#This Row],[col]], 3)</f>
        <v>028</v>
      </c>
      <c r="AY14" s="1" t="str">
        <f>DEC2HEX(Table1[[#This Row],[grn fsp idx]], 2)</f>
        <v>19</v>
      </c>
      <c r="AZ14" s="1" t="str">
        <f>DEC2HEX(Table1[[#This Row],[red fsp idx]], 2)</f>
        <v>E6</v>
      </c>
      <c r="BA14" s="1" t="str">
        <f>DEC2HEX(Table1[[#This Row],[ISMI]], 2)</f>
        <v>0C</v>
      </c>
      <c r="BB14" s="1">
        <f>LEN(Table1[[#This Row],[DRAM data]])</f>
        <v>64</v>
      </c>
      <c r="BC1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00302819E60C3DF5C23F8F5C3F1EB83F0F5C3F8F5C3F1EB83DF5C23F8F5C0002</v>
      </c>
      <c r="BV14"/>
    </row>
    <row r="15" spans="1:74" x14ac:dyDescent="0.25">
      <c r="A15" s="1" t="str">
        <f xml:space="preserve"> LEFT(Sng2String(Table1[[#This Row],[c bias]]), 6)</f>
        <v>3E051E</v>
      </c>
      <c r="B15" s="1" t="str">
        <f xml:space="preserve"> LEFT(Sng2String(Table1[[#This Row],[a bias]]), 6)</f>
        <v>3F90A3</v>
      </c>
      <c r="C15" s="1" t="str">
        <f xml:space="preserve"> LEFT(Sng2String(Table1[[#This Row],[g bias]]), 6)</f>
        <v>3F2147</v>
      </c>
      <c r="D15" s="1" t="str">
        <f xml:space="preserve"> LEFT(Sng2String(Table1[[#This Row],[t bias]]), 6)</f>
        <v>3E051E</v>
      </c>
      <c r="E15" s="1" t="str">
        <f xml:space="preserve"> LEFT(Sng2String(Table1[[#This Row],[c gain]]), 6)</f>
        <v>3F90A3</v>
      </c>
      <c r="F15" s="1" t="str">
        <f xml:space="preserve"> LEFT(Sng2String(Table1[[#This Row],[a gain]]), 6)</f>
        <v>3F2147</v>
      </c>
      <c r="G15" s="1" t="str">
        <f xml:space="preserve"> LEFT(Sng2String(Table1[[#This Row],[g gain]]), 6)</f>
        <v>3F10A3</v>
      </c>
      <c r="H15" s="1" t="str">
        <f xml:space="preserve"> LEFT(Sng2String(Table1[[#This Row],[t gain]]), 6)</f>
        <v>3F90A3</v>
      </c>
      <c r="I15" t="str">
        <f xml:space="preserve"> Sng2String(Table1[[#This Row],[c ptrace]])</f>
        <v>3E051E00</v>
      </c>
      <c r="J15" t="str">
        <f xml:space="preserve"> Sng2String(Table1[[#This Row],[a ptrace]])</f>
        <v>3F90A300</v>
      </c>
      <c r="K15" t="str">
        <f xml:space="preserve"> Sng2String(Table1[[#This Row],[g ptrace]])</f>
        <v>3F214700</v>
      </c>
      <c r="L15" t="str">
        <f>Sng2String(Table1[[#This Row],[t ptrace]])</f>
        <v>3E051E00</v>
      </c>
      <c r="M15" t="str">
        <f xml:space="preserve"> INDEX(SmallFP!$A$1:$A$256, Table1[[#This Row],[ISMI]]+1)</f>
        <v>416000</v>
      </c>
      <c r="N15" t="str">
        <f>Single2String(Table1[[#This Row],[c ctrace]])</f>
        <v>3FE8F480</v>
      </c>
      <c r="O15" t="str">
        <f>Single2String(Table1[[#This Row],[a ctrace]])</f>
        <v>417D1D40</v>
      </c>
      <c r="P15" t="str">
        <f xml:space="preserve"> Single2String(Table1[[#This Row],[g ctrace]])</f>
        <v>410D1E20</v>
      </c>
      <c r="Q15" t="str">
        <f xml:space="preserve"> Single2String(Table1[[#This Row],[t ctrace]])</f>
        <v>3FE8F480</v>
      </c>
      <c r="R15" t="str">
        <f>Single2String(Table1[[#This Row],[grn and red ctrace]])</f>
        <v>41E23C40</v>
      </c>
      <c r="S15">
        <v>13</v>
      </c>
      <c r="T15" t="str">
        <f>DEC2HEX(Table1[[#This Row],[ZMW num]])</f>
        <v>D</v>
      </c>
      <c r="U15">
        <f>Table1[[#This Row],[ZMW num]]+1</f>
        <v>14</v>
      </c>
      <c r="V15">
        <v>3</v>
      </c>
      <c r="W15">
        <v>44</v>
      </c>
      <c r="X15">
        <v>27</v>
      </c>
      <c r="Y15">
        <v>228</v>
      </c>
      <c r="Z15">
        <f>MOD(Table1[[#This Row],[ZMW num]], 2^8)</f>
        <v>13</v>
      </c>
      <c r="AA15">
        <f xml:space="preserve"> String2Single(Table1[[#This Row],[t ISIM hex]] &amp; "00")</f>
        <v>14</v>
      </c>
      <c r="AB15">
        <f>'Pulse data'!O18</f>
        <v>0</v>
      </c>
      <c r="AC15">
        <f>Table1[[#This Row],[ZMW num]]*0.01</f>
        <v>0.13</v>
      </c>
      <c r="AD15">
        <f>1+Table1[[#This Row],[t bias]]</f>
        <v>1.1299999999999999</v>
      </c>
      <c r="AE15">
        <f>Table1[[#This Row],[t kinetic trace]]* String2Single(CONCATENATE(Table1[[#This Row],[t gain hex]], "00")) + String2Single(CONCATENATE(Table1[[#This Row],[t bias hex]], "00"))</f>
        <v>0.12999725341796875</v>
      </c>
      <c r="AF15">
        <f xml:space="preserve"> Table1[[#This Row],[t ptrace]]*Table1[[#This Row],[ISM]]</f>
        <v>1.8199615478515625</v>
      </c>
      <c r="AG15">
        <f>'Pulse data'!N18</f>
        <v>0</v>
      </c>
      <c r="AH15">
        <f>Table1[[#This Row],[t bias]]+0.5</f>
        <v>0.63</v>
      </c>
      <c r="AI15">
        <f>Table1[[#This Row],[t gain]]/2</f>
        <v>0.56499999999999995</v>
      </c>
      <c r="AJ15">
        <f>Table1[[#This Row],[g kinetic trace]]* String2Single(CONCATENATE(Table1[[#This Row],[g gain hex]], "00")) + String2Single(CONCATENATE(Table1[[#This Row],[g bias hex]], "00"))</f>
        <v>0.6299896240234375</v>
      </c>
      <c r="AK15">
        <f xml:space="preserve"> Table1[[#This Row],[g ptrace]]*Table1[[#This Row],[ISM]]</f>
        <v>8.819854736328125</v>
      </c>
      <c r="AL15">
        <f>'Pulse data'!M18</f>
        <v>0</v>
      </c>
      <c r="AM15">
        <f>Table1[[#This Row],[t bias]]+1</f>
        <v>1.1299999999999999</v>
      </c>
      <c r="AN15">
        <f>Table1[[#This Row],[t gain]]-0.5</f>
        <v>0.62999999999999989</v>
      </c>
      <c r="AO15">
        <f>Table1[[#This Row],[a kinetic trace]]* String2Single(CONCATENATE(Table1[[#This Row],[a gain hex]], "00")) + String2Single(CONCATENATE(Table1[[#This Row],[a bias hex]], "00"))</f>
        <v>1.129974365234375</v>
      </c>
      <c r="AP15">
        <f xml:space="preserve"> Table1[[#This Row],[a ptrace]]*Table1[[#This Row],[ISM]]</f>
        <v>15.81964111328125</v>
      </c>
      <c r="AQ15">
        <f>'Pulse data'!L18</f>
        <v>0</v>
      </c>
      <c r="AR15">
        <f>Table1[[#This Row],[t bias]]</f>
        <v>0.13</v>
      </c>
      <c r="AS15">
        <f>Table1[[#This Row],[t gain]]</f>
        <v>1.1299999999999999</v>
      </c>
      <c r="AT15">
        <f>Table1[[#This Row],[c kinetic trace]]* String2Single(CONCATENATE(Table1[[#This Row],[c gain hex]], "00")) + String2Single(CONCATENATE(Table1[[#This Row],[c bias hex]], "00"))</f>
        <v>0.12999725341796875</v>
      </c>
      <c r="AU15">
        <f xml:space="preserve"> Table1[[#This Row],[c ptrace]]*Table1[[#This Row],[ISM]]</f>
        <v>1.8199615478515625</v>
      </c>
      <c r="AV15">
        <f xml:space="preserve"> Table1[[#This Row],[t ctrace]] + Table1[[#This Row],[g ctrace]] + Table1[[#This Row],[a ctrace]] + Table1[[#This Row],[c ctrace]]</f>
        <v>28.2794189453125</v>
      </c>
      <c r="AW15" s="2" t="str">
        <f>DEC2HEX(Table1[[#This Row],[row]], 3)</f>
        <v>003</v>
      </c>
      <c r="AX15" s="1" t="str">
        <f>DEC2HEX(Table1[[#This Row],[col]], 3)</f>
        <v>02C</v>
      </c>
      <c r="AY15" s="1" t="str">
        <f>DEC2HEX(Table1[[#This Row],[grn fsp idx]], 2)</f>
        <v>1B</v>
      </c>
      <c r="AZ15" s="1" t="str">
        <f>DEC2HEX(Table1[[#This Row],[red fsp idx]], 2)</f>
        <v>E4</v>
      </c>
      <c r="BA15" s="1" t="str">
        <f>DEC2HEX(Table1[[#This Row],[ISMI]], 2)</f>
        <v>0D</v>
      </c>
      <c r="BB15" s="1">
        <f>LEN(Table1[[#This Row],[DRAM data]])</f>
        <v>64</v>
      </c>
      <c r="BC1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00302C1BE40D3E051E3F90A33F21473F10A33F90A33F21473E051E3F90A30002</v>
      </c>
      <c r="BV15"/>
    </row>
    <row r="16" spans="1:74" x14ac:dyDescent="0.25">
      <c r="A16" s="1" t="str">
        <f xml:space="preserve"> LEFT(Sng2String(Table1[[#This Row],[c bias]]), 6)</f>
        <v>3E0F5C</v>
      </c>
      <c r="B16" s="1" t="str">
        <f xml:space="preserve"> LEFT(Sng2String(Table1[[#This Row],[a bias]]), 6)</f>
        <v>3F91EB</v>
      </c>
      <c r="C16" s="1" t="str">
        <f xml:space="preserve"> LEFT(Sng2String(Table1[[#This Row],[g bias]]), 6)</f>
        <v>3F23D7</v>
      </c>
      <c r="D16" s="1" t="str">
        <f xml:space="preserve"> LEFT(Sng2String(Table1[[#This Row],[t bias]]), 6)</f>
        <v>3E0F5C</v>
      </c>
      <c r="E16" s="1" t="str">
        <f xml:space="preserve"> LEFT(Sng2String(Table1[[#This Row],[c gain]]), 6)</f>
        <v>3F91EB</v>
      </c>
      <c r="F16" s="1" t="str">
        <f xml:space="preserve"> LEFT(Sng2String(Table1[[#This Row],[a gain]]), 6)</f>
        <v>3F23D7</v>
      </c>
      <c r="G16" s="1" t="str">
        <f xml:space="preserve"> LEFT(Sng2String(Table1[[#This Row],[g gain]]), 6)</f>
        <v>3F11EB</v>
      </c>
      <c r="H16" s="1" t="str">
        <f xml:space="preserve"> LEFT(Sng2String(Table1[[#This Row],[t gain]]), 6)</f>
        <v>3F91EB</v>
      </c>
      <c r="I16" t="str">
        <f xml:space="preserve"> Sng2String(Table1[[#This Row],[c ptrace]])</f>
        <v>3E0F5C00</v>
      </c>
      <c r="J16" t="str">
        <f xml:space="preserve"> Sng2String(Table1[[#This Row],[a ptrace]])</f>
        <v>3F91EB00</v>
      </c>
      <c r="K16" t="str">
        <f xml:space="preserve"> Sng2String(Table1[[#This Row],[g ptrace]])</f>
        <v>3F23D700</v>
      </c>
      <c r="L16" t="str">
        <f>Sng2String(Table1[[#This Row],[t ptrace]])</f>
        <v>3E0F5C00</v>
      </c>
      <c r="M16" t="str">
        <f xml:space="preserve"> INDEX(SmallFP!$A$1:$A$256, Table1[[#This Row],[ISMI]]+1)</f>
        <v>417000</v>
      </c>
      <c r="N16" t="str">
        <f>Single2String(Table1[[#This Row],[c ctrace]])</f>
        <v>40066640</v>
      </c>
      <c r="O16" t="str">
        <f>Single2String(Table1[[#This Row],[a ctrace]])</f>
        <v>4188CC50</v>
      </c>
      <c r="P16" t="str">
        <f xml:space="preserve"> Single2String(Table1[[#This Row],[g ctrace]])</f>
        <v>41199990</v>
      </c>
      <c r="Q16" t="str">
        <f xml:space="preserve"> Single2String(Table1[[#This Row],[t ctrace]])</f>
        <v>40066640</v>
      </c>
      <c r="R16" t="str">
        <f>Single2String(Table1[[#This Row],[grn and red ctrace]])</f>
        <v>41F732A8</v>
      </c>
      <c r="S16">
        <v>14</v>
      </c>
      <c r="T16" t="str">
        <f>DEC2HEX(Table1[[#This Row],[ZMW num]])</f>
        <v>E</v>
      </c>
      <c r="U16">
        <f>Table1[[#This Row],[ZMW num]]+1</f>
        <v>15</v>
      </c>
      <c r="V16">
        <v>3</v>
      </c>
      <c r="W16">
        <v>45</v>
      </c>
      <c r="X16">
        <v>29</v>
      </c>
      <c r="Y16">
        <v>226</v>
      </c>
      <c r="Z16">
        <f>MOD(Table1[[#This Row],[ZMW num]], 2^8)</f>
        <v>14</v>
      </c>
      <c r="AA16">
        <f xml:space="preserve"> String2Single(Table1[[#This Row],[t ISIM hex]] &amp; "00")</f>
        <v>15</v>
      </c>
      <c r="AB16">
        <f>'Pulse data'!O19</f>
        <v>0</v>
      </c>
      <c r="AC16">
        <f>Table1[[#This Row],[ZMW num]]*0.01</f>
        <v>0.14000000000000001</v>
      </c>
      <c r="AD16">
        <f>1+Table1[[#This Row],[t bias]]</f>
        <v>1.1400000000000001</v>
      </c>
      <c r="AE16">
        <f>Table1[[#This Row],[t kinetic trace]]* String2Single(CONCATENATE(Table1[[#This Row],[t gain hex]], "00")) + String2Single(CONCATENATE(Table1[[#This Row],[t bias hex]], "00"))</f>
        <v>0.1399993896484375</v>
      </c>
      <c r="AF16">
        <f xml:space="preserve"> Table1[[#This Row],[t ptrace]]*Table1[[#This Row],[ISM]]</f>
        <v>2.0999908447265625</v>
      </c>
      <c r="AG16">
        <f>'Pulse data'!N19</f>
        <v>0</v>
      </c>
      <c r="AH16">
        <f>Table1[[#This Row],[t bias]]+0.5</f>
        <v>0.64</v>
      </c>
      <c r="AI16">
        <f>Table1[[#This Row],[t gain]]/2</f>
        <v>0.57000000000000006</v>
      </c>
      <c r="AJ16">
        <f>Table1[[#This Row],[g kinetic trace]]* String2Single(CONCATENATE(Table1[[#This Row],[g gain hex]], "00")) + String2Single(CONCATENATE(Table1[[#This Row],[g bias hex]], "00"))</f>
        <v>0.6399993896484375</v>
      </c>
      <c r="AK16">
        <f xml:space="preserve"> Table1[[#This Row],[g ptrace]]*Table1[[#This Row],[ISM]]</f>
        <v>9.5999908447265625</v>
      </c>
      <c r="AL16">
        <f>'Pulse data'!M19</f>
        <v>0</v>
      </c>
      <c r="AM16">
        <f>Table1[[#This Row],[t bias]]+1</f>
        <v>1.1400000000000001</v>
      </c>
      <c r="AN16">
        <f>Table1[[#This Row],[t gain]]-0.5</f>
        <v>0.64000000000000012</v>
      </c>
      <c r="AO16">
        <f>Table1[[#This Row],[a kinetic trace]]* String2Single(CONCATENATE(Table1[[#This Row],[a gain hex]], "00")) + String2Single(CONCATENATE(Table1[[#This Row],[a bias hex]], "00"))</f>
        <v>1.139984130859375</v>
      </c>
      <c r="AP16">
        <f xml:space="preserve"> Table1[[#This Row],[a ptrace]]*Table1[[#This Row],[ISM]]</f>
        <v>17.099761962890625</v>
      </c>
      <c r="AQ16">
        <f>'Pulse data'!L19</f>
        <v>0</v>
      </c>
      <c r="AR16">
        <f>Table1[[#This Row],[t bias]]</f>
        <v>0.14000000000000001</v>
      </c>
      <c r="AS16">
        <f>Table1[[#This Row],[t gain]]</f>
        <v>1.1400000000000001</v>
      </c>
      <c r="AT16">
        <f>Table1[[#This Row],[c kinetic trace]]* String2Single(CONCATENATE(Table1[[#This Row],[c gain hex]], "00")) + String2Single(CONCATENATE(Table1[[#This Row],[c bias hex]], "00"))</f>
        <v>0.1399993896484375</v>
      </c>
      <c r="AU16">
        <f xml:space="preserve"> Table1[[#This Row],[c ptrace]]*Table1[[#This Row],[ISM]]</f>
        <v>2.0999908447265625</v>
      </c>
      <c r="AV16">
        <f xml:space="preserve"> Table1[[#This Row],[t ctrace]] + Table1[[#This Row],[g ctrace]] + Table1[[#This Row],[a ctrace]] + Table1[[#This Row],[c ctrace]]</f>
        <v>30.899734497070313</v>
      </c>
      <c r="AW16" s="2" t="str">
        <f>DEC2HEX(Table1[[#This Row],[row]], 3)</f>
        <v>003</v>
      </c>
      <c r="AX16" s="1" t="str">
        <f>DEC2HEX(Table1[[#This Row],[col]], 3)</f>
        <v>02D</v>
      </c>
      <c r="AY16" s="1" t="str">
        <f>DEC2HEX(Table1[[#This Row],[grn fsp idx]], 2)</f>
        <v>1D</v>
      </c>
      <c r="AZ16" s="1" t="str">
        <f>DEC2HEX(Table1[[#This Row],[red fsp idx]], 2)</f>
        <v>E2</v>
      </c>
      <c r="BA16" s="1" t="str">
        <f>DEC2HEX(Table1[[#This Row],[ISMI]], 2)</f>
        <v>0E</v>
      </c>
      <c r="BB16" s="1">
        <f>LEN(Table1[[#This Row],[DRAM data]])</f>
        <v>64</v>
      </c>
      <c r="BC1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00302D1DE20E3E0F5C3F91EB3F23D73F11EB3F91EB3F23D73E0F5C3F91EB0002</v>
      </c>
      <c r="BV16"/>
    </row>
    <row r="17" spans="1:74" x14ac:dyDescent="0.25">
      <c r="A17" s="1" t="str">
        <f xml:space="preserve"> LEFT(Sng2String(Table1[[#This Row],[c bias]]), 6)</f>
        <v>3E1999</v>
      </c>
      <c r="B17" s="1" t="str">
        <f xml:space="preserve"> LEFT(Sng2String(Table1[[#This Row],[a bias]]), 6)</f>
        <v>3F9333</v>
      </c>
      <c r="C17" s="1" t="str">
        <f xml:space="preserve"> LEFT(Sng2String(Table1[[#This Row],[g bias]]), 6)</f>
        <v>3F2666</v>
      </c>
      <c r="D17" s="1" t="str">
        <f xml:space="preserve"> LEFT(Sng2String(Table1[[#This Row],[t bias]]), 6)</f>
        <v>3E1999</v>
      </c>
      <c r="E17" s="1" t="str">
        <f xml:space="preserve"> LEFT(Sng2String(Table1[[#This Row],[c gain]]), 6)</f>
        <v>3F9333</v>
      </c>
      <c r="F17" s="1" t="str">
        <f xml:space="preserve"> LEFT(Sng2String(Table1[[#This Row],[a gain]]), 6)</f>
        <v>3F2666</v>
      </c>
      <c r="G17" s="1" t="str">
        <f xml:space="preserve"> LEFT(Sng2String(Table1[[#This Row],[g gain]]), 6)</f>
        <v>3F1333</v>
      </c>
      <c r="H17" s="1" t="str">
        <f xml:space="preserve"> LEFT(Sng2String(Table1[[#This Row],[t gain]]), 6)</f>
        <v>3F9333</v>
      </c>
      <c r="I17" t="str">
        <f xml:space="preserve"> Sng2String(Table1[[#This Row],[c ptrace]])</f>
        <v>3E199900</v>
      </c>
      <c r="J17" t="str">
        <f xml:space="preserve"> Sng2String(Table1[[#This Row],[a ptrace]])</f>
        <v>3F933300</v>
      </c>
      <c r="K17" t="str">
        <f xml:space="preserve"> Sng2String(Table1[[#This Row],[g ptrace]])</f>
        <v>3F266600</v>
      </c>
      <c r="L17" t="str">
        <f>Sng2String(Table1[[#This Row],[t ptrace]])</f>
        <v>3E199900</v>
      </c>
      <c r="M17" t="str">
        <f xml:space="preserve"> INDEX(SmallFP!$A$1:$A$256, Table1[[#This Row],[ISMI]]+1)</f>
        <v>418000</v>
      </c>
      <c r="N17" t="str">
        <f>Single2String(Table1[[#This Row],[c ctrace]])</f>
        <v>40199900</v>
      </c>
      <c r="O17" t="str">
        <f>Single2String(Table1[[#This Row],[a ctrace]])</f>
        <v>41933300</v>
      </c>
      <c r="P17" t="str">
        <f xml:space="preserve"> Single2String(Table1[[#This Row],[g ctrace]])</f>
        <v>41266600</v>
      </c>
      <c r="Q17" t="str">
        <f xml:space="preserve"> Single2String(Table1[[#This Row],[t ctrace]])</f>
        <v>40199900</v>
      </c>
      <c r="R17" t="str">
        <f>Single2String(Table1[[#This Row],[grn and red ctrace]])</f>
        <v>42066620</v>
      </c>
      <c r="S17">
        <v>15</v>
      </c>
      <c r="T17" t="str">
        <f>DEC2HEX(Table1[[#This Row],[ZMW num]])</f>
        <v>F</v>
      </c>
      <c r="U17">
        <f>Table1[[#This Row],[ZMW num]]+1</f>
        <v>16</v>
      </c>
      <c r="V17">
        <v>3</v>
      </c>
      <c r="W17">
        <v>50</v>
      </c>
      <c r="X17">
        <v>31</v>
      </c>
      <c r="Y17">
        <v>224</v>
      </c>
      <c r="Z17">
        <f>MOD(Table1[[#This Row],[ZMW num]], 2^8)</f>
        <v>15</v>
      </c>
      <c r="AA17">
        <f xml:space="preserve"> String2Single(Table1[[#This Row],[t ISIM hex]] &amp; "00")</f>
        <v>16</v>
      </c>
      <c r="AB17">
        <f>'Pulse data'!O20</f>
        <v>0</v>
      </c>
      <c r="AC17">
        <f>Table1[[#This Row],[ZMW num]]*0.01</f>
        <v>0.15</v>
      </c>
      <c r="AD17">
        <f>1+Table1[[#This Row],[t bias]]</f>
        <v>1.1499999999999999</v>
      </c>
      <c r="AE17">
        <f>Table1[[#This Row],[t kinetic trace]]* String2Single(CONCATENATE(Table1[[#This Row],[t gain hex]], "00")) + String2Single(CONCATENATE(Table1[[#This Row],[t bias hex]], "00"))</f>
        <v>0.14999771118164063</v>
      </c>
      <c r="AF17">
        <f xml:space="preserve"> Table1[[#This Row],[t ptrace]]*Table1[[#This Row],[ISM]]</f>
        <v>2.39996337890625</v>
      </c>
      <c r="AG17">
        <f>'Pulse data'!N20</f>
        <v>0</v>
      </c>
      <c r="AH17">
        <f>Table1[[#This Row],[t bias]]+0.5</f>
        <v>0.65</v>
      </c>
      <c r="AI17">
        <f>Table1[[#This Row],[t gain]]/2</f>
        <v>0.57499999999999996</v>
      </c>
      <c r="AJ17">
        <f>Table1[[#This Row],[g kinetic trace]]* String2Single(CONCATENATE(Table1[[#This Row],[g gain hex]], "00")) + String2Single(CONCATENATE(Table1[[#This Row],[g bias hex]], "00"))</f>
        <v>0.649993896484375</v>
      </c>
      <c r="AK17">
        <f xml:space="preserve"> Table1[[#This Row],[g ptrace]]*Table1[[#This Row],[ISM]]</f>
        <v>10.39990234375</v>
      </c>
      <c r="AL17">
        <f>'Pulse data'!M20</f>
        <v>0</v>
      </c>
      <c r="AM17">
        <f>Table1[[#This Row],[t bias]]+1</f>
        <v>1.1499999999999999</v>
      </c>
      <c r="AN17">
        <f>Table1[[#This Row],[t gain]]-0.5</f>
        <v>0.64999999999999991</v>
      </c>
      <c r="AO17">
        <f>Table1[[#This Row],[a kinetic trace]]* String2Single(CONCATENATE(Table1[[#This Row],[a gain hex]], "00")) + String2Single(CONCATENATE(Table1[[#This Row],[a bias hex]], "00"))</f>
        <v>1.149993896484375</v>
      </c>
      <c r="AP17">
        <f xml:space="preserve"> Table1[[#This Row],[a ptrace]]*Table1[[#This Row],[ISM]]</f>
        <v>18.39990234375</v>
      </c>
      <c r="AQ17">
        <f>'Pulse data'!L20</f>
        <v>0</v>
      </c>
      <c r="AR17">
        <f>Table1[[#This Row],[t bias]]</f>
        <v>0.15</v>
      </c>
      <c r="AS17">
        <f>Table1[[#This Row],[t gain]]</f>
        <v>1.1499999999999999</v>
      </c>
      <c r="AT17">
        <f>Table1[[#This Row],[c kinetic trace]]* String2Single(CONCATENATE(Table1[[#This Row],[c gain hex]], "00")) + String2Single(CONCATENATE(Table1[[#This Row],[c bias hex]], "00"))</f>
        <v>0.14999771118164063</v>
      </c>
      <c r="AU17">
        <f xml:space="preserve"> Table1[[#This Row],[c ptrace]]*Table1[[#This Row],[ISM]]</f>
        <v>2.39996337890625</v>
      </c>
      <c r="AV17">
        <f xml:space="preserve"> Table1[[#This Row],[t ctrace]] + Table1[[#This Row],[g ctrace]] + Table1[[#This Row],[a ctrace]] + Table1[[#This Row],[c ctrace]]</f>
        <v>33.5997314453125</v>
      </c>
      <c r="AW17" s="2" t="str">
        <f>DEC2HEX(Table1[[#This Row],[row]], 3)</f>
        <v>003</v>
      </c>
      <c r="AX17" s="1" t="str">
        <f>DEC2HEX(Table1[[#This Row],[col]], 3)</f>
        <v>032</v>
      </c>
      <c r="AY17" s="1" t="str">
        <f>DEC2HEX(Table1[[#This Row],[grn fsp idx]], 2)</f>
        <v>1F</v>
      </c>
      <c r="AZ17" s="1" t="str">
        <f>DEC2HEX(Table1[[#This Row],[red fsp idx]], 2)</f>
        <v>E0</v>
      </c>
      <c r="BA17" s="1" t="str">
        <f>DEC2HEX(Table1[[#This Row],[ISMI]], 2)</f>
        <v>0F</v>
      </c>
      <c r="BB17" s="1">
        <f>LEN(Table1[[#This Row],[DRAM data]])</f>
        <v>64</v>
      </c>
      <c r="BC1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0030321FE00F3E19993F93333F26663F13333F93333F26663E19993F93330002</v>
      </c>
      <c r="BV17"/>
    </row>
    <row r="18" spans="1:74" x14ac:dyDescent="0.25">
      <c r="A18" s="1" t="str">
        <f xml:space="preserve"> LEFT(Sng2String(Table1[[#This Row],[c bias]]), 6)</f>
        <v>3E23D7</v>
      </c>
      <c r="B18" s="1" t="str">
        <f xml:space="preserve"> LEFT(Sng2String(Table1[[#This Row],[a bias]]), 6)</f>
        <v>3F947A</v>
      </c>
      <c r="C18" s="1" t="str">
        <f xml:space="preserve"> LEFT(Sng2String(Table1[[#This Row],[g bias]]), 6)</f>
        <v>3F28F5</v>
      </c>
      <c r="D18" s="1" t="str">
        <f xml:space="preserve"> LEFT(Sng2String(Table1[[#This Row],[t bias]]), 6)</f>
        <v>3E23D7</v>
      </c>
      <c r="E18" s="1" t="str">
        <f xml:space="preserve"> LEFT(Sng2String(Table1[[#This Row],[c gain]]), 6)</f>
        <v>3F947A</v>
      </c>
      <c r="F18" s="1" t="str">
        <f xml:space="preserve"> LEFT(Sng2String(Table1[[#This Row],[a gain]]), 6)</f>
        <v>3F28F5</v>
      </c>
      <c r="G18" s="1" t="str">
        <f xml:space="preserve"> LEFT(Sng2String(Table1[[#This Row],[g gain]]), 6)</f>
        <v>3F147A</v>
      </c>
      <c r="H18" s="1" t="str">
        <f xml:space="preserve"> LEFT(Sng2String(Table1[[#This Row],[t gain]]), 6)</f>
        <v>3F947A</v>
      </c>
      <c r="I18" t="str">
        <f xml:space="preserve"> Sng2String(Table1[[#This Row],[c ptrace]])</f>
        <v>3E23D700</v>
      </c>
      <c r="J18" t="str">
        <f xml:space="preserve"> Sng2String(Table1[[#This Row],[a ptrace]])</f>
        <v>3F947A00</v>
      </c>
      <c r="K18" t="str">
        <f xml:space="preserve"> Sng2String(Table1[[#This Row],[g ptrace]])</f>
        <v>3F28F500</v>
      </c>
      <c r="L18" t="str">
        <f>Sng2String(Table1[[#This Row],[t ptrace]])</f>
        <v>3E23D700</v>
      </c>
      <c r="M18" t="str">
        <f xml:space="preserve"> INDEX(SmallFP!$A$1:$A$256, Table1[[#This Row],[ISMI]]+1)</f>
        <v>418800</v>
      </c>
      <c r="N18" t="str">
        <f>Single2String(Table1[[#This Row],[c ctrace]])</f>
        <v>402E1470</v>
      </c>
      <c r="O18" t="str">
        <f>Single2String(Table1[[#This Row],[a ctrace]])</f>
        <v>419DC1A0</v>
      </c>
      <c r="P18" t="str">
        <f xml:space="preserve"> Single2String(Table1[[#This Row],[g ctrace]])</f>
        <v>41338450</v>
      </c>
      <c r="Q18" t="str">
        <f xml:space="preserve"> Single2String(Table1[[#This Row],[t ctrace]])</f>
        <v>402E1470</v>
      </c>
      <c r="R18" t="str">
        <f>Single2String(Table1[[#This Row],[grn and red ctrace]])</f>
        <v>42118472</v>
      </c>
      <c r="S18">
        <v>16</v>
      </c>
      <c r="T18" t="str">
        <f>DEC2HEX(Table1[[#This Row],[ZMW num]])</f>
        <v>10</v>
      </c>
      <c r="U18">
        <f>Table1[[#This Row],[ZMW num]]+1</f>
        <v>17</v>
      </c>
      <c r="V18">
        <v>3</v>
      </c>
      <c r="W18">
        <v>54</v>
      </c>
      <c r="X18">
        <v>33</v>
      </c>
      <c r="Y18">
        <v>222</v>
      </c>
      <c r="Z18">
        <f>MOD(Table1[[#This Row],[ZMW num]], 2^8)</f>
        <v>16</v>
      </c>
      <c r="AA18">
        <f xml:space="preserve"> String2Single(Table1[[#This Row],[t ISIM hex]] &amp; "00")</f>
        <v>17</v>
      </c>
      <c r="AB18">
        <f>'Pulse data'!O21</f>
        <v>0</v>
      </c>
      <c r="AC18">
        <f>Table1[[#This Row],[ZMW num]]*0.01</f>
        <v>0.16</v>
      </c>
      <c r="AD18">
        <f>1+Table1[[#This Row],[t bias]]</f>
        <v>1.1599999999999999</v>
      </c>
      <c r="AE18">
        <f>Table1[[#This Row],[t kinetic trace]]* String2Single(CONCATENATE(Table1[[#This Row],[t gain hex]], "00")) + String2Single(CONCATENATE(Table1[[#This Row],[t bias hex]], "00"))</f>
        <v>0.15999984741210938</v>
      </c>
      <c r="AF18">
        <f xml:space="preserve"> Table1[[#This Row],[t ptrace]]*Table1[[#This Row],[ISM]]</f>
        <v>2.7199974060058594</v>
      </c>
      <c r="AG18">
        <f>'Pulse data'!N21</f>
        <v>0</v>
      </c>
      <c r="AH18">
        <f>Table1[[#This Row],[t bias]]+0.5</f>
        <v>0.66</v>
      </c>
      <c r="AI18">
        <f>Table1[[#This Row],[t gain]]/2</f>
        <v>0.57999999999999996</v>
      </c>
      <c r="AJ18">
        <f>Table1[[#This Row],[g kinetic trace]]* String2Single(CONCATENATE(Table1[[#This Row],[g gain hex]], "00")) + String2Single(CONCATENATE(Table1[[#This Row],[g bias hex]], "00"))</f>
        <v>0.6599884033203125</v>
      </c>
      <c r="AK18">
        <f xml:space="preserve"> Table1[[#This Row],[g ptrace]]*Table1[[#This Row],[ISM]]</f>
        <v>11.219802856445313</v>
      </c>
      <c r="AL18">
        <f>'Pulse data'!M21</f>
        <v>0</v>
      </c>
      <c r="AM18">
        <f>Table1[[#This Row],[t bias]]+1</f>
        <v>1.1599999999999999</v>
      </c>
      <c r="AN18">
        <f>Table1[[#This Row],[t gain]]-0.5</f>
        <v>0.65999999999999992</v>
      </c>
      <c r="AO18">
        <f>Table1[[#This Row],[a kinetic trace]]* String2Single(CONCATENATE(Table1[[#This Row],[a gain hex]], "00")) + String2Single(CONCATENATE(Table1[[#This Row],[a bias hex]], "00"))</f>
        <v>1.15997314453125</v>
      </c>
      <c r="AP18">
        <f xml:space="preserve"> Table1[[#This Row],[a ptrace]]*Table1[[#This Row],[ISM]]</f>
        <v>19.71954345703125</v>
      </c>
      <c r="AQ18">
        <f>'Pulse data'!L21</f>
        <v>0</v>
      </c>
      <c r="AR18">
        <f>Table1[[#This Row],[t bias]]</f>
        <v>0.16</v>
      </c>
      <c r="AS18">
        <f>Table1[[#This Row],[t gain]]</f>
        <v>1.1599999999999999</v>
      </c>
      <c r="AT18">
        <f>Table1[[#This Row],[c kinetic trace]]* String2Single(CONCATENATE(Table1[[#This Row],[c gain hex]], "00")) + String2Single(CONCATENATE(Table1[[#This Row],[c bias hex]], "00"))</f>
        <v>0.15999984741210938</v>
      </c>
      <c r="AU18">
        <f xml:space="preserve"> Table1[[#This Row],[c ptrace]]*Table1[[#This Row],[ISM]]</f>
        <v>2.7199974060058594</v>
      </c>
      <c r="AV18">
        <f xml:space="preserve"> Table1[[#This Row],[t ctrace]] + Table1[[#This Row],[g ctrace]] + Table1[[#This Row],[a ctrace]] + Table1[[#This Row],[c ctrace]]</f>
        <v>36.379341125488281</v>
      </c>
      <c r="AW18" s="2" t="str">
        <f>DEC2HEX(Table1[[#This Row],[row]], 3)</f>
        <v>003</v>
      </c>
      <c r="AX18" s="1" t="str">
        <f>DEC2HEX(Table1[[#This Row],[col]], 3)</f>
        <v>036</v>
      </c>
      <c r="AY18" s="1" t="str">
        <f>DEC2HEX(Table1[[#This Row],[grn fsp idx]], 2)</f>
        <v>21</v>
      </c>
      <c r="AZ18" s="1" t="str">
        <f>DEC2HEX(Table1[[#This Row],[red fsp idx]], 2)</f>
        <v>DE</v>
      </c>
      <c r="BA18" s="1" t="str">
        <f>DEC2HEX(Table1[[#This Row],[ISMI]], 2)</f>
        <v>10</v>
      </c>
      <c r="BB18" s="1">
        <f>LEN(Table1[[#This Row],[DRAM data]])</f>
        <v>64</v>
      </c>
      <c r="BC1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00303621DE103E23D73F947A3F28F53F147A3F947A3F28F53E23D73F947A0002</v>
      </c>
      <c r="BV18"/>
    </row>
    <row r="19" spans="1:74" x14ac:dyDescent="0.25">
      <c r="A19" s="1" t="str">
        <f xml:space="preserve"> LEFT(Sng2String(Table1[[#This Row],[c bias]]), 6)</f>
        <v>3E2E14</v>
      </c>
      <c r="B19" s="1" t="str">
        <f xml:space="preserve"> LEFT(Sng2String(Table1[[#This Row],[a bias]]), 6)</f>
        <v>3F95C2</v>
      </c>
      <c r="C19" s="1" t="str">
        <f xml:space="preserve"> LEFT(Sng2String(Table1[[#This Row],[g bias]]), 6)</f>
        <v>3F2B85</v>
      </c>
      <c r="D19" s="1" t="str">
        <f xml:space="preserve"> LEFT(Sng2String(Table1[[#This Row],[t bias]]), 6)</f>
        <v>3E2E14</v>
      </c>
      <c r="E19" s="1" t="str">
        <f xml:space="preserve"> LEFT(Sng2String(Table1[[#This Row],[c gain]]), 6)</f>
        <v>3F95C2</v>
      </c>
      <c r="F19" s="1" t="str">
        <f xml:space="preserve"> LEFT(Sng2String(Table1[[#This Row],[a gain]]), 6)</f>
        <v>3F2B85</v>
      </c>
      <c r="G19" s="1" t="str">
        <f xml:space="preserve"> LEFT(Sng2String(Table1[[#This Row],[g gain]]), 6)</f>
        <v>3F15C2</v>
      </c>
      <c r="H19" s="1" t="str">
        <f xml:space="preserve"> LEFT(Sng2String(Table1[[#This Row],[t gain]]), 6)</f>
        <v>3F95C2</v>
      </c>
      <c r="I19" t="str">
        <f xml:space="preserve"> Sng2String(Table1[[#This Row],[c ptrace]])</f>
        <v>3E2E1400</v>
      </c>
      <c r="J19" t="str">
        <f xml:space="preserve"> Sng2String(Table1[[#This Row],[a ptrace]])</f>
        <v>3F95C200</v>
      </c>
      <c r="K19" t="str">
        <f xml:space="preserve"> Sng2String(Table1[[#This Row],[g ptrace]])</f>
        <v>3F2B8500</v>
      </c>
      <c r="L19" t="str">
        <f>Sng2String(Table1[[#This Row],[t ptrace]])</f>
        <v>3E2E1400</v>
      </c>
      <c r="M19" t="str">
        <f xml:space="preserve"> INDEX(SmallFP!$A$1:$A$256, Table1[[#This Row],[ISMI]]+1)</f>
        <v>419000</v>
      </c>
      <c r="N19" t="str">
        <f>Single2String(Table1[[#This Row],[c ctrace]])</f>
        <v>4043D680</v>
      </c>
      <c r="O19" t="str">
        <f>Single2String(Table1[[#This Row],[a ctrace]])</f>
        <v>41A87A40</v>
      </c>
      <c r="P19" t="str">
        <f xml:space="preserve"> Single2String(Table1[[#This Row],[g ctrace]])</f>
        <v>4140F5A0</v>
      </c>
      <c r="Q19" t="str">
        <f xml:space="preserve"> Single2String(Table1[[#This Row],[t ctrace]])</f>
        <v>4043D680</v>
      </c>
      <c r="R19" t="str">
        <f>Single2String(Table1[[#This Row],[grn and red ctrace]])</f>
        <v>421CF558</v>
      </c>
      <c r="S19">
        <v>17</v>
      </c>
      <c r="T19" t="str">
        <f>DEC2HEX(Table1[[#This Row],[ZMW num]])</f>
        <v>11</v>
      </c>
      <c r="U19">
        <f>Table1[[#This Row],[ZMW num]]+1</f>
        <v>18</v>
      </c>
      <c r="V19">
        <v>3</v>
      </c>
      <c r="W19">
        <v>57</v>
      </c>
      <c r="X19">
        <v>35</v>
      </c>
      <c r="Y19">
        <v>220</v>
      </c>
      <c r="Z19">
        <f>MOD(Table1[[#This Row],[ZMW num]], 2^8)</f>
        <v>17</v>
      </c>
      <c r="AA19">
        <f xml:space="preserve"> String2Single(Table1[[#This Row],[t ISIM hex]] &amp; "00")</f>
        <v>18</v>
      </c>
      <c r="AB19">
        <f>'Pulse data'!O22</f>
        <v>0</v>
      </c>
      <c r="AC19">
        <f>Table1[[#This Row],[ZMW num]]*0.01</f>
        <v>0.17</v>
      </c>
      <c r="AD19">
        <f>1+Table1[[#This Row],[t bias]]</f>
        <v>1.17</v>
      </c>
      <c r="AE19">
        <f>Table1[[#This Row],[t kinetic trace]]* String2Single(CONCATENATE(Table1[[#This Row],[t gain hex]], "00")) + String2Single(CONCATENATE(Table1[[#This Row],[t bias hex]], "00"))</f>
        <v>0.1699981689453125</v>
      </c>
      <c r="AF19">
        <f xml:space="preserve"> Table1[[#This Row],[t ptrace]]*Table1[[#This Row],[ISM]]</f>
        <v>3.059967041015625</v>
      </c>
      <c r="AG19">
        <f>'Pulse data'!N22</f>
        <v>0</v>
      </c>
      <c r="AH19">
        <f>Table1[[#This Row],[t bias]]+0.5</f>
        <v>0.67</v>
      </c>
      <c r="AI19">
        <f>Table1[[#This Row],[t gain]]/2</f>
        <v>0.58499999999999996</v>
      </c>
      <c r="AJ19">
        <f>Table1[[#This Row],[g kinetic trace]]* String2Single(CONCATENATE(Table1[[#This Row],[g gain hex]], "00")) + String2Single(CONCATENATE(Table1[[#This Row],[g bias hex]], "00"))</f>
        <v>0.6699981689453125</v>
      </c>
      <c r="AK19">
        <f xml:space="preserve"> Table1[[#This Row],[g ptrace]]*Table1[[#This Row],[ISM]]</f>
        <v>12.059967041015625</v>
      </c>
      <c r="AL19">
        <f>'Pulse data'!M22</f>
        <v>0</v>
      </c>
      <c r="AM19">
        <f>Table1[[#This Row],[t bias]]+1</f>
        <v>1.17</v>
      </c>
      <c r="AN19">
        <f>Table1[[#This Row],[t gain]]-0.5</f>
        <v>0.66999999999999993</v>
      </c>
      <c r="AO19">
        <f>Table1[[#This Row],[a kinetic trace]]* String2Single(CONCATENATE(Table1[[#This Row],[a gain hex]], "00")) + String2Single(CONCATENATE(Table1[[#This Row],[a bias hex]], "00"))</f>
        <v>1.16998291015625</v>
      </c>
      <c r="AP19">
        <f xml:space="preserve"> Table1[[#This Row],[a ptrace]]*Table1[[#This Row],[ISM]]</f>
        <v>21.0596923828125</v>
      </c>
      <c r="AQ19">
        <f>'Pulse data'!L22</f>
        <v>0</v>
      </c>
      <c r="AR19">
        <f>Table1[[#This Row],[t bias]]</f>
        <v>0.17</v>
      </c>
      <c r="AS19">
        <f>Table1[[#This Row],[t gain]]</f>
        <v>1.17</v>
      </c>
      <c r="AT19">
        <f>Table1[[#This Row],[c kinetic trace]]* String2Single(CONCATENATE(Table1[[#This Row],[c gain hex]], "00")) + String2Single(CONCATENATE(Table1[[#This Row],[c bias hex]], "00"))</f>
        <v>0.1699981689453125</v>
      </c>
      <c r="AU19">
        <f xml:space="preserve"> Table1[[#This Row],[c ptrace]]*Table1[[#This Row],[ISM]]</f>
        <v>3.059967041015625</v>
      </c>
      <c r="AV19">
        <f xml:space="preserve"> Table1[[#This Row],[t ctrace]] + Table1[[#This Row],[g ctrace]] + Table1[[#This Row],[a ctrace]] + Table1[[#This Row],[c ctrace]]</f>
        <v>39.239593505859375</v>
      </c>
      <c r="AW19" s="2" t="str">
        <f>DEC2HEX(Table1[[#This Row],[row]], 3)</f>
        <v>003</v>
      </c>
      <c r="AX19" s="1" t="str">
        <f>DEC2HEX(Table1[[#This Row],[col]], 3)</f>
        <v>039</v>
      </c>
      <c r="AY19" s="1" t="str">
        <f>DEC2HEX(Table1[[#This Row],[grn fsp idx]], 2)</f>
        <v>23</v>
      </c>
      <c r="AZ19" s="1" t="str">
        <f>DEC2HEX(Table1[[#This Row],[red fsp idx]], 2)</f>
        <v>DC</v>
      </c>
      <c r="BA19" s="1" t="str">
        <f>DEC2HEX(Table1[[#This Row],[ISMI]], 2)</f>
        <v>11</v>
      </c>
      <c r="BB19" s="1">
        <f>LEN(Table1[[#This Row],[DRAM data]])</f>
        <v>64</v>
      </c>
      <c r="BC1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00303923DC113E2E143F95C23F2B853F15C23F95C23F2B853E2E143F95C20002</v>
      </c>
      <c r="BV19"/>
    </row>
    <row r="20" spans="1:74" x14ac:dyDescent="0.25">
      <c r="A20" s="1" t="str">
        <f xml:space="preserve"> LEFT(Sng2String(Table1[[#This Row],[c bias]]), 6)</f>
        <v>3E3851</v>
      </c>
      <c r="B20" s="1" t="str">
        <f xml:space="preserve"> LEFT(Sng2String(Table1[[#This Row],[a bias]]), 6)</f>
        <v>3F970A</v>
      </c>
      <c r="C20" s="1" t="str">
        <f xml:space="preserve"> LEFT(Sng2String(Table1[[#This Row],[g bias]]), 6)</f>
        <v>3F2E14</v>
      </c>
      <c r="D20" s="1" t="str">
        <f xml:space="preserve"> LEFT(Sng2String(Table1[[#This Row],[t bias]]), 6)</f>
        <v>3E3851</v>
      </c>
      <c r="E20" s="1" t="str">
        <f xml:space="preserve"> LEFT(Sng2String(Table1[[#This Row],[c gain]]), 6)</f>
        <v>3F970A</v>
      </c>
      <c r="F20" s="1" t="str">
        <f xml:space="preserve"> LEFT(Sng2String(Table1[[#This Row],[a gain]]), 6)</f>
        <v>3F2E14</v>
      </c>
      <c r="G20" s="1" t="str">
        <f xml:space="preserve"> LEFT(Sng2String(Table1[[#This Row],[g gain]]), 6)</f>
        <v>3F170A</v>
      </c>
      <c r="H20" s="1" t="str">
        <f xml:space="preserve"> LEFT(Sng2String(Table1[[#This Row],[t gain]]), 6)</f>
        <v>3F970A</v>
      </c>
      <c r="I20" t="str">
        <f xml:space="preserve"> Sng2String(Table1[[#This Row],[c ptrace]])</f>
        <v>3E385100</v>
      </c>
      <c r="J20" t="str">
        <f xml:space="preserve"> Sng2String(Table1[[#This Row],[a ptrace]])</f>
        <v>3F970A00</v>
      </c>
      <c r="K20" t="str">
        <f xml:space="preserve"> Sng2String(Table1[[#This Row],[g ptrace]])</f>
        <v>3F2E1400</v>
      </c>
      <c r="L20" t="str">
        <f>Sng2String(Table1[[#This Row],[t ptrace]])</f>
        <v>3E385100</v>
      </c>
      <c r="M20" t="str">
        <f xml:space="preserve"> INDEX(SmallFP!$A$1:$A$256, Table1[[#This Row],[ISMI]]+1)</f>
        <v>419800</v>
      </c>
      <c r="N20" t="str">
        <f>Single2String(Table1[[#This Row],[c ctrace]])</f>
        <v>405AE030</v>
      </c>
      <c r="O20" t="str">
        <f>Single2String(Table1[[#This Row],[a ctrace]])</f>
        <v>41B35BE0</v>
      </c>
      <c r="P20" t="str">
        <f xml:space="preserve"> Single2String(Table1[[#This Row],[g ctrace]])</f>
        <v>414EB7C0</v>
      </c>
      <c r="Q20" t="str">
        <f xml:space="preserve"> Single2String(Table1[[#This Row],[t ctrace]])</f>
        <v>405AE030</v>
      </c>
      <c r="R20" t="str">
        <f>Single2String(Table1[[#This Row],[grn and red ctrace]])</f>
        <v>4228B7E6</v>
      </c>
      <c r="S20">
        <v>18</v>
      </c>
      <c r="T20" t="str">
        <f>DEC2HEX(Table1[[#This Row],[ZMW num]])</f>
        <v>12</v>
      </c>
      <c r="U20">
        <f>Table1[[#This Row],[ZMW num]]+1</f>
        <v>19</v>
      </c>
      <c r="V20">
        <v>3</v>
      </c>
      <c r="W20">
        <v>60</v>
      </c>
      <c r="X20">
        <v>37</v>
      </c>
      <c r="Y20">
        <v>218</v>
      </c>
      <c r="Z20">
        <f>MOD(Table1[[#This Row],[ZMW num]], 2^8)</f>
        <v>18</v>
      </c>
      <c r="AA20">
        <f xml:space="preserve"> String2Single(Table1[[#This Row],[t ISIM hex]] &amp; "00")</f>
        <v>19</v>
      </c>
      <c r="AB20">
        <f>'Pulse data'!O23</f>
        <v>0</v>
      </c>
      <c r="AC20">
        <f>Table1[[#This Row],[ZMW num]]*0.01</f>
        <v>0.18</v>
      </c>
      <c r="AD20">
        <f>1+Table1[[#This Row],[t bias]]</f>
        <v>1.18</v>
      </c>
      <c r="AE20">
        <f>Table1[[#This Row],[t kinetic trace]]* String2Single(CONCATENATE(Table1[[#This Row],[t gain hex]], "00")) + String2Single(CONCATENATE(Table1[[#This Row],[t bias hex]], "00"))</f>
        <v>0.17999649047851563</v>
      </c>
      <c r="AF20">
        <f xml:space="preserve"> Table1[[#This Row],[t ptrace]]*Table1[[#This Row],[ISM]]</f>
        <v>3.4199333190917969</v>
      </c>
      <c r="AG20">
        <f>'Pulse data'!N23</f>
        <v>0</v>
      </c>
      <c r="AH20">
        <f>Table1[[#This Row],[t bias]]+0.5</f>
        <v>0.67999999999999994</v>
      </c>
      <c r="AI20">
        <f>Table1[[#This Row],[t gain]]/2</f>
        <v>0.59</v>
      </c>
      <c r="AJ20">
        <f>Table1[[#This Row],[g kinetic trace]]* String2Single(CONCATENATE(Table1[[#This Row],[g gain hex]], "00")) + String2Single(CONCATENATE(Table1[[#This Row],[g bias hex]], "00"))</f>
        <v>0.67999267578125</v>
      </c>
      <c r="AK20">
        <f xml:space="preserve"> Table1[[#This Row],[g ptrace]]*Table1[[#This Row],[ISM]]</f>
        <v>12.91986083984375</v>
      </c>
      <c r="AL20">
        <f>'Pulse data'!M23</f>
        <v>0</v>
      </c>
      <c r="AM20">
        <f>Table1[[#This Row],[t bias]]+1</f>
        <v>1.18</v>
      </c>
      <c r="AN20">
        <f>Table1[[#This Row],[t gain]]-0.5</f>
        <v>0.67999999999999994</v>
      </c>
      <c r="AO20">
        <f>Table1[[#This Row],[a kinetic trace]]* String2Single(CONCATENATE(Table1[[#This Row],[a gain hex]], "00")) + String2Single(CONCATENATE(Table1[[#This Row],[a bias hex]], "00"))</f>
        <v>1.17999267578125</v>
      </c>
      <c r="AP20">
        <f xml:space="preserve"> Table1[[#This Row],[a ptrace]]*Table1[[#This Row],[ISM]]</f>
        <v>22.41986083984375</v>
      </c>
      <c r="AQ20">
        <f>'Pulse data'!L23</f>
        <v>0</v>
      </c>
      <c r="AR20">
        <f>Table1[[#This Row],[t bias]]</f>
        <v>0.18</v>
      </c>
      <c r="AS20">
        <f>Table1[[#This Row],[t gain]]</f>
        <v>1.18</v>
      </c>
      <c r="AT20">
        <f>Table1[[#This Row],[c kinetic trace]]* String2Single(CONCATENATE(Table1[[#This Row],[c gain hex]], "00")) + String2Single(CONCATENATE(Table1[[#This Row],[c bias hex]], "00"))</f>
        <v>0.17999649047851563</v>
      </c>
      <c r="AU20">
        <f xml:space="preserve"> Table1[[#This Row],[c ptrace]]*Table1[[#This Row],[ISM]]</f>
        <v>3.4199333190917969</v>
      </c>
      <c r="AV20">
        <f xml:space="preserve"> Table1[[#This Row],[t ctrace]] + Table1[[#This Row],[g ctrace]] + Table1[[#This Row],[a ctrace]] + Table1[[#This Row],[c ctrace]]</f>
        <v>42.179588317871094</v>
      </c>
      <c r="AW20" s="2" t="str">
        <f>DEC2HEX(Table1[[#This Row],[row]], 3)</f>
        <v>003</v>
      </c>
      <c r="AX20" s="1" t="str">
        <f>DEC2HEX(Table1[[#This Row],[col]], 3)</f>
        <v>03C</v>
      </c>
      <c r="AY20" s="1" t="str">
        <f>DEC2HEX(Table1[[#This Row],[grn fsp idx]], 2)</f>
        <v>25</v>
      </c>
      <c r="AZ20" s="1" t="str">
        <f>DEC2HEX(Table1[[#This Row],[red fsp idx]], 2)</f>
        <v>DA</v>
      </c>
      <c r="BA20" s="1" t="str">
        <f>DEC2HEX(Table1[[#This Row],[ISMI]], 2)</f>
        <v>12</v>
      </c>
      <c r="BB20" s="1">
        <f>LEN(Table1[[#This Row],[DRAM data]])</f>
        <v>64</v>
      </c>
      <c r="BC2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00303C25DA123E38513F970A3F2E143F170A3F970A3F2E143E38513F970A0002</v>
      </c>
      <c r="BV20"/>
    </row>
    <row r="21" spans="1:74" x14ac:dyDescent="0.25">
      <c r="A21" s="1" t="str">
        <f xml:space="preserve"> LEFT(Sng2String(Table1[[#This Row],[c bias]]), 6)</f>
        <v>3E428F</v>
      </c>
      <c r="B21" s="1" t="str">
        <f xml:space="preserve"> LEFT(Sng2String(Table1[[#This Row],[a bias]]), 6)</f>
        <v>3F9851</v>
      </c>
      <c r="C21" s="1" t="str">
        <f xml:space="preserve"> LEFT(Sng2String(Table1[[#This Row],[g bias]]), 6)</f>
        <v>3F30A3</v>
      </c>
      <c r="D21" s="1" t="str">
        <f xml:space="preserve"> LEFT(Sng2String(Table1[[#This Row],[t bias]]), 6)</f>
        <v>3E428F</v>
      </c>
      <c r="E21" s="1" t="str">
        <f xml:space="preserve"> LEFT(Sng2String(Table1[[#This Row],[c gain]]), 6)</f>
        <v>3F9851</v>
      </c>
      <c r="F21" s="1" t="str">
        <f xml:space="preserve"> LEFT(Sng2String(Table1[[#This Row],[a gain]]), 6)</f>
        <v>3F30A3</v>
      </c>
      <c r="G21" s="1" t="str">
        <f xml:space="preserve"> LEFT(Sng2String(Table1[[#This Row],[g gain]]), 6)</f>
        <v>3F1851</v>
      </c>
      <c r="H21" s="1" t="str">
        <f xml:space="preserve"> LEFT(Sng2String(Table1[[#This Row],[t gain]]), 6)</f>
        <v>3F9851</v>
      </c>
      <c r="I21" t="str">
        <f xml:space="preserve"> Sng2String(Table1[[#This Row],[c ptrace]])</f>
        <v>3E428F00</v>
      </c>
      <c r="J21" t="str">
        <f xml:space="preserve"> Sng2String(Table1[[#This Row],[a ptrace]])</f>
        <v>3F985100</v>
      </c>
      <c r="K21" t="str">
        <f xml:space="preserve"> Sng2String(Table1[[#This Row],[g ptrace]])</f>
        <v>3F30A300</v>
      </c>
      <c r="L21" t="str">
        <f>Sng2String(Table1[[#This Row],[t ptrace]])</f>
        <v>3E428F00</v>
      </c>
      <c r="M21" t="str">
        <f xml:space="preserve"> INDEX(SmallFP!$A$1:$A$256, Table1[[#This Row],[ISMI]]+1)</f>
        <v>41A000</v>
      </c>
      <c r="N21" t="str">
        <f>Single2String(Table1[[#This Row],[c ctrace]])</f>
        <v>407332C0</v>
      </c>
      <c r="O21" t="str">
        <f>Single2String(Table1[[#This Row],[a ctrace]])</f>
        <v>41BE6540</v>
      </c>
      <c r="P21" t="str">
        <f xml:space="preserve"> Single2String(Table1[[#This Row],[g ctrace]])</f>
        <v>415CCBC0</v>
      </c>
      <c r="Q21" t="str">
        <f xml:space="preserve"> Single2String(Table1[[#This Row],[t ctrace]])</f>
        <v>407332C0</v>
      </c>
      <c r="R21" t="str">
        <f>Single2String(Table1[[#This Row],[grn and red ctrace]])</f>
        <v>4234CBE8</v>
      </c>
      <c r="S21">
        <v>19</v>
      </c>
      <c r="T21" t="str">
        <f>DEC2HEX(Table1[[#This Row],[ZMW num]])</f>
        <v>13</v>
      </c>
      <c r="U21">
        <f>Table1[[#This Row],[ZMW num]]+1</f>
        <v>20</v>
      </c>
      <c r="V21">
        <v>3</v>
      </c>
      <c r="W21">
        <v>64</v>
      </c>
      <c r="X21">
        <v>39</v>
      </c>
      <c r="Y21">
        <v>216</v>
      </c>
      <c r="Z21">
        <f>MOD(Table1[[#This Row],[ZMW num]], 2^8)</f>
        <v>19</v>
      </c>
      <c r="AA21">
        <f xml:space="preserve"> String2Single(Table1[[#This Row],[t ISIM hex]] &amp; "00")</f>
        <v>20</v>
      </c>
      <c r="AB21">
        <f>'Pulse data'!O24</f>
        <v>0</v>
      </c>
      <c r="AC21">
        <f>Table1[[#This Row],[ZMW num]]*0.01</f>
        <v>0.19</v>
      </c>
      <c r="AD21">
        <f>1+Table1[[#This Row],[t bias]]</f>
        <v>1.19</v>
      </c>
      <c r="AE21">
        <f>Table1[[#This Row],[t kinetic trace]]* String2Single(CONCATENATE(Table1[[#This Row],[t gain hex]], "00")) + String2Single(CONCATENATE(Table1[[#This Row],[t bias hex]], "00"))</f>
        <v>0.18999862670898438</v>
      </c>
      <c r="AF21">
        <f xml:space="preserve"> Table1[[#This Row],[t ptrace]]*Table1[[#This Row],[ISM]]</f>
        <v>3.7999725341796875</v>
      </c>
      <c r="AG21">
        <f>'Pulse data'!N24</f>
        <v>0</v>
      </c>
      <c r="AH21">
        <f>Table1[[#This Row],[t bias]]+0.5</f>
        <v>0.69</v>
      </c>
      <c r="AI21">
        <f>Table1[[#This Row],[t gain]]/2</f>
        <v>0.59499999999999997</v>
      </c>
      <c r="AJ21">
        <f>Table1[[#This Row],[g kinetic trace]]* String2Single(CONCATENATE(Table1[[#This Row],[g gain hex]], "00")) + String2Single(CONCATENATE(Table1[[#This Row],[g bias hex]], "00"))</f>
        <v>0.6899871826171875</v>
      </c>
      <c r="AK21">
        <f xml:space="preserve"> Table1[[#This Row],[g ptrace]]*Table1[[#This Row],[ISM]]</f>
        <v>13.79974365234375</v>
      </c>
      <c r="AL21">
        <f>'Pulse data'!M24</f>
        <v>0</v>
      </c>
      <c r="AM21">
        <f>Table1[[#This Row],[t bias]]+1</f>
        <v>1.19</v>
      </c>
      <c r="AN21">
        <f>Table1[[#This Row],[t gain]]-0.5</f>
        <v>0.69</v>
      </c>
      <c r="AO21">
        <f>Table1[[#This Row],[a kinetic trace]]* String2Single(CONCATENATE(Table1[[#This Row],[a gain hex]], "00")) + String2Single(CONCATENATE(Table1[[#This Row],[a bias hex]], "00"))</f>
        <v>1.189971923828125</v>
      </c>
      <c r="AP21">
        <f xml:space="preserve"> Table1[[#This Row],[a ptrace]]*Table1[[#This Row],[ISM]]</f>
        <v>23.7994384765625</v>
      </c>
      <c r="AQ21">
        <f>'Pulse data'!L24</f>
        <v>0</v>
      </c>
      <c r="AR21">
        <f>Table1[[#This Row],[t bias]]</f>
        <v>0.19</v>
      </c>
      <c r="AS21">
        <f>Table1[[#This Row],[t gain]]</f>
        <v>1.19</v>
      </c>
      <c r="AT21">
        <f>Table1[[#This Row],[c kinetic trace]]* String2Single(CONCATENATE(Table1[[#This Row],[c gain hex]], "00")) + String2Single(CONCATENATE(Table1[[#This Row],[c bias hex]], "00"))</f>
        <v>0.18999862670898438</v>
      </c>
      <c r="AU21">
        <f xml:space="preserve"> Table1[[#This Row],[c ptrace]]*Table1[[#This Row],[ISM]]</f>
        <v>3.7999725341796875</v>
      </c>
      <c r="AV21">
        <f xml:space="preserve"> Table1[[#This Row],[t ctrace]] + Table1[[#This Row],[g ctrace]] + Table1[[#This Row],[a ctrace]] + Table1[[#This Row],[c ctrace]]</f>
        <v>45.199127197265625</v>
      </c>
      <c r="AW21" s="2" t="str">
        <f>DEC2HEX(Table1[[#This Row],[row]], 3)</f>
        <v>003</v>
      </c>
      <c r="AX21" s="1" t="str">
        <f>DEC2HEX(Table1[[#This Row],[col]], 3)</f>
        <v>040</v>
      </c>
      <c r="AY21" s="1" t="str">
        <f>DEC2HEX(Table1[[#This Row],[grn fsp idx]], 2)</f>
        <v>27</v>
      </c>
      <c r="AZ21" s="1" t="str">
        <f>DEC2HEX(Table1[[#This Row],[red fsp idx]], 2)</f>
        <v>D8</v>
      </c>
      <c r="BA21" s="1" t="str">
        <f>DEC2HEX(Table1[[#This Row],[ISMI]], 2)</f>
        <v>13</v>
      </c>
      <c r="BB21" s="1">
        <f>LEN(Table1[[#This Row],[DRAM data]])</f>
        <v>64</v>
      </c>
      <c r="BC2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00304027D8133E428F3F98513F30A33F18513F98513F30A33E428F3F98510002</v>
      </c>
      <c r="BV21"/>
    </row>
    <row r="22" spans="1:74" x14ac:dyDescent="0.25">
      <c r="A22" s="1" t="str">
        <f xml:space="preserve"> LEFT(Sng2String(Table1[[#This Row],[c bias]]), 6)</f>
        <v>3E4CCC</v>
      </c>
      <c r="B22" s="1" t="str">
        <f xml:space="preserve"> LEFT(Sng2String(Table1[[#This Row],[a bias]]), 6)</f>
        <v>3F9999</v>
      </c>
      <c r="C22" s="1" t="str">
        <f xml:space="preserve"> LEFT(Sng2String(Table1[[#This Row],[g bias]]), 6)</f>
        <v>3F3333</v>
      </c>
      <c r="D22" s="1" t="str">
        <f xml:space="preserve"> LEFT(Sng2String(Table1[[#This Row],[t bias]]), 6)</f>
        <v>3E4CCC</v>
      </c>
      <c r="E22" s="1" t="str">
        <f xml:space="preserve"> LEFT(Sng2String(Table1[[#This Row],[c gain]]), 6)</f>
        <v>3F9999</v>
      </c>
      <c r="F22" s="1" t="str">
        <f xml:space="preserve"> LEFT(Sng2String(Table1[[#This Row],[a gain]]), 6)</f>
        <v>3F3333</v>
      </c>
      <c r="G22" s="1" t="str">
        <f xml:space="preserve"> LEFT(Sng2String(Table1[[#This Row],[g gain]]), 6)</f>
        <v>3F1999</v>
      </c>
      <c r="H22" s="1" t="str">
        <f xml:space="preserve"> LEFT(Sng2String(Table1[[#This Row],[t gain]]), 6)</f>
        <v>3F9999</v>
      </c>
      <c r="I22" t="str">
        <f xml:space="preserve"> Sng2String(Table1[[#This Row],[c ptrace]])</f>
        <v>3E4CCC00</v>
      </c>
      <c r="J22" t="str">
        <f xml:space="preserve"> Sng2String(Table1[[#This Row],[a ptrace]])</f>
        <v>3F999900</v>
      </c>
      <c r="K22" t="str">
        <f xml:space="preserve"> Sng2String(Table1[[#This Row],[g ptrace]])</f>
        <v>3F333300</v>
      </c>
      <c r="L22" t="str">
        <f>Sng2String(Table1[[#This Row],[t ptrace]])</f>
        <v>3E4CCC00</v>
      </c>
      <c r="M22" t="str">
        <f xml:space="preserve"> INDEX(SmallFP!$A$1:$A$256, Table1[[#This Row],[ISMI]]+1)</f>
        <v>41A800</v>
      </c>
      <c r="N22" t="str">
        <f>Single2String(Table1[[#This Row],[c ctrace]])</f>
        <v>408665E0</v>
      </c>
      <c r="O22" t="str">
        <f>Single2String(Table1[[#This Row],[a ctrace]])</f>
        <v>41C998D0</v>
      </c>
      <c r="P22" t="str">
        <f xml:space="preserve"> Single2String(Table1[[#This Row],[g ctrace]])</f>
        <v>416B32F0</v>
      </c>
      <c r="Q22" t="str">
        <f xml:space="preserve"> Single2String(Table1[[#This Row],[t ctrace]])</f>
        <v>408665E0</v>
      </c>
      <c r="R22" t="str">
        <f>Single2String(Table1[[#This Row],[grn and red ctrace]])</f>
        <v>4241329C</v>
      </c>
      <c r="S22">
        <v>20</v>
      </c>
      <c r="T22" t="str">
        <f>DEC2HEX(Table1[[#This Row],[ZMW num]])</f>
        <v>14</v>
      </c>
      <c r="U22">
        <f>Table1[[#This Row],[ZMW num]]+1</f>
        <v>21</v>
      </c>
      <c r="V22">
        <v>3</v>
      </c>
      <c r="W22">
        <v>66</v>
      </c>
      <c r="X22">
        <v>41</v>
      </c>
      <c r="Y22">
        <v>214</v>
      </c>
      <c r="Z22">
        <f>MOD(Table1[[#This Row],[ZMW num]], 2^8)</f>
        <v>20</v>
      </c>
      <c r="AA22">
        <f xml:space="preserve"> String2Single(Table1[[#This Row],[t ISIM hex]] &amp; "00")</f>
        <v>21</v>
      </c>
      <c r="AB22">
        <f>'Pulse data'!O25</f>
        <v>0</v>
      </c>
      <c r="AC22">
        <f>Table1[[#This Row],[ZMW num]]*0.01</f>
        <v>0.2</v>
      </c>
      <c r="AD22">
        <f>1+Table1[[#This Row],[t bias]]</f>
        <v>1.2</v>
      </c>
      <c r="AE22">
        <f>Table1[[#This Row],[t kinetic trace]]* String2Single(CONCATENATE(Table1[[#This Row],[t gain hex]], "00")) + String2Single(CONCATENATE(Table1[[#This Row],[t bias hex]], "00"))</f>
        <v>0.1999969482421875</v>
      </c>
      <c r="AF22">
        <f xml:space="preserve"> Table1[[#This Row],[t ptrace]]*Table1[[#This Row],[ISM]]</f>
        <v>4.1999359130859375</v>
      </c>
      <c r="AG22">
        <f>'Pulse data'!N25</f>
        <v>0</v>
      </c>
      <c r="AH22">
        <f>Table1[[#This Row],[t bias]]+0.5</f>
        <v>0.7</v>
      </c>
      <c r="AI22">
        <f>Table1[[#This Row],[t gain]]/2</f>
        <v>0.6</v>
      </c>
      <c r="AJ22">
        <f>Table1[[#This Row],[g kinetic trace]]* String2Single(CONCATENATE(Table1[[#This Row],[g gain hex]], "00")) + String2Single(CONCATENATE(Table1[[#This Row],[g bias hex]], "00"))</f>
        <v>0.6999969482421875</v>
      </c>
      <c r="AK22">
        <f xml:space="preserve"> Table1[[#This Row],[g ptrace]]*Table1[[#This Row],[ISM]]</f>
        <v>14.699935913085938</v>
      </c>
      <c r="AL22">
        <f>'Pulse data'!M25</f>
        <v>0</v>
      </c>
      <c r="AM22">
        <f>Table1[[#This Row],[t bias]]+1</f>
        <v>1.2</v>
      </c>
      <c r="AN22">
        <f>Table1[[#This Row],[t gain]]-0.5</f>
        <v>0.7</v>
      </c>
      <c r="AO22">
        <f>Table1[[#This Row],[a kinetic trace]]* String2Single(CONCATENATE(Table1[[#This Row],[a gain hex]], "00")) + String2Single(CONCATENATE(Table1[[#This Row],[a bias hex]], "00"))</f>
        <v>1.199981689453125</v>
      </c>
      <c r="AP22">
        <f xml:space="preserve"> Table1[[#This Row],[a ptrace]]*Table1[[#This Row],[ISM]]</f>
        <v>25.199615478515625</v>
      </c>
      <c r="AQ22">
        <f>'Pulse data'!L25</f>
        <v>0</v>
      </c>
      <c r="AR22">
        <f>Table1[[#This Row],[t bias]]</f>
        <v>0.2</v>
      </c>
      <c r="AS22">
        <f>Table1[[#This Row],[t gain]]</f>
        <v>1.2</v>
      </c>
      <c r="AT22">
        <f>Table1[[#This Row],[c kinetic trace]]* String2Single(CONCATENATE(Table1[[#This Row],[c gain hex]], "00")) + String2Single(CONCATENATE(Table1[[#This Row],[c bias hex]], "00"))</f>
        <v>0.1999969482421875</v>
      </c>
      <c r="AU22">
        <f xml:space="preserve"> Table1[[#This Row],[c ptrace]]*Table1[[#This Row],[ISM]]</f>
        <v>4.1999359130859375</v>
      </c>
      <c r="AV22">
        <f xml:space="preserve"> Table1[[#This Row],[t ctrace]] + Table1[[#This Row],[g ctrace]] + Table1[[#This Row],[a ctrace]] + Table1[[#This Row],[c ctrace]]</f>
        <v>48.299423217773438</v>
      </c>
      <c r="AW22" s="2" t="str">
        <f>DEC2HEX(Table1[[#This Row],[row]], 3)</f>
        <v>003</v>
      </c>
      <c r="AX22" s="1" t="str">
        <f>DEC2HEX(Table1[[#This Row],[col]], 3)</f>
        <v>042</v>
      </c>
      <c r="AY22" s="1" t="str">
        <f>DEC2HEX(Table1[[#This Row],[grn fsp idx]], 2)</f>
        <v>29</v>
      </c>
      <c r="AZ22" s="1" t="str">
        <f>DEC2HEX(Table1[[#This Row],[red fsp idx]], 2)</f>
        <v>D6</v>
      </c>
      <c r="BA22" s="1" t="str">
        <f>DEC2HEX(Table1[[#This Row],[ISMI]], 2)</f>
        <v>14</v>
      </c>
      <c r="BB22" s="1">
        <f>LEN(Table1[[#This Row],[DRAM data]])</f>
        <v>64</v>
      </c>
      <c r="BC2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00304229D6143E4CCC3F99993F33333F19993F99993F33333E4CCC3F99990002</v>
      </c>
      <c r="BV22"/>
    </row>
    <row r="23" spans="1:74" x14ac:dyDescent="0.25">
      <c r="A23" s="1" t="str">
        <f xml:space="preserve"> LEFT(Sng2String(Table1[[#This Row],[c bias]]), 6)</f>
        <v>3E570A</v>
      </c>
      <c r="B23" s="1" t="str">
        <f xml:space="preserve"> LEFT(Sng2String(Table1[[#This Row],[a bias]]), 6)</f>
        <v>3F9AE1</v>
      </c>
      <c r="C23" s="1" t="str">
        <f xml:space="preserve"> LEFT(Sng2String(Table1[[#This Row],[g bias]]), 6)</f>
        <v>3F35C2</v>
      </c>
      <c r="D23" s="1" t="str">
        <f xml:space="preserve"> LEFT(Sng2String(Table1[[#This Row],[t bias]]), 6)</f>
        <v>3E570A</v>
      </c>
      <c r="E23" s="1" t="str">
        <f xml:space="preserve"> LEFT(Sng2String(Table1[[#This Row],[c gain]]), 6)</f>
        <v>3F9AE1</v>
      </c>
      <c r="F23" s="1" t="str">
        <f xml:space="preserve"> LEFT(Sng2String(Table1[[#This Row],[a gain]]), 6)</f>
        <v>3F35C2</v>
      </c>
      <c r="G23" s="1" t="str">
        <f xml:space="preserve"> LEFT(Sng2String(Table1[[#This Row],[g gain]]), 6)</f>
        <v>3F1AE1</v>
      </c>
      <c r="H23" s="1" t="str">
        <f xml:space="preserve"> LEFT(Sng2String(Table1[[#This Row],[t gain]]), 6)</f>
        <v>3F9AE1</v>
      </c>
      <c r="I23" t="str">
        <f xml:space="preserve"> Sng2String(Table1[[#This Row],[c ptrace]])</f>
        <v>3E570A00</v>
      </c>
      <c r="J23" t="str">
        <f xml:space="preserve"> Sng2String(Table1[[#This Row],[a ptrace]])</f>
        <v>3F9AE100</v>
      </c>
      <c r="K23" t="str">
        <f xml:space="preserve"> Sng2String(Table1[[#This Row],[g ptrace]])</f>
        <v>3F35C200</v>
      </c>
      <c r="L23" t="str">
        <f>Sng2String(Table1[[#This Row],[t ptrace]])</f>
        <v>3E570A00</v>
      </c>
      <c r="M23" t="str">
        <f xml:space="preserve"> INDEX(SmallFP!$A$1:$A$256, Table1[[#This Row],[ISMI]]+1)</f>
        <v>41B000</v>
      </c>
      <c r="N23" t="str">
        <f>Single2String(Table1[[#This Row],[c ctrace]])</f>
        <v>4093D6E0</v>
      </c>
      <c r="O23" t="str">
        <f>Single2String(Table1[[#This Row],[a ctrace]])</f>
        <v>41D4F560</v>
      </c>
      <c r="P23" t="str">
        <f xml:space="preserve"> Single2String(Table1[[#This Row],[g ctrace]])</f>
        <v>4179EAC0</v>
      </c>
      <c r="Q23" t="str">
        <f xml:space="preserve"> Single2String(Table1[[#This Row],[t ctrace]])</f>
        <v>4093D6E0</v>
      </c>
      <c r="R23" t="str">
        <f>Single2String(Table1[[#This Row],[grn and red ctrace]])</f>
        <v>424DEB18</v>
      </c>
      <c r="S23">
        <v>21</v>
      </c>
      <c r="T23" t="str">
        <f>DEC2HEX(Table1[[#This Row],[ZMW num]])</f>
        <v>15</v>
      </c>
      <c r="U23">
        <f>Table1[[#This Row],[ZMW num]]+1</f>
        <v>22</v>
      </c>
      <c r="V23">
        <v>3</v>
      </c>
      <c r="W23">
        <v>69</v>
      </c>
      <c r="X23">
        <v>43</v>
      </c>
      <c r="Y23">
        <v>212</v>
      </c>
      <c r="Z23">
        <f>MOD(Table1[[#This Row],[ZMW num]], 2^8)</f>
        <v>21</v>
      </c>
      <c r="AA23">
        <f xml:space="preserve"> String2Single(Table1[[#This Row],[t ISIM hex]] &amp; "00")</f>
        <v>22</v>
      </c>
      <c r="AB23">
        <f>'Pulse data'!O26</f>
        <v>0</v>
      </c>
      <c r="AC23">
        <f>Table1[[#This Row],[ZMW num]]*0.01</f>
        <v>0.21</v>
      </c>
      <c r="AD23">
        <f>1+Table1[[#This Row],[t bias]]</f>
        <v>1.21</v>
      </c>
      <c r="AE23">
        <f>Table1[[#This Row],[t kinetic trace]]* String2Single(CONCATENATE(Table1[[#This Row],[t gain hex]], "00")) + String2Single(CONCATENATE(Table1[[#This Row],[t bias hex]], "00"))</f>
        <v>0.20999908447265625</v>
      </c>
      <c r="AF23">
        <f xml:space="preserve"> Table1[[#This Row],[t ptrace]]*Table1[[#This Row],[ISM]]</f>
        <v>4.6199798583984375</v>
      </c>
      <c r="AG23">
        <f>'Pulse data'!N26</f>
        <v>0</v>
      </c>
      <c r="AH23">
        <f>Table1[[#This Row],[t bias]]+0.5</f>
        <v>0.71</v>
      </c>
      <c r="AI23">
        <f>Table1[[#This Row],[t gain]]/2</f>
        <v>0.60499999999999998</v>
      </c>
      <c r="AJ23">
        <f>Table1[[#This Row],[g kinetic trace]]* String2Single(CONCATENATE(Table1[[#This Row],[g gain hex]], "00")) + String2Single(CONCATENATE(Table1[[#This Row],[g bias hex]], "00"))</f>
        <v>0.709991455078125</v>
      </c>
      <c r="AK23">
        <f xml:space="preserve"> Table1[[#This Row],[g ptrace]]*Table1[[#This Row],[ISM]]</f>
        <v>15.61981201171875</v>
      </c>
      <c r="AL23">
        <f>'Pulse data'!M26</f>
        <v>0</v>
      </c>
      <c r="AM23">
        <f>Table1[[#This Row],[t bias]]+1</f>
        <v>1.21</v>
      </c>
      <c r="AN23">
        <f>Table1[[#This Row],[t gain]]-0.5</f>
        <v>0.71</v>
      </c>
      <c r="AO23">
        <f>Table1[[#This Row],[a kinetic trace]]* String2Single(CONCATENATE(Table1[[#This Row],[a gain hex]], "00")) + String2Single(CONCATENATE(Table1[[#This Row],[a bias hex]], "00"))</f>
        <v>1.209991455078125</v>
      </c>
      <c r="AP23">
        <f xml:space="preserve"> Table1[[#This Row],[a ptrace]]*Table1[[#This Row],[ISM]]</f>
        <v>26.61981201171875</v>
      </c>
      <c r="AQ23">
        <f>'Pulse data'!L26</f>
        <v>0</v>
      </c>
      <c r="AR23">
        <f>Table1[[#This Row],[t bias]]</f>
        <v>0.21</v>
      </c>
      <c r="AS23">
        <f>Table1[[#This Row],[t gain]]</f>
        <v>1.21</v>
      </c>
      <c r="AT23">
        <f>Table1[[#This Row],[c kinetic trace]]* String2Single(CONCATENATE(Table1[[#This Row],[c gain hex]], "00")) + String2Single(CONCATENATE(Table1[[#This Row],[c bias hex]], "00"))</f>
        <v>0.20999908447265625</v>
      </c>
      <c r="AU23">
        <f xml:space="preserve"> Table1[[#This Row],[c ptrace]]*Table1[[#This Row],[ISM]]</f>
        <v>4.6199798583984375</v>
      </c>
      <c r="AV23">
        <f xml:space="preserve"> Table1[[#This Row],[t ctrace]] + Table1[[#This Row],[g ctrace]] + Table1[[#This Row],[a ctrace]] + Table1[[#This Row],[c ctrace]]</f>
        <v>51.479583740234375</v>
      </c>
      <c r="AW23" s="2" t="str">
        <f>DEC2HEX(Table1[[#This Row],[row]], 3)</f>
        <v>003</v>
      </c>
      <c r="AX23" s="1" t="str">
        <f>DEC2HEX(Table1[[#This Row],[col]], 3)</f>
        <v>045</v>
      </c>
      <c r="AY23" s="1" t="str">
        <f>DEC2HEX(Table1[[#This Row],[grn fsp idx]], 2)</f>
        <v>2B</v>
      </c>
      <c r="AZ23" s="1" t="str">
        <f>DEC2HEX(Table1[[#This Row],[red fsp idx]], 2)</f>
        <v>D4</v>
      </c>
      <c r="BA23" s="1" t="str">
        <f>DEC2HEX(Table1[[#This Row],[ISMI]], 2)</f>
        <v>15</v>
      </c>
      <c r="BB23" s="1">
        <f>LEN(Table1[[#This Row],[DRAM data]])</f>
        <v>64</v>
      </c>
      <c r="BC2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0030452BD4153E570A3F9AE13F35C23F1AE13F9AE13F35C23E570A3F9AE10002</v>
      </c>
      <c r="BV23"/>
    </row>
    <row r="24" spans="1:74" x14ac:dyDescent="0.25">
      <c r="A24" s="1" t="str">
        <f xml:space="preserve"> LEFT(Sng2String(Table1[[#This Row],[c bias]]), 6)</f>
        <v>3E6147</v>
      </c>
      <c r="B24" s="1" t="str">
        <f xml:space="preserve"> LEFT(Sng2String(Table1[[#This Row],[a bias]]), 6)</f>
        <v>3F9C28</v>
      </c>
      <c r="C24" s="1" t="str">
        <f xml:space="preserve"> LEFT(Sng2String(Table1[[#This Row],[g bias]]), 6)</f>
        <v>3F3851</v>
      </c>
      <c r="D24" s="1" t="str">
        <f xml:space="preserve"> LEFT(Sng2String(Table1[[#This Row],[t bias]]), 6)</f>
        <v>3E6147</v>
      </c>
      <c r="E24" s="1" t="str">
        <f xml:space="preserve"> LEFT(Sng2String(Table1[[#This Row],[c gain]]), 6)</f>
        <v>3F9C28</v>
      </c>
      <c r="F24" s="1" t="str">
        <f xml:space="preserve"> LEFT(Sng2String(Table1[[#This Row],[a gain]]), 6)</f>
        <v>3F3851</v>
      </c>
      <c r="G24" s="1" t="str">
        <f xml:space="preserve"> LEFT(Sng2String(Table1[[#This Row],[g gain]]), 6)</f>
        <v>3F1C28</v>
      </c>
      <c r="H24" s="1" t="str">
        <f xml:space="preserve"> LEFT(Sng2String(Table1[[#This Row],[t gain]]), 6)</f>
        <v>3F9C28</v>
      </c>
      <c r="I24" t="str">
        <f xml:space="preserve"> Sng2String(Table1[[#This Row],[c ptrace]])</f>
        <v>3E614700</v>
      </c>
      <c r="J24" t="str">
        <f xml:space="preserve"> Sng2String(Table1[[#This Row],[a ptrace]])</f>
        <v>3F9C2800</v>
      </c>
      <c r="K24" t="str">
        <f xml:space="preserve"> Sng2String(Table1[[#This Row],[g ptrace]])</f>
        <v>3F385100</v>
      </c>
      <c r="L24" t="str">
        <f>Sng2String(Table1[[#This Row],[t ptrace]])</f>
        <v>3E614700</v>
      </c>
      <c r="M24" t="str">
        <f xml:space="preserve"> INDEX(SmallFP!$A$1:$A$256, Table1[[#This Row],[ISMI]]+1)</f>
        <v>41B800</v>
      </c>
      <c r="N24" t="str">
        <f>Single2String(Table1[[#This Row],[c ctrace]])</f>
        <v>40A1EB08</v>
      </c>
      <c r="O24" t="str">
        <f>Single2String(Table1[[#This Row],[a ctrace]])</f>
        <v>41E07980</v>
      </c>
      <c r="P24" t="str">
        <f xml:space="preserve"> Single2String(Table1[[#This Row],[g ctrace]])</f>
        <v>41847A38</v>
      </c>
      <c r="Q24" t="str">
        <f xml:space="preserve"> Single2String(Table1[[#This Row],[t ctrace]])</f>
        <v>40A1EB08</v>
      </c>
      <c r="R24" t="str">
        <f>Single2String(Table1[[#This Row],[grn and red ctrace]])</f>
        <v>425AF49E</v>
      </c>
      <c r="S24">
        <v>22</v>
      </c>
      <c r="T24" t="str">
        <f>DEC2HEX(Table1[[#This Row],[ZMW num]])</f>
        <v>16</v>
      </c>
      <c r="U24">
        <f>Table1[[#This Row],[ZMW num]]+1</f>
        <v>23</v>
      </c>
      <c r="V24">
        <v>3</v>
      </c>
      <c r="W24">
        <v>72</v>
      </c>
      <c r="X24">
        <v>45</v>
      </c>
      <c r="Y24">
        <v>210</v>
      </c>
      <c r="Z24">
        <f>MOD(Table1[[#This Row],[ZMW num]], 2^8)</f>
        <v>22</v>
      </c>
      <c r="AA24">
        <f xml:space="preserve"> String2Single(Table1[[#This Row],[t ISIM hex]] &amp; "00")</f>
        <v>23</v>
      </c>
      <c r="AB24">
        <f>'Pulse data'!O27</f>
        <v>0</v>
      </c>
      <c r="AC24">
        <f>Table1[[#This Row],[ZMW num]]*0.01</f>
        <v>0.22</v>
      </c>
      <c r="AD24">
        <f>1+Table1[[#This Row],[t bias]]</f>
        <v>1.22</v>
      </c>
      <c r="AE24">
        <f>Table1[[#This Row],[t kinetic trace]]* String2Single(CONCATENATE(Table1[[#This Row],[t gain hex]], "00")) + String2Single(CONCATENATE(Table1[[#This Row],[t bias hex]], "00"))</f>
        <v>0.21999740600585938</v>
      </c>
      <c r="AF24">
        <f xml:space="preserve"> Table1[[#This Row],[t ptrace]]*Table1[[#This Row],[ISM]]</f>
        <v>5.0599403381347656</v>
      </c>
      <c r="AG24">
        <f>'Pulse data'!N27</f>
        <v>0</v>
      </c>
      <c r="AH24">
        <f>Table1[[#This Row],[t bias]]+0.5</f>
        <v>0.72</v>
      </c>
      <c r="AI24">
        <f>Table1[[#This Row],[t gain]]/2</f>
        <v>0.61</v>
      </c>
      <c r="AJ24">
        <f>Table1[[#This Row],[g kinetic trace]]* String2Single(CONCATENATE(Table1[[#This Row],[g gain hex]], "00")) + String2Single(CONCATENATE(Table1[[#This Row],[g bias hex]], "00"))</f>
        <v>0.7199859619140625</v>
      </c>
      <c r="AK24">
        <f xml:space="preserve"> Table1[[#This Row],[g ptrace]]*Table1[[#This Row],[ISM]]</f>
        <v>16.559677124023437</v>
      </c>
      <c r="AL24">
        <f>'Pulse data'!M27</f>
        <v>0</v>
      </c>
      <c r="AM24">
        <f>Table1[[#This Row],[t bias]]+1</f>
        <v>1.22</v>
      </c>
      <c r="AN24">
        <f>Table1[[#This Row],[t gain]]-0.5</f>
        <v>0.72</v>
      </c>
      <c r="AO24">
        <f>Table1[[#This Row],[a kinetic trace]]* String2Single(CONCATENATE(Table1[[#This Row],[a gain hex]], "00")) + String2Single(CONCATENATE(Table1[[#This Row],[a bias hex]], "00"))</f>
        <v>1.219970703125</v>
      </c>
      <c r="AP24">
        <f xml:space="preserve"> Table1[[#This Row],[a ptrace]]*Table1[[#This Row],[ISM]]</f>
        <v>28.059326171875</v>
      </c>
      <c r="AQ24">
        <f>'Pulse data'!L27</f>
        <v>0</v>
      </c>
      <c r="AR24">
        <f>Table1[[#This Row],[t bias]]</f>
        <v>0.22</v>
      </c>
      <c r="AS24">
        <f>Table1[[#This Row],[t gain]]</f>
        <v>1.22</v>
      </c>
      <c r="AT24">
        <f>Table1[[#This Row],[c kinetic trace]]* String2Single(CONCATENATE(Table1[[#This Row],[c gain hex]], "00")) + String2Single(CONCATENATE(Table1[[#This Row],[c bias hex]], "00"))</f>
        <v>0.21999740600585938</v>
      </c>
      <c r="AU24">
        <f xml:space="preserve"> Table1[[#This Row],[c ptrace]]*Table1[[#This Row],[ISM]]</f>
        <v>5.0599403381347656</v>
      </c>
      <c r="AV24">
        <f xml:space="preserve"> Table1[[#This Row],[t ctrace]] + Table1[[#This Row],[g ctrace]] + Table1[[#This Row],[a ctrace]] + Table1[[#This Row],[c ctrace]]</f>
        <v>54.738883972167969</v>
      </c>
      <c r="AW24" s="2" t="str">
        <f>DEC2HEX(Table1[[#This Row],[row]], 3)</f>
        <v>003</v>
      </c>
      <c r="AX24" s="1" t="str">
        <f>DEC2HEX(Table1[[#This Row],[col]], 3)</f>
        <v>048</v>
      </c>
      <c r="AY24" s="1" t="str">
        <f>DEC2HEX(Table1[[#This Row],[grn fsp idx]], 2)</f>
        <v>2D</v>
      </c>
      <c r="AZ24" s="1" t="str">
        <f>DEC2HEX(Table1[[#This Row],[red fsp idx]], 2)</f>
        <v>D2</v>
      </c>
      <c r="BA24" s="1" t="str">
        <f>DEC2HEX(Table1[[#This Row],[ISMI]], 2)</f>
        <v>16</v>
      </c>
      <c r="BB24" s="1">
        <f>LEN(Table1[[#This Row],[DRAM data]])</f>
        <v>64</v>
      </c>
      <c r="BC2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0030482DD2163E61473F9C283F38513F1C283F9C283F38513E61473F9C280002</v>
      </c>
      <c r="BV24"/>
    </row>
    <row r="25" spans="1:74" x14ac:dyDescent="0.25">
      <c r="A25" s="1" t="str">
        <f xml:space="preserve"> LEFT(Sng2String(Table1[[#This Row],[c bias]]), 6)</f>
        <v>3E6B85</v>
      </c>
      <c r="B25" s="1" t="str">
        <f xml:space="preserve"> LEFT(Sng2String(Table1[[#This Row],[a bias]]), 6)</f>
        <v>3F9D70</v>
      </c>
      <c r="C25" s="1" t="str">
        <f xml:space="preserve"> LEFT(Sng2String(Table1[[#This Row],[g bias]]), 6)</f>
        <v>3F3AE1</v>
      </c>
      <c r="D25" s="1" t="str">
        <f xml:space="preserve"> LEFT(Sng2String(Table1[[#This Row],[t bias]]), 6)</f>
        <v>3E6B85</v>
      </c>
      <c r="E25" s="1" t="str">
        <f xml:space="preserve"> LEFT(Sng2String(Table1[[#This Row],[c gain]]), 6)</f>
        <v>3F9D70</v>
      </c>
      <c r="F25" s="1" t="str">
        <f xml:space="preserve"> LEFT(Sng2String(Table1[[#This Row],[a gain]]), 6)</f>
        <v>3F3AE1</v>
      </c>
      <c r="G25" s="1" t="str">
        <f xml:space="preserve"> LEFT(Sng2String(Table1[[#This Row],[g gain]]), 6)</f>
        <v>3F1D70</v>
      </c>
      <c r="H25" s="1" t="str">
        <f xml:space="preserve"> LEFT(Sng2String(Table1[[#This Row],[t gain]]), 6)</f>
        <v>3F9D70</v>
      </c>
      <c r="I25" t="str">
        <f xml:space="preserve"> Sng2String(Table1[[#This Row],[c ptrace]])</f>
        <v>3E6B8500</v>
      </c>
      <c r="J25" t="str">
        <f xml:space="preserve"> Sng2String(Table1[[#This Row],[a ptrace]])</f>
        <v>3F9D7000</v>
      </c>
      <c r="K25" t="str">
        <f xml:space="preserve"> Sng2String(Table1[[#This Row],[g ptrace]])</f>
        <v>3F3AE100</v>
      </c>
      <c r="L25" t="str">
        <f>Sng2String(Table1[[#This Row],[t ptrace]])</f>
        <v>3E6B8500</v>
      </c>
      <c r="M25" t="str">
        <f xml:space="preserve"> INDEX(SmallFP!$A$1:$A$256, Table1[[#This Row],[ISMI]]+1)</f>
        <v>41C000</v>
      </c>
      <c r="N25" t="str">
        <f>Single2String(Table1[[#This Row],[c ctrace]])</f>
        <v>40B0A3C0</v>
      </c>
      <c r="O25" t="str">
        <f>Single2String(Table1[[#This Row],[a ctrace]])</f>
        <v>41EC2800</v>
      </c>
      <c r="P25" t="str">
        <f xml:space="preserve"> Single2String(Table1[[#This Row],[g ctrace]])</f>
        <v>418C28C0</v>
      </c>
      <c r="Q25" t="str">
        <f xml:space="preserve"> Single2String(Table1[[#This Row],[t ctrace]])</f>
        <v>40B0A3C0</v>
      </c>
      <c r="R25" t="str">
        <f>Single2String(Table1[[#This Row],[grn and red ctrace]])</f>
        <v>42685150</v>
      </c>
      <c r="S25">
        <v>23</v>
      </c>
      <c r="T25" t="str">
        <f>DEC2HEX(Table1[[#This Row],[ZMW num]])</f>
        <v>17</v>
      </c>
      <c r="U25">
        <f>Table1[[#This Row],[ZMW num]]+1</f>
        <v>24</v>
      </c>
      <c r="V25">
        <v>3</v>
      </c>
      <c r="W25">
        <v>75</v>
      </c>
      <c r="X25">
        <v>47</v>
      </c>
      <c r="Y25">
        <v>208</v>
      </c>
      <c r="Z25">
        <f>MOD(Table1[[#This Row],[ZMW num]], 2^8)</f>
        <v>23</v>
      </c>
      <c r="AA25">
        <f xml:space="preserve"> String2Single(Table1[[#This Row],[t ISIM hex]] &amp; "00")</f>
        <v>24</v>
      </c>
      <c r="AB25">
        <f>'Pulse data'!O28</f>
        <v>0</v>
      </c>
      <c r="AC25">
        <f>Table1[[#This Row],[ZMW num]]*0.01</f>
        <v>0.23</v>
      </c>
      <c r="AD25">
        <f>1+Table1[[#This Row],[t bias]]</f>
        <v>1.23</v>
      </c>
      <c r="AE25">
        <f>Table1[[#This Row],[t kinetic trace]]* String2Single(CONCATENATE(Table1[[#This Row],[t gain hex]], "00")) + String2Single(CONCATENATE(Table1[[#This Row],[t bias hex]], "00"))</f>
        <v>0.22999954223632813</v>
      </c>
      <c r="AF25">
        <f xml:space="preserve"> Table1[[#This Row],[t ptrace]]*Table1[[#This Row],[ISM]]</f>
        <v>5.519989013671875</v>
      </c>
      <c r="AG25">
        <f>'Pulse data'!N28</f>
        <v>0</v>
      </c>
      <c r="AH25">
        <f>Table1[[#This Row],[t bias]]+0.5</f>
        <v>0.73</v>
      </c>
      <c r="AI25">
        <f>Table1[[#This Row],[t gain]]/2</f>
        <v>0.61499999999999999</v>
      </c>
      <c r="AJ25">
        <f>Table1[[#This Row],[g kinetic trace]]* String2Single(CONCATENATE(Table1[[#This Row],[g gain hex]], "00")) + String2Single(CONCATENATE(Table1[[#This Row],[g bias hex]], "00"))</f>
        <v>0.7299957275390625</v>
      </c>
      <c r="AK25">
        <f xml:space="preserve"> Table1[[#This Row],[g ptrace]]*Table1[[#This Row],[ISM]]</f>
        <v>17.5198974609375</v>
      </c>
      <c r="AL25">
        <f>'Pulse data'!M28</f>
        <v>0</v>
      </c>
      <c r="AM25">
        <f>Table1[[#This Row],[t bias]]+1</f>
        <v>1.23</v>
      </c>
      <c r="AN25">
        <f>Table1[[#This Row],[t gain]]-0.5</f>
        <v>0.73</v>
      </c>
      <c r="AO25">
        <f>Table1[[#This Row],[a kinetic trace]]* String2Single(CONCATENATE(Table1[[#This Row],[a gain hex]], "00")) + String2Single(CONCATENATE(Table1[[#This Row],[a bias hex]], "00"))</f>
        <v>1.22998046875</v>
      </c>
      <c r="AP25">
        <f xml:space="preserve"> Table1[[#This Row],[a ptrace]]*Table1[[#This Row],[ISM]]</f>
        <v>29.51953125</v>
      </c>
      <c r="AQ25">
        <f>'Pulse data'!L28</f>
        <v>0</v>
      </c>
      <c r="AR25">
        <f>Table1[[#This Row],[t bias]]</f>
        <v>0.23</v>
      </c>
      <c r="AS25">
        <f>Table1[[#This Row],[t gain]]</f>
        <v>1.23</v>
      </c>
      <c r="AT25">
        <f>Table1[[#This Row],[c kinetic trace]]* String2Single(CONCATENATE(Table1[[#This Row],[c gain hex]], "00")) + String2Single(CONCATENATE(Table1[[#This Row],[c bias hex]], "00"))</f>
        <v>0.22999954223632813</v>
      </c>
      <c r="AU25">
        <f xml:space="preserve"> Table1[[#This Row],[c ptrace]]*Table1[[#This Row],[ISM]]</f>
        <v>5.519989013671875</v>
      </c>
      <c r="AV25">
        <f xml:space="preserve"> Table1[[#This Row],[t ctrace]] + Table1[[#This Row],[g ctrace]] + Table1[[#This Row],[a ctrace]] + Table1[[#This Row],[c ctrace]]</f>
        <v>58.07940673828125</v>
      </c>
      <c r="AW25" s="2" t="str">
        <f>DEC2HEX(Table1[[#This Row],[row]], 3)</f>
        <v>003</v>
      </c>
      <c r="AX25" s="1" t="str">
        <f>DEC2HEX(Table1[[#This Row],[col]], 3)</f>
        <v>04B</v>
      </c>
      <c r="AY25" s="1" t="str">
        <f>DEC2HEX(Table1[[#This Row],[grn fsp idx]], 2)</f>
        <v>2F</v>
      </c>
      <c r="AZ25" s="1" t="str">
        <f>DEC2HEX(Table1[[#This Row],[red fsp idx]], 2)</f>
        <v>D0</v>
      </c>
      <c r="BA25" s="1" t="str">
        <f>DEC2HEX(Table1[[#This Row],[ISMI]], 2)</f>
        <v>17</v>
      </c>
      <c r="BB25" s="1">
        <f>LEN(Table1[[#This Row],[DRAM data]])</f>
        <v>64</v>
      </c>
      <c r="BC2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00304B2FD0173E6B853F9D703F3AE13F1D703F9D703F3AE13E6B853F9D700002</v>
      </c>
      <c r="BV25"/>
    </row>
    <row r="26" spans="1:74" x14ac:dyDescent="0.25">
      <c r="A26" s="1" t="str">
        <f xml:space="preserve"> LEFT(Sng2String(Table1[[#This Row],[c bias]]), 6)</f>
        <v>3E75C2</v>
      </c>
      <c r="B26" s="1" t="str">
        <f xml:space="preserve"> LEFT(Sng2String(Table1[[#This Row],[a bias]]), 6)</f>
        <v>3F9EB8</v>
      </c>
      <c r="C26" s="1" t="str">
        <f xml:space="preserve"> LEFT(Sng2String(Table1[[#This Row],[g bias]]), 6)</f>
        <v>3F3D70</v>
      </c>
      <c r="D26" s="1" t="str">
        <f xml:space="preserve"> LEFT(Sng2String(Table1[[#This Row],[t bias]]), 6)</f>
        <v>3E75C2</v>
      </c>
      <c r="E26" s="1" t="str">
        <f xml:space="preserve"> LEFT(Sng2String(Table1[[#This Row],[c gain]]), 6)</f>
        <v>3F9EB8</v>
      </c>
      <c r="F26" s="1" t="str">
        <f xml:space="preserve"> LEFT(Sng2String(Table1[[#This Row],[a gain]]), 6)</f>
        <v>3F3D70</v>
      </c>
      <c r="G26" s="1" t="str">
        <f xml:space="preserve"> LEFT(Sng2String(Table1[[#This Row],[g gain]]), 6)</f>
        <v>3F1EB8</v>
      </c>
      <c r="H26" s="1" t="str">
        <f xml:space="preserve"> LEFT(Sng2String(Table1[[#This Row],[t gain]]), 6)</f>
        <v>3F9EB8</v>
      </c>
      <c r="I26" t="str">
        <f xml:space="preserve"> Sng2String(Table1[[#This Row],[c ptrace]])</f>
        <v>3E75C200</v>
      </c>
      <c r="J26" t="str">
        <f xml:space="preserve"> Sng2String(Table1[[#This Row],[a ptrace]])</f>
        <v>3F9EB800</v>
      </c>
      <c r="K26" t="str">
        <f xml:space="preserve"> Sng2String(Table1[[#This Row],[g ptrace]])</f>
        <v>3F3D7000</v>
      </c>
      <c r="L26" t="str">
        <f>Sng2String(Table1[[#This Row],[t ptrace]])</f>
        <v>3E75C200</v>
      </c>
      <c r="M26" t="str">
        <f xml:space="preserve"> INDEX(SmallFP!$A$1:$A$256, Table1[[#This Row],[ISMI]]+1)</f>
        <v>41C800</v>
      </c>
      <c r="N26" t="str">
        <f>Single2String(Table1[[#This Row],[c ctrace]])</f>
        <v>40BFFF90</v>
      </c>
      <c r="O26" t="str">
        <f>Single2String(Table1[[#This Row],[a ctrace]])</f>
        <v>41F7FF80</v>
      </c>
      <c r="P26" t="str">
        <f xml:space="preserve"> Single2String(Table1[[#This Row],[g ctrace]])</f>
        <v>4193FF80</v>
      </c>
      <c r="Q26" t="str">
        <f xml:space="preserve"> Single2String(Table1[[#This Row],[t ctrace]])</f>
        <v>40BFFF90</v>
      </c>
      <c r="R26" t="str">
        <f>Single2String(Table1[[#This Row],[grn and red ctrace]])</f>
        <v>4275FF64</v>
      </c>
      <c r="S26">
        <v>24</v>
      </c>
      <c r="T26" t="str">
        <f>DEC2HEX(Table1[[#This Row],[ZMW num]])</f>
        <v>18</v>
      </c>
      <c r="U26">
        <f>Table1[[#This Row],[ZMW num]]+1</f>
        <v>25</v>
      </c>
      <c r="V26">
        <v>3</v>
      </c>
      <c r="W26">
        <v>80</v>
      </c>
      <c r="X26">
        <v>49</v>
      </c>
      <c r="Y26">
        <v>206</v>
      </c>
      <c r="Z26">
        <f>MOD(Table1[[#This Row],[ZMW num]], 2^8)</f>
        <v>24</v>
      </c>
      <c r="AA26">
        <f xml:space="preserve"> String2Single(Table1[[#This Row],[t ISIM hex]] &amp; "00")</f>
        <v>25</v>
      </c>
      <c r="AB26">
        <f>'Pulse data'!O29</f>
        <v>0</v>
      </c>
      <c r="AC26">
        <f>Table1[[#This Row],[ZMW num]]*0.01</f>
        <v>0.24</v>
      </c>
      <c r="AD26">
        <f>1+Table1[[#This Row],[t bias]]</f>
        <v>1.24</v>
      </c>
      <c r="AE26">
        <f>Table1[[#This Row],[t kinetic trace]]* String2Single(CONCATENATE(Table1[[#This Row],[t gain hex]], "00")) + String2Single(CONCATENATE(Table1[[#This Row],[t bias hex]], "00"))</f>
        <v>0.23999786376953125</v>
      </c>
      <c r="AF26">
        <f xml:space="preserve"> Table1[[#This Row],[t ptrace]]*Table1[[#This Row],[ISM]]</f>
        <v>5.9999465942382813</v>
      </c>
      <c r="AG26">
        <f>'Pulse data'!N29</f>
        <v>0</v>
      </c>
      <c r="AH26">
        <f>Table1[[#This Row],[t bias]]+0.5</f>
        <v>0.74</v>
      </c>
      <c r="AI26">
        <f>Table1[[#This Row],[t gain]]/2</f>
        <v>0.62</v>
      </c>
      <c r="AJ26">
        <f>Table1[[#This Row],[g kinetic trace]]* String2Single(CONCATENATE(Table1[[#This Row],[g gain hex]], "00")) + String2Single(CONCATENATE(Table1[[#This Row],[g bias hex]], "00"))</f>
        <v>0.739990234375</v>
      </c>
      <c r="AK26">
        <f xml:space="preserve"> Table1[[#This Row],[g ptrace]]*Table1[[#This Row],[ISM]]</f>
        <v>18.499755859375</v>
      </c>
      <c r="AL26">
        <f>'Pulse data'!M29</f>
        <v>0</v>
      </c>
      <c r="AM26">
        <f>Table1[[#This Row],[t bias]]+1</f>
        <v>1.24</v>
      </c>
      <c r="AN26">
        <f>Table1[[#This Row],[t gain]]-0.5</f>
        <v>0.74</v>
      </c>
      <c r="AO26">
        <f>Table1[[#This Row],[a kinetic trace]]* String2Single(CONCATENATE(Table1[[#This Row],[a gain hex]], "00")) + String2Single(CONCATENATE(Table1[[#This Row],[a bias hex]], "00"))</f>
        <v>1.239990234375</v>
      </c>
      <c r="AP26">
        <f xml:space="preserve"> Table1[[#This Row],[a ptrace]]*Table1[[#This Row],[ISM]]</f>
        <v>30.999755859375</v>
      </c>
      <c r="AQ26">
        <f>'Pulse data'!L29</f>
        <v>0</v>
      </c>
      <c r="AR26">
        <f>Table1[[#This Row],[t bias]]</f>
        <v>0.24</v>
      </c>
      <c r="AS26">
        <f>Table1[[#This Row],[t gain]]</f>
        <v>1.24</v>
      </c>
      <c r="AT26">
        <f>Table1[[#This Row],[c kinetic trace]]* String2Single(CONCATENATE(Table1[[#This Row],[c gain hex]], "00")) + String2Single(CONCATENATE(Table1[[#This Row],[c bias hex]], "00"))</f>
        <v>0.23999786376953125</v>
      </c>
      <c r="AU26">
        <f xml:space="preserve"> Table1[[#This Row],[c ptrace]]*Table1[[#This Row],[ISM]]</f>
        <v>5.9999465942382813</v>
      </c>
      <c r="AV26">
        <f xml:space="preserve"> Table1[[#This Row],[t ctrace]] + Table1[[#This Row],[g ctrace]] + Table1[[#This Row],[a ctrace]] + Table1[[#This Row],[c ctrace]]</f>
        <v>61.499404907226563</v>
      </c>
      <c r="AW26" s="2" t="str">
        <f>DEC2HEX(Table1[[#This Row],[row]], 3)</f>
        <v>003</v>
      </c>
      <c r="AX26" s="1" t="str">
        <f>DEC2HEX(Table1[[#This Row],[col]], 3)</f>
        <v>050</v>
      </c>
      <c r="AY26" s="1" t="str">
        <f>DEC2HEX(Table1[[#This Row],[grn fsp idx]], 2)</f>
        <v>31</v>
      </c>
      <c r="AZ26" s="1" t="str">
        <f>DEC2HEX(Table1[[#This Row],[red fsp idx]], 2)</f>
        <v>CE</v>
      </c>
      <c r="BA26" s="1" t="str">
        <f>DEC2HEX(Table1[[#This Row],[ISMI]], 2)</f>
        <v>18</v>
      </c>
      <c r="BB26" s="1">
        <f>LEN(Table1[[#This Row],[DRAM data]])</f>
        <v>64</v>
      </c>
      <c r="BC2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00305031CE183E75C23F9EB83F3D703F1EB83F9EB83F3D703E75C23F9EB80002</v>
      </c>
      <c r="BV26"/>
    </row>
    <row r="27" spans="1:74" x14ac:dyDescent="0.25">
      <c r="A27" s="1" t="str">
        <f xml:space="preserve"> LEFT(Sng2String(Table1[[#This Row],[c bias]]), 6)</f>
        <v>3E8000</v>
      </c>
      <c r="B27" s="1" t="str">
        <f xml:space="preserve"> LEFT(Sng2String(Table1[[#This Row],[a bias]]), 6)</f>
        <v>3FA000</v>
      </c>
      <c r="C27" s="1" t="str">
        <f xml:space="preserve"> LEFT(Sng2String(Table1[[#This Row],[g bias]]), 6)</f>
        <v>3F4000</v>
      </c>
      <c r="D27" s="1" t="str">
        <f xml:space="preserve"> LEFT(Sng2String(Table1[[#This Row],[t bias]]), 6)</f>
        <v>3E8000</v>
      </c>
      <c r="E27" s="1" t="str">
        <f xml:space="preserve"> LEFT(Sng2String(Table1[[#This Row],[c gain]]), 6)</f>
        <v>3FA000</v>
      </c>
      <c r="F27" s="1" t="str">
        <f xml:space="preserve"> LEFT(Sng2String(Table1[[#This Row],[a gain]]), 6)</f>
        <v>3F4000</v>
      </c>
      <c r="G27" s="1" t="str">
        <f xml:space="preserve"> LEFT(Sng2String(Table1[[#This Row],[g gain]]), 6)</f>
        <v>3F2000</v>
      </c>
      <c r="H27" s="1" t="str">
        <f xml:space="preserve"> LEFT(Sng2String(Table1[[#This Row],[t gain]]), 6)</f>
        <v>3FA000</v>
      </c>
      <c r="I27" t="str">
        <f xml:space="preserve"> Sng2String(Table1[[#This Row],[c ptrace]])</f>
        <v>3E800000</v>
      </c>
      <c r="J27" t="str">
        <f xml:space="preserve"> Sng2String(Table1[[#This Row],[a ptrace]])</f>
        <v>3FA00000</v>
      </c>
      <c r="K27" t="str">
        <f xml:space="preserve"> Sng2String(Table1[[#This Row],[g ptrace]])</f>
        <v>3F400000</v>
      </c>
      <c r="L27" t="str">
        <f>Sng2String(Table1[[#This Row],[t ptrace]])</f>
        <v>3E800000</v>
      </c>
      <c r="M27" t="str">
        <f xml:space="preserve"> INDEX(SmallFP!$A$1:$A$256, Table1[[#This Row],[ISMI]]+1)</f>
        <v>41D000</v>
      </c>
      <c r="N27" t="str">
        <f>Single2String(Table1[[#This Row],[c ctrace]])</f>
        <v>40D00000</v>
      </c>
      <c r="O27" t="str">
        <f>Single2String(Table1[[#This Row],[a ctrace]])</f>
        <v>42020000</v>
      </c>
      <c r="P27" t="str">
        <f xml:space="preserve"> Single2String(Table1[[#This Row],[g ctrace]])</f>
        <v>419C0000</v>
      </c>
      <c r="Q27" t="str">
        <f xml:space="preserve"> Single2String(Table1[[#This Row],[t ctrace]])</f>
        <v>40D00000</v>
      </c>
      <c r="R27" t="str">
        <f>Single2String(Table1[[#This Row],[grn and red ctrace]])</f>
        <v>42820000</v>
      </c>
      <c r="S27">
        <v>25</v>
      </c>
      <c r="T27" t="str">
        <f>DEC2HEX(Table1[[#This Row],[ZMW num]])</f>
        <v>19</v>
      </c>
      <c r="U27">
        <f>Table1[[#This Row],[ZMW num]]+1</f>
        <v>26</v>
      </c>
      <c r="V27">
        <v>3</v>
      </c>
      <c r="W27">
        <v>87</v>
      </c>
      <c r="X27">
        <v>51</v>
      </c>
      <c r="Y27">
        <v>204</v>
      </c>
      <c r="Z27">
        <f>MOD(Table1[[#This Row],[ZMW num]], 2^8)</f>
        <v>25</v>
      </c>
      <c r="AA27">
        <f xml:space="preserve"> String2Single(Table1[[#This Row],[t ISIM hex]] &amp; "00")</f>
        <v>26</v>
      </c>
      <c r="AB27">
        <f>'Pulse data'!O30</f>
        <v>0</v>
      </c>
      <c r="AC27">
        <f>Table1[[#This Row],[ZMW num]]*0.01</f>
        <v>0.25</v>
      </c>
      <c r="AD27">
        <f>1+Table1[[#This Row],[t bias]]</f>
        <v>1.25</v>
      </c>
      <c r="AE27">
        <f>Table1[[#This Row],[t kinetic trace]]* String2Single(CONCATENATE(Table1[[#This Row],[t gain hex]], "00")) + String2Single(CONCATENATE(Table1[[#This Row],[t bias hex]], "00"))</f>
        <v>0.25</v>
      </c>
      <c r="AF27">
        <f xml:space="preserve"> Table1[[#This Row],[t ptrace]]*Table1[[#This Row],[ISM]]</f>
        <v>6.5</v>
      </c>
      <c r="AG27">
        <f>'Pulse data'!N30</f>
        <v>0</v>
      </c>
      <c r="AH27">
        <f>Table1[[#This Row],[t bias]]+0.5</f>
        <v>0.75</v>
      </c>
      <c r="AI27">
        <f>Table1[[#This Row],[t gain]]/2</f>
        <v>0.625</v>
      </c>
      <c r="AJ27">
        <f>Table1[[#This Row],[g kinetic trace]]* String2Single(CONCATENATE(Table1[[#This Row],[g gain hex]], "00")) + String2Single(CONCATENATE(Table1[[#This Row],[g bias hex]], "00"))</f>
        <v>0.75</v>
      </c>
      <c r="AK27">
        <f xml:space="preserve"> Table1[[#This Row],[g ptrace]]*Table1[[#This Row],[ISM]]</f>
        <v>19.5</v>
      </c>
      <c r="AL27">
        <f>'Pulse data'!M30</f>
        <v>0</v>
      </c>
      <c r="AM27">
        <f>Table1[[#This Row],[t bias]]+1</f>
        <v>1.25</v>
      </c>
      <c r="AN27">
        <f>Table1[[#This Row],[t gain]]-0.5</f>
        <v>0.75</v>
      </c>
      <c r="AO27">
        <f>Table1[[#This Row],[a kinetic trace]]* String2Single(CONCATENATE(Table1[[#This Row],[a gain hex]], "00")) + String2Single(CONCATENATE(Table1[[#This Row],[a bias hex]], "00"))</f>
        <v>1.25</v>
      </c>
      <c r="AP27">
        <f xml:space="preserve"> Table1[[#This Row],[a ptrace]]*Table1[[#This Row],[ISM]]</f>
        <v>32.5</v>
      </c>
      <c r="AQ27">
        <f>'Pulse data'!L30</f>
        <v>0</v>
      </c>
      <c r="AR27">
        <f>Table1[[#This Row],[t bias]]</f>
        <v>0.25</v>
      </c>
      <c r="AS27">
        <f>Table1[[#This Row],[t gain]]</f>
        <v>1.25</v>
      </c>
      <c r="AT27">
        <f>Table1[[#This Row],[c kinetic trace]]* String2Single(CONCATENATE(Table1[[#This Row],[c gain hex]], "00")) + String2Single(CONCATENATE(Table1[[#This Row],[c bias hex]], "00"))</f>
        <v>0.25</v>
      </c>
      <c r="AU27">
        <f xml:space="preserve"> Table1[[#This Row],[c ptrace]]*Table1[[#This Row],[ISM]]</f>
        <v>6.5</v>
      </c>
      <c r="AV27">
        <f xml:space="preserve"> Table1[[#This Row],[t ctrace]] + Table1[[#This Row],[g ctrace]] + Table1[[#This Row],[a ctrace]] + Table1[[#This Row],[c ctrace]]</f>
        <v>65</v>
      </c>
      <c r="AW27" s="2" t="str">
        <f>DEC2HEX(Table1[[#This Row],[row]], 3)</f>
        <v>003</v>
      </c>
      <c r="AX27" s="1" t="str">
        <f>DEC2HEX(Table1[[#This Row],[col]], 3)</f>
        <v>057</v>
      </c>
      <c r="AY27" s="1" t="str">
        <f>DEC2HEX(Table1[[#This Row],[grn fsp idx]], 2)</f>
        <v>33</v>
      </c>
      <c r="AZ27" s="1" t="str">
        <f>DEC2HEX(Table1[[#This Row],[red fsp idx]], 2)</f>
        <v>CC</v>
      </c>
      <c r="BA27" s="1" t="str">
        <f>DEC2HEX(Table1[[#This Row],[ISMI]], 2)</f>
        <v>19</v>
      </c>
      <c r="BB27" s="1">
        <f>LEN(Table1[[#This Row],[DRAM data]])</f>
        <v>64</v>
      </c>
      <c r="BC2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00305733CC193E80003FA0003F40003F20003FA0003F40003E80003FA0000002</v>
      </c>
      <c r="BV27"/>
    </row>
    <row r="28" spans="1:74" x14ac:dyDescent="0.25">
      <c r="A28" s="1" t="str">
        <f xml:space="preserve"> LEFT(Sng2String(Table1[[#This Row],[c bias]]), 6)</f>
        <v>3E851E</v>
      </c>
      <c r="B28" s="1" t="str">
        <f xml:space="preserve"> LEFT(Sng2String(Table1[[#This Row],[a bias]]), 6)</f>
        <v>3FA147</v>
      </c>
      <c r="C28" s="1" t="str">
        <f xml:space="preserve"> LEFT(Sng2String(Table1[[#This Row],[g bias]]), 6)</f>
        <v>3F428F</v>
      </c>
      <c r="D28" s="1" t="str">
        <f xml:space="preserve"> LEFT(Sng2String(Table1[[#This Row],[t bias]]), 6)</f>
        <v>3E851E</v>
      </c>
      <c r="E28" s="1" t="str">
        <f xml:space="preserve"> LEFT(Sng2String(Table1[[#This Row],[c gain]]), 6)</f>
        <v>3FA147</v>
      </c>
      <c r="F28" s="1" t="str">
        <f xml:space="preserve"> LEFT(Sng2String(Table1[[#This Row],[a gain]]), 6)</f>
        <v>3F428F</v>
      </c>
      <c r="G28" s="1" t="str">
        <f xml:space="preserve"> LEFT(Sng2String(Table1[[#This Row],[g gain]]), 6)</f>
        <v>3F2147</v>
      </c>
      <c r="H28" s="1" t="str">
        <f xml:space="preserve"> LEFT(Sng2String(Table1[[#This Row],[t gain]]), 6)</f>
        <v>3FA147</v>
      </c>
      <c r="I28" t="str">
        <f xml:space="preserve"> Sng2String(Table1[[#This Row],[c ptrace]])</f>
        <v>3E851E00</v>
      </c>
      <c r="J28" t="str">
        <f xml:space="preserve"> Sng2String(Table1[[#This Row],[a ptrace]])</f>
        <v>3FA14700</v>
      </c>
      <c r="K28" t="str">
        <f xml:space="preserve"> Sng2String(Table1[[#This Row],[g ptrace]])</f>
        <v>3F428F00</v>
      </c>
      <c r="L28" t="str">
        <f>Sng2String(Table1[[#This Row],[t ptrace]])</f>
        <v>3E851E00</v>
      </c>
      <c r="M28" t="str">
        <f xml:space="preserve"> INDEX(SmallFP!$A$1:$A$256, Table1[[#This Row],[ISMI]]+1)</f>
        <v>41D800</v>
      </c>
      <c r="N28" t="str">
        <f>Single2String(Table1[[#This Row],[c ctrace]])</f>
        <v>40E0A2A0</v>
      </c>
      <c r="O28" t="str">
        <f>Single2String(Table1[[#This Row],[a ctrace]])</f>
        <v>420813E8</v>
      </c>
      <c r="P28" t="str">
        <f xml:space="preserve"> Single2String(Table1[[#This Row],[g ctrace]])</f>
        <v>41A428A8</v>
      </c>
      <c r="Q28" t="str">
        <f xml:space="preserve"> Single2String(Table1[[#This Row],[t ctrace]])</f>
        <v>40E0A2A0</v>
      </c>
      <c r="R28" t="str">
        <f>Single2String(Table1[[#This Row],[grn and red ctrace]])</f>
        <v>42892872</v>
      </c>
      <c r="S28">
        <v>26</v>
      </c>
      <c r="T28" t="str">
        <f>DEC2HEX(Table1[[#This Row],[ZMW num]])</f>
        <v>1A</v>
      </c>
      <c r="U28">
        <f>Table1[[#This Row],[ZMW num]]+1</f>
        <v>27</v>
      </c>
      <c r="V28">
        <v>3</v>
      </c>
      <c r="W28">
        <v>93</v>
      </c>
      <c r="X28">
        <v>53</v>
      </c>
      <c r="Y28">
        <v>202</v>
      </c>
      <c r="Z28">
        <f>MOD(Table1[[#This Row],[ZMW num]], 2^8)</f>
        <v>26</v>
      </c>
      <c r="AA28">
        <f xml:space="preserve"> String2Single(Table1[[#This Row],[t ISIM hex]] &amp; "00")</f>
        <v>27</v>
      </c>
      <c r="AB28">
        <f>'Pulse data'!O31</f>
        <v>0</v>
      </c>
      <c r="AC28">
        <f>Table1[[#This Row],[ZMW num]]*0.01</f>
        <v>0.26</v>
      </c>
      <c r="AD28">
        <f>1+Table1[[#This Row],[t bias]]</f>
        <v>1.26</v>
      </c>
      <c r="AE28">
        <f>Table1[[#This Row],[t kinetic trace]]* String2Single(CONCATENATE(Table1[[#This Row],[t gain hex]], "00")) + String2Single(CONCATENATE(Table1[[#This Row],[t bias hex]], "00"))</f>
        <v>0.2599945068359375</v>
      </c>
      <c r="AF28">
        <f xml:space="preserve"> Table1[[#This Row],[t ptrace]]*Table1[[#This Row],[ISM]]</f>
        <v>7.0198516845703125</v>
      </c>
      <c r="AG28">
        <f>'Pulse data'!N31</f>
        <v>0</v>
      </c>
      <c r="AH28">
        <f>Table1[[#This Row],[t bias]]+0.5</f>
        <v>0.76</v>
      </c>
      <c r="AI28">
        <f>Table1[[#This Row],[t gain]]/2</f>
        <v>0.63</v>
      </c>
      <c r="AJ28">
        <f>Table1[[#This Row],[g kinetic trace]]* String2Single(CONCATENATE(Table1[[#This Row],[g gain hex]], "00")) + String2Single(CONCATENATE(Table1[[#This Row],[g bias hex]], "00"))</f>
        <v>0.7599945068359375</v>
      </c>
      <c r="AK28">
        <f xml:space="preserve"> Table1[[#This Row],[g ptrace]]*Table1[[#This Row],[ISM]]</f>
        <v>20.519851684570313</v>
      </c>
      <c r="AL28">
        <f>'Pulse data'!M31</f>
        <v>0</v>
      </c>
      <c r="AM28">
        <f>Table1[[#This Row],[t bias]]+1</f>
        <v>1.26</v>
      </c>
      <c r="AN28">
        <f>Table1[[#This Row],[t gain]]-0.5</f>
        <v>0.76</v>
      </c>
      <c r="AO28">
        <f>Table1[[#This Row],[a kinetic trace]]* String2Single(CONCATENATE(Table1[[#This Row],[a gain hex]], "00")) + String2Single(CONCATENATE(Table1[[#This Row],[a bias hex]], "00"))</f>
        <v>1.259979248046875</v>
      </c>
      <c r="AP28">
        <f xml:space="preserve"> Table1[[#This Row],[a ptrace]]*Table1[[#This Row],[ISM]]</f>
        <v>34.019439697265625</v>
      </c>
      <c r="AQ28">
        <f>'Pulse data'!L31</f>
        <v>0</v>
      </c>
      <c r="AR28">
        <f>Table1[[#This Row],[t bias]]</f>
        <v>0.26</v>
      </c>
      <c r="AS28">
        <f>Table1[[#This Row],[t gain]]</f>
        <v>1.26</v>
      </c>
      <c r="AT28">
        <f>Table1[[#This Row],[c kinetic trace]]* String2Single(CONCATENATE(Table1[[#This Row],[c gain hex]], "00")) + String2Single(CONCATENATE(Table1[[#This Row],[c bias hex]], "00"))</f>
        <v>0.2599945068359375</v>
      </c>
      <c r="AU28">
        <f xml:space="preserve"> Table1[[#This Row],[c ptrace]]*Table1[[#This Row],[ISM]]</f>
        <v>7.0198516845703125</v>
      </c>
      <c r="AV28">
        <f xml:space="preserve"> Table1[[#This Row],[t ctrace]] + Table1[[#This Row],[g ctrace]] + Table1[[#This Row],[a ctrace]] + Table1[[#This Row],[c ctrace]]</f>
        <v>68.578994750976563</v>
      </c>
      <c r="AW28" s="2" t="str">
        <f>DEC2HEX(Table1[[#This Row],[row]], 3)</f>
        <v>003</v>
      </c>
      <c r="AX28" s="1" t="str">
        <f>DEC2HEX(Table1[[#This Row],[col]], 3)</f>
        <v>05D</v>
      </c>
      <c r="AY28" s="1" t="str">
        <f>DEC2HEX(Table1[[#This Row],[grn fsp idx]], 2)</f>
        <v>35</v>
      </c>
      <c r="AZ28" s="1" t="str">
        <f>DEC2HEX(Table1[[#This Row],[red fsp idx]], 2)</f>
        <v>CA</v>
      </c>
      <c r="BA28" s="1" t="str">
        <f>DEC2HEX(Table1[[#This Row],[ISMI]], 2)</f>
        <v>1A</v>
      </c>
      <c r="BB28" s="1">
        <f>LEN(Table1[[#This Row],[DRAM data]])</f>
        <v>64</v>
      </c>
      <c r="BC2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00305D35CA1A3E851E3FA1473F428F3F21473FA1473F428F3E851E3FA1470002</v>
      </c>
      <c r="BV28"/>
    </row>
    <row r="29" spans="1:74" x14ac:dyDescent="0.25">
      <c r="A29" s="1" t="str">
        <f xml:space="preserve"> LEFT(Sng2String(Table1[[#This Row],[c bias]]), 6)</f>
        <v>3E8A3D</v>
      </c>
      <c r="B29" s="1" t="str">
        <f xml:space="preserve"> LEFT(Sng2String(Table1[[#This Row],[a bias]]), 6)</f>
        <v>3FA28F</v>
      </c>
      <c r="C29" s="1" t="str">
        <f xml:space="preserve"> LEFT(Sng2String(Table1[[#This Row],[g bias]]), 6)</f>
        <v>3F451E</v>
      </c>
      <c r="D29" s="1" t="str">
        <f xml:space="preserve"> LEFT(Sng2String(Table1[[#This Row],[t bias]]), 6)</f>
        <v>3E8A3D</v>
      </c>
      <c r="E29" s="1" t="str">
        <f xml:space="preserve"> LEFT(Sng2String(Table1[[#This Row],[c gain]]), 6)</f>
        <v>3FA28F</v>
      </c>
      <c r="F29" s="1" t="str">
        <f xml:space="preserve"> LEFT(Sng2String(Table1[[#This Row],[a gain]]), 6)</f>
        <v>3F451E</v>
      </c>
      <c r="G29" s="1" t="str">
        <f xml:space="preserve"> LEFT(Sng2String(Table1[[#This Row],[g gain]]), 6)</f>
        <v>3F228F</v>
      </c>
      <c r="H29" s="1" t="str">
        <f xml:space="preserve"> LEFT(Sng2String(Table1[[#This Row],[t gain]]), 6)</f>
        <v>3FA28F</v>
      </c>
      <c r="I29" t="str">
        <f xml:space="preserve"> Sng2String(Table1[[#This Row],[c ptrace]])</f>
        <v>3E8A3D00</v>
      </c>
      <c r="J29" t="str">
        <f xml:space="preserve"> Sng2String(Table1[[#This Row],[a ptrace]])</f>
        <v>3FA28F00</v>
      </c>
      <c r="K29" t="str">
        <f xml:space="preserve"> Sng2String(Table1[[#This Row],[g ptrace]])</f>
        <v>3F451E00</v>
      </c>
      <c r="L29" t="str">
        <f>Sng2String(Table1[[#This Row],[t ptrace]])</f>
        <v>3E8A3D00</v>
      </c>
      <c r="M29" t="str">
        <f xml:space="preserve"> INDEX(SmallFP!$A$1:$A$256, Table1[[#This Row],[ISMI]]+1)</f>
        <v>41E000</v>
      </c>
      <c r="N29" t="str">
        <f>Single2String(Table1[[#This Row],[c ctrace]])</f>
        <v>40F1EAC0</v>
      </c>
      <c r="O29" t="str">
        <f>Single2String(Table1[[#This Row],[a ctrace]])</f>
        <v>420E3D20</v>
      </c>
      <c r="P29" t="str">
        <f xml:space="preserve"> Single2String(Table1[[#This Row],[g ctrace]])</f>
        <v>41AC7A40</v>
      </c>
      <c r="Q29" t="str">
        <f xml:space="preserve"> Single2String(Table1[[#This Row],[t ctrace]])</f>
        <v>40F1EAC0</v>
      </c>
      <c r="R29" t="str">
        <f>Single2String(Table1[[#This Row],[grn and red ctrace]])</f>
        <v>42907A78</v>
      </c>
      <c r="S29">
        <v>27</v>
      </c>
      <c r="T29" t="str">
        <f>DEC2HEX(Table1[[#This Row],[ZMW num]])</f>
        <v>1B</v>
      </c>
      <c r="U29">
        <f>Table1[[#This Row],[ZMW num]]+1</f>
        <v>28</v>
      </c>
      <c r="V29">
        <v>3</v>
      </c>
      <c r="W29">
        <v>100</v>
      </c>
      <c r="X29">
        <v>55</v>
      </c>
      <c r="Y29">
        <v>200</v>
      </c>
      <c r="Z29">
        <f>MOD(Table1[[#This Row],[ZMW num]], 2^8)</f>
        <v>27</v>
      </c>
      <c r="AA29">
        <f xml:space="preserve"> String2Single(Table1[[#This Row],[t ISIM hex]] &amp; "00")</f>
        <v>28</v>
      </c>
      <c r="AB29">
        <f>'Pulse data'!O32</f>
        <v>0</v>
      </c>
      <c r="AC29">
        <f>Table1[[#This Row],[ZMW num]]*0.01</f>
        <v>0.27</v>
      </c>
      <c r="AD29">
        <f>1+Table1[[#This Row],[t bias]]</f>
        <v>1.27</v>
      </c>
      <c r="AE29">
        <f>Table1[[#This Row],[t kinetic trace]]* String2Single(CONCATENATE(Table1[[#This Row],[t gain hex]], "00")) + String2Single(CONCATENATE(Table1[[#This Row],[t bias hex]], "00"))</f>
        <v>0.26999664306640625</v>
      </c>
      <c r="AF29">
        <f xml:space="preserve"> Table1[[#This Row],[t ptrace]]*Table1[[#This Row],[ISM]]</f>
        <v>7.559906005859375</v>
      </c>
      <c r="AG29">
        <f>'Pulse data'!N32</f>
        <v>0</v>
      </c>
      <c r="AH29">
        <f>Table1[[#This Row],[t bias]]+0.5</f>
        <v>0.77</v>
      </c>
      <c r="AI29">
        <f>Table1[[#This Row],[t gain]]/2</f>
        <v>0.63500000000000001</v>
      </c>
      <c r="AJ29">
        <f>Table1[[#This Row],[g kinetic trace]]* String2Single(CONCATENATE(Table1[[#This Row],[g gain hex]], "00")) + String2Single(CONCATENATE(Table1[[#This Row],[g bias hex]], "00"))</f>
        <v>0.769989013671875</v>
      </c>
      <c r="AK29">
        <f xml:space="preserve"> Table1[[#This Row],[g ptrace]]*Table1[[#This Row],[ISM]]</f>
        <v>21.5596923828125</v>
      </c>
      <c r="AL29">
        <f>'Pulse data'!M32</f>
        <v>0</v>
      </c>
      <c r="AM29">
        <f>Table1[[#This Row],[t bias]]+1</f>
        <v>1.27</v>
      </c>
      <c r="AN29">
        <f>Table1[[#This Row],[t gain]]-0.5</f>
        <v>0.77</v>
      </c>
      <c r="AO29">
        <f>Table1[[#This Row],[a kinetic trace]]* String2Single(CONCATENATE(Table1[[#This Row],[a gain hex]], "00")) + String2Single(CONCATENATE(Table1[[#This Row],[a bias hex]], "00"))</f>
        <v>1.269989013671875</v>
      </c>
      <c r="AP29">
        <f xml:space="preserve"> Table1[[#This Row],[a ptrace]]*Table1[[#This Row],[ISM]]</f>
        <v>35.5596923828125</v>
      </c>
      <c r="AQ29">
        <f>'Pulse data'!L32</f>
        <v>0</v>
      </c>
      <c r="AR29">
        <f>Table1[[#This Row],[t bias]]</f>
        <v>0.27</v>
      </c>
      <c r="AS29">
        <f>Table1[[#This Row],[t gain]]</f>
        <v>1.27</v>
      </c>
      <c r="AT29">
        <f>Table1[[#This Row],[c kinetic trace]]* String2Single(CONCATENATE(Table1[[#This Row],[c gain hex]], "00")) + String2Single(CONCATENATE(Table1[[#This Row],[c bias hex]], "00"))</f>
        <v>0.26999664306640625</v>
      </c>
      <c r="AU29">
        <f xml:space="preserve"> Table1[[#This Row],[c ptrace]]*Table1[[#This Row],[ISM]]</f>
        <v>7.559906005859375</v>
      </c>
      <c r="AV29">
        <f xml:space="preserve"> Table1[[#This Row],[t ctrace]] + Table1[[#This Row],[g ctrace]] + Table1[[#This Row],[a ctrace]] + Table1[[#This Row],[c ctrace]]</f>
        <v>72.23919677734375</v>
      </c>
      <c r="AW29" s="2" t="str">
        <f>DEC2HEX(Table1[[#This Row],[row]], 3)</f>
        <v>003</v>
      </c>
      <c r="AX29" s="1" t="str">
        <f>DEC2HEX(Table1[[#This Row],[col]], 3)</f>
        <v>064</v>
      </c>
      <c r="AY29" s="1" t="str">
        <f>DEC2HEX(Table1[[#This Row],[grn fsp idx]], 2)</f>
        <v>37</v>
      </c>
      <c r="AZ29" s="1" t="str">
        <f>DEC2HEX(Table1[[#This Row],[red fsp idx]], 2)</f>
        <v>C8</v>
      </c>
      <c r="BA29" s="1" t="str">
        <f>DEC2HEX(Table1[[#This Row],[ISMI]], 2)</f>
        <v>1B</v>
      </c>
      <c r="BB29" s="1">
        <f>LEN(Table1[[#This Row],[DRAM data]])</f>
        <v>64</v>
      </c>
      <c r="BC2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00306437C81B3E8A3D3FA28F3F451E3F228F3FA28F3F451E3E8A3D3FA28F0002</v>
      </c>
      <c r="BV29"/>
    </row>
    <row r="30" spans="1:74" x14ac:dyDescent="0.25">
      <c r="A30" s="1" t="str">
        <f xml:space="preserve"> LEFT(Sng2String(Table1[[#This Row],[c bias]]), 6)</f>
        <v>3E8F5C</v>
      </c>
      <c r="B30" s="1" t="str">
        <f xml:space="preserve"> LEFT(Sng2String(Table1[[#This Row],[a bias]]), 6)</f>
        <v>3FA3D7</v>
      </c>
      <c r="C30" s="1" t="str">
        <f xml:space="preserve"> LEFT(Sng2String(Table1[[#This Row],[g bias]]), 6)</f>
        <v>3F47AE</v>
      </c>
      <c r="D30" s="1" t="str">
        <f xml:space="preserve"> LEFT(Sng2String(Table1[[#This Row],[t bias]]), 6)</f>
        <v>3E8F5C</v>
      </c>
      <c r="E30" s="1" t="str">
        <f xml:space="preserve"> LEFT(Sng2String(Table1[[#This Row],[c gain]]), 6)</f>
        <v>3FA3D7</v>
      </c>
      <c r="F30" s="1" t="str">
        <f xml:space="preserve"> LEFT(Sng2String(Table1[[#This Row],[a gain]]), 6)</f>
        <v>3F47AE</v>
      </c>
      <c r="G30" s="1" t="str">
        <f xml:space="preserve"> LEFT(Sng2String(Table1[[#This Row],[g gain]]), 6)</f>
        <v>3F23D7</v>
      </c>
      <c r="H30" s="1" t="str">
        <f xml:space="preserve"> LEFT(Sng2String(Table1[[#This Row],[t gain]]), 6)</f>
        <v>3FA3D7</v>
      </c>
      <c r="I30" t="str">
        <f xml:space="preserve"> Sng2String(Table1[[#This Row],[c ptrace]])</f>
        <v>3E8F5C00</v>
      </c>
      <c r="J30" t="str">
        <f xml:space="preserve"> Sng2String(Table1[[#This Row],[a ptrace]])</f>
        <v>3FA3D700</v>
      </c>
      <c r="K30" t="str">
        <f xml:space="preserve"> Sng2String(Table1[[#This Row],[g ptrace]])</f>
        <v>3F47AE00</v>
      </c>
      <c r="L30" t="str">
        <f>Sng2String(Table1[[#This Row],[t ptrace]])</f>
        <v>3E8F5C00</v>
      </c>
      <c r="M30" t="str">
        <f xml:space="preserve"> INDEX(SmallFP!$A$1:$A$256, Table1[[#This Row],[ISMI]]+1)</f>
        <v>41E800</v>
      </c>
      <c r="N30" t="str">
        <f>Single2String(Table1[[#This Row],[c ctrace]])</f>
        <v>4101EB60</v>
      </c>
      <c r="O30" t="str">
        <f>Single2String(Table1[[#This Row],[a ctrace]])</f>
        <v>42147AD8</v>
      </c>
      <c r="P30" t="str">
        <f xml:space="preserve"> Single2String(Table1[[#This Row],[g ctrace]])</f>
        <v>41B4F5B0</v>
      </c>
      <c r="Q30" t="str">
        <f xml:space="preserve"> Single2String(Table1[[#This Row],[t ctrace]])</f>
        <v>4101EB60</v>
      </c>
      <c r="R30" t="str">
        <f>Single2String(Table1[[#This Row],[grn and red ctrace]])</f>
        <v>4297F5B0</v>
      </c>
      <c r="S30">
        <v>28</v>
      </c>
      <c r="T30" t="str">
        <f>DEC2HEX(Table1[[#This Row],[ZMW num]])</f>
        <v>1C</v>
      </c>
      <c r="U30">
        <f>Table1[[#This Row],[ZMW num]]+1</f>
        <v>29</v>
      </c>
      <c r="V30">
        <v>3</v>
      </c>
      <c r="W30">
        <v>105</v>
      </c>
      <c r="X30">
        <v>57</v>
      </c>
      <c r="Y30">
        <v>198</v>
      </c>
      <c r="Z30">
        <f>MOD(Table1[[#This Row],[ZMW num]], 2^8)</f>
        <v>28</v>
      </c>
      <c r="AA30">
        <f xml:space="preserve"> String2Single(Table1[[#This Row],[t ISIM hex]] &amp; "00")</f>
        <v>29</v>
      </c>
      <c r="AB30">
        <f>'Pulse data'!O33</f>
        <v>0</v>
      </c>
      <c r="AC30">
        <f>Table1[[#This Row],[ZMW num]]*0.01</f>
        <v>0.28000000000000003</v>
      </c>
      <c r="AD30">
        <f>1+Table1[[#This Row],[t bias]]</f>
        <v>1.28</v>
      </c>
      <c r="AE30">
        <f>Table1[[#This Row],[t kinetic trace]]* String2Single(CONCATENATE(Table1[[#This Row],[t gain hex]], "00")) + String2Single(CONCATENATE(Table1[[#This Row],[t bias hex]], "00"))</f>
        <v>0.279998779296875</v>
      </c>
      <c r="AF30">
        <f xml:space="preserve"> Table1[[#This Row],[t ptrace]]*Table1[[#This Row],[ISM]]</f>
        <v>8.119964599609375</v>
      </c>
      <c r="AG30">
        <f>'Pulse data'!N33</f>
        <v>0</v>
      </c>
      <c r="AH30">
        <f>Table1[[#This Row],[t bias]]+0.5</f>
        <v>0.78</v>
      </c>
      <c r="AI30">
        <f>Table1[[#This Row],[t gain]]/2</f>
        <v>0.64</v>
      </c>
      <c r="AJ30">
        <f>Table1[[#This Row],[g kinetic trace]]* String2Single(CONCATENATE(Table1[[#This Row],[g gain hex]], "00")) + String2Single(CONCATENATE(Table1[[#This Row],[g bias hex]], "00"))</f>
        <v>0.779998779296875</v>
      </c>
      <c r="AK30">
        <f xml:space="preserve"> Table1[[#This Row],[g ptrace]]*Table1[[#This Row],[ISM]]</f>
        <v>22.619964599609375</v>
      </c>
      <c r="AL30">
        <f>'Pulse data'!M33</f>
        <v>0</v>
      </c>
      <c r="AM30">
        <f>Table1[[#This Row],[t bias]]+1</f>
        <v>1.28</v>
      </c>
      <c r="AN30">
        <f>Table1[[#This Row],[t gain]]-0.5</f>
        <v>0.78</v>
      </c>
      <c r="AO30">
        <f>Table1[[#This Row],[a kinetic trace]]* String2Single(CONCATENATE(Table1[[#This Row],[a gain hex]], "00")) + String2Single(CONCATENATE(Table1[[#This Row],[a bias hex]], "00"))</f>
        <v>1.279998779296875</v>
      </c>
      <c r="AP30">
        <f xml:space="preserve"> Table1[[#This Row],[a ptrace]]*Table1[[#This Row],[ISM]]</f>
        <v>37.119964599609375</v>
      </c>
      <c r="AQ30">
        <f>'Pulse data'!L33</f>
        <v>0</v>
      </c>
      <c r="AR30">
        <f>Table1[[#This Row],[t bias]]</f>
        <v>0.28000000000000003</v>
      </c>
      <c r="AS30">
        <f>Table1[[#This Row],[t gain]]</f>
        <v>1.28</v>
      </c>
      <c r="AT30">
        <f>Table1[[#This Row],[c kinetic trace]]* String2Single(CONCATENATE(Table1[[#This Row],[c gain hex]], "00")) + String2Single(CONCATENATE(Table1[[#This Row],[c bias hex]], "00"))</f>
        <v>0.279998779296875</v>
      </c>
      <c r="AU30">
        <f xml:space="preserve"> Table1[[#This Row],[c ptrace]]*Table1[[#This Row],[ISM]]</f>
        <v>8.119964599609375</v>
      </c>
      <c r="AV30">
        <f xml:space="preserve"> Table1[[#This Row],[t ctrace]] + Table1[[#This Row],[g ctrace]] + Table1[[#This Row],[a ctrace]] + Table1[[#This Row],[c ctrace]]</f>
        <v>75.9798583984375</v>
      </c>
      <c r="AW30" s="2" t="str">
        <f>DEC2HEX(Table1[[#This Row],[row]], 3)</f>
        <v>003</v>
      </c>
      <c r="AX30" s="1" t="str">
        <f>DEC2HEX(Table1[[#This Row],[col]], 3)</f>
        <v>069</v>
      </c>
      <c r="AY30" s="1" t="str">
        <f>DEC2HEX(Table1[[#This Row],[grn fsp idx]], 2)</f>
        <v>39</v>
      </c>
      <c r="AZ30" s="1" t="str">
        <f>DEC2HEX(Table1[[#This Row],[red fsp idx]], 2)</f>
        <v>C6</v>
      </c>
      <c r="BA30" s="1" t="str">
        <f>DEC2HEX(Table1[[#This Row],[ISMI]], 2)</f>
        <v>1C</v>
      </c>
      <c r="BB30" s="1">
        <f>LEN(Table1[[#This Row],[DRAM data]])</f>
        <v>64</v>
      </c>
      <c r="BC3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00306939C61C3E8F5C3FA3D73F47AE3F23D73FA3D73F47AE3E8F5C3FA3D70002</v>
      </c>
      <c r="BV30"/>
    </row>
    <row r="31" spans="1:74" x14ac:dyDescent="0.25">
      <c r="A31" s="1" t="str">
        <f xml:space="preserve"> LEFT(Sng2String(Table1[[#This Row],[c bias]]), 6)</f>
        <v>3E947A</v>
      </c>
      <c r="B31" s="1" t="str">
        <f xml:space="preserve"> LEFT(Sng2String(Table1[[#This Row],[a bias]]), 6)</f>
        <v>3FA51E</v>
      </c>
      <c r="C31" s="1" t="str">
        <f xml:space="preserve"> LEFT(Sng2String(Table1[[#This Row],[g bias]]), 6)</f>
        <v>3F4A3D</v>
      </c>
      <c r="D31" s="1" t="str">
        <f xml:space="preserve"> LEFT(Sng2String(Table1[[#This Row],[t bias]]), 6)</f>
        <v>3E947A</v>
      </c>
      <c r="E31" s="1" t="str">
        <f xml:space="preserve"> LEFT(Sng2String(Table1[[#This Row],[c gain]]), 6)</f>
        <v>3FA51E</v>
      </c>
      <c r="F31" s="1" t="str">
        <f xml:space="preserve"> LEFT(Sng2String(Table1[[#This Row],[a gain]]), 6)</f>
        <v>3F4A3D</v>
      </c>
      <c r="G31" s="1" t="str">
        <f xml:space="preserve"> LEFT(Sng2String(Table1[[#This Row],[g gain]]), 6)</f>
        <v>3F251E</v>
      </c>
      <c r="H31" s="1" t="str">
        <f xml:space="preserve"> LEFT(Sng2String(Table1[[#This Row],[t gain]]), 6)</f>
        <v>3FA51E</v>
      </c>
      <c r="I31" t="str">
        <f xml:space="preserve"> Sng2String(Table1[[#This Row],[c ptrace]])</f>
        <v>3E947A00</v>
      </c>
      <c r="J31" t="str">
        <f xml:space="preserve"> Sng2String(Table1[[#This Row],[a ptrace]])</f>
        <v>3FA51E00</v>
      </c>
      <c r="K31" t="str">
        <f xml:space="preserve"> Sng2String(Table1[[#This Row],[g ptrace]])</f>
        <v>3F4A3D00</v>
      </c>
      <c r="L31" t="str">
        <f>Sng2String(Table1[[#This Row],[t ptrace]])</f>
        <v>3E947A00</v>
      </c>
      <c r="M31" t="str">
        <f xml:space="preserve"> INDEX(SmallFP!$A$1:$A$256, Table1[[#This Row],[ISMI]]+1)</f>
        <v>41F000</v>
      </c>
      <c r="N31" t="str">
        <f>Single2String(Table1[[#This Row],[c ctrace]])</f>
        <v>410B3260</v>
      </c>
      <c r="O31" t="str">
        <f>Single2String(Table1[[#This Row],[a ctrace]])</f>
        <v>421ACC20</v>
      </c>
      <c r="P31" t="str">
        <f xml:space="preserve"> Single2String(Table1[[#This Row],[g ctrace]])</f>
        <v>41BD9930</v>
      </c>
      <c r="Q31" t="str">
        <f xml:space="preserve"> Single2String(Table1[[#This Row],[t ctrace]])</f>
        <v>410B3260</v>
      </c>
      <c r="R31" t="str">
        <f>Single2String(Table1[[#This Row],[grn and red ctrace]])</f>
        <v>429F98F4</v>
      </c>
      <c r="S31">
        <v>29</v>
      </c>
      <c r="T31" t="str">
        <f>DEC2HEX(Table1[[#This Row],[ZMW num]])</f>
        <v>1D</v>
      </c>
      <c r="U31">
        <f>Table1[[#This Row],[ZMW num]]+1</f>
        <v>30</v>
      </c>
      <c r="V31">
        <v>3</v>
      </c>
      <c r="W31">
        <v>110</v>
      </c>
      <c r="X31">
        <v>59</v>
      </c>
      <c r="Y31">
        <v>196</v>
      </c>
      <c r="Z31">
        <f>MOD(Table1[[#This Row],[ZMW num]], 2^8)</f>
        <v>29</v>
      </c>
      <c r="AA31">
        <f xml:space="preserve"> String2Single(Table1[[#This Row],[t ISIM hex]] &amp; "00")</f>
        <v>30</v>
      </c>
      <c r="AB31">
        <f>'Pulse data'!O34</f>
        <v>0</v>
      </c>
      <c r="AC31">
        <f>Table1[[#This Row],[ZMW num]]*0.01</f>
        <v>0.28999999999999998</v>
      </c>
      <c r="AD31">
        <f>1+Table1[[#This Row],[t bias]]</f>
        <v>1.29</v>
      </c>
      <c r="AE31">
        <f>Table1[[#This Row],[t kinetic trace]]* String2Single(CONCATENATE(Table1[[#This Row],[t gain hex]], "00")) + String2Single(CONCATENATE(Table1[[#This Row],[t bias hex]], "00"))</f>
        <v>0.2899932861328125</v>
      </c>
      <c r="AF31">
        <f xml:space="preserve"> Table1[[#This Row],[t ptrace]]*Table1[[#This Row],[ISM]]</f>
        <v>8.699798583984375</v>
      </c>
      <c r="AG31">
        <f>'Pulse data'!N34</f>
        <v>0</v>
      </c>
      <c r="AH31">
        <f>Table1[[#This Row],[t bias]]+0.5</f>
        <v>0.79</v>
      </c>
      <c r="AI31">
        <f>Table1[[#This Row],[t gain]]/2</f>
        <v>0.64500000000000002</v>
      </c>
      <c r="AJ31">
        <f>Table1[[#This Row],[g kinetic trace]]* String2Single(CONCATENATE(Table1[[#This Row],[g gain hex]], "00")) + String2Single(CONCATENATE(Table1[[#This Row],[g bias hex]], "00"))</f>
        <v>0.7899932861328125</v>
      </c>
      <c r="AK31">
        <f xml:space="preserve"> Table1[[#This Row],[g ptrace]]*Table1[[#This Row],[ISM]]</f>
        <v>23.699798583984375</v>
      </c>
      <c r="AL31">
        <f>'Pulse data'!M34</f>
        <v>0</v>
      </c>
      <c r="AM31">
        <f>Table1[[#This Row],[t bias]]+1</f>
        <v>1.29</v>
      </c>
      <c r="AN31">
        <f>Table1[[#This Row],[t gain]]-0.5</f>
        <v>0.79</v>
      </c>
      <c r="AO31">
        <f>Table1[[#This Row],[a kinetic trace]]* String2Single(CONCATENATE(Table1[[#This Row],[a gain hex]], "00")) + String2Single(CONCATENATE(Table1[[#This Row],[a bias hex]], "00"))</f>
        <v>1.28997802734375</v>
      </c>
      <c r="AP31">
        <f xml:space="preserve"> Table1[[#This Row],[a ptrace]]*Table1[[#This Row],[ISM]]</f>
        <v>38.6993408203125</v>
      </c>
      <c r="AQ31">
        <f>'Pulse data'!L34</f>
        <v>0</v>
      </c>
      <c r="AR31">
        <f>Table1[[#This Row],[t bias]]</f>
        <v>0.28999999999999998</v>
      </c>
      <c r="AS31">
        <f>Table1[[#This Row],[t gain]]</f>
        <v>1.29</v>
      </c>
      <c r="AT31">
        <f>Table1[[#This Row],[c kinetic trace]]* String2Single(CONCATENATE(Table1[[#This Row],[c gain hex]], "00")) + String2Single(CONCATENATE(Table1[[#This Row],[c bias hex]], "00"))</f>
        <v>0.2899932861328125</v>
      </c>
      <c r="AU31">
        <f xml:space="preserve"> Table1[[#This Row],[c ptrace]]*Table1[[#This Row],[ISM]]</f>
        <v>8.699798583984375</v>
      </c>
      <c r="AV31">
        <f xml:space="preserve"> Table1[[#This Row],[t ctrace]] + Table1[[#This Row],[g ctrace]] + Table1[[#This Row],[a ctrace]] + Table1[[#This Row],[c ctrace]]</f>
        <v>79.798736572265625</v>
      </c>
      <c r="AW31" s="2" t="str">
        <f>DEC2HEX(Table1[[#This Row],[row]], 3)</f>
        <v>003</v>
      </c>
      <c r="AX31" s="1" t="str">
        <f>DEC2HEX(Table1[[#This Row],[col]], 3)</f>
        <v>06E</v>
      </c>
      <c r="AY31" s="1" t="str">
        <f>DEC2HEX(Table1[[#This Row],[grn fsp idx]], 2)</f>
        <v>3B</v>
      </c>
      <c r="AZ31" s="1" t="str">
        <f>DEC2HEX(Table1[[#This Row],[red fsp idx]], 2)</f>
        <v>C4</v>
      </c>
      <c r="BA31" s="1" t="str">
        <f>DEC2HEX(Table1[[#This Row],[ISMI]], 2)</f>
        <v>1D</v>
      </c>
      <c r="BB31" s="1">
        <f>LEN(Table1[[#This Row],[DRAM data]])</f>
        <v>64</v>
      </c>
      <c r="BC3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00306E3BC41D3E947A3FA51E3F4A3D3F251E3FA51E3F4A3D3E947A3FA51E0002</v>
      </c>
      <c r="BV31"/>
    </row>
    <row r="32" spans="1:74" x14ac:dyDescent="0.25">
      <c r="A32" s="1" t="str">
        <f xml:space="preserve"> LEFT(Sng2String(Table1[[#This Row],[c bias]]), 6)</f>
        <v>3E9999</v>
      </c>
      <c r="B32" s="1" t="str">
        <f xml:space="preserve"> LEFT(Sng2String(Table1[[#This Row],[a bias]]), 6)</f>
        <v>3FA666</v>
      </c>
      <c r="C32" s="1" t="str">
        <f xml:space="preserve"> LEFT(Sng2String(Table1[[#This Row],[g bias]]), 6)</f>
        <v>3F4CCC</v>
      </c>
      <c r="D32" s="1" t="str">
        <f xml:space="preserve"> LEFT(Sng2String(Table1[[#This Row],[t bias]]), 6)</f>
        <v>3E9999</v>
      </c>
      <c r="E32" s="1" t="str">
        <f xml:space="preserve"> LEFT(Sng2String(Table1[[#This Row],[c gain]]), 6)</f>
        <v>3FA666</v>
      </c>
      <c r="F32" s="1" t="str">
        <f xml:space="preserve"> LEFT(Sng2String(Table1[[#This Row],[a gain]]), 6)</f>
        <v>3F4CCC</v>
      </c>
      <c r="G32" s="1" t="str">
        <f xml:space="preserve"> LEFT(Sng2String(Table1[[#This Row],[g gain]]), 6)</f>
        <v>3F2666</v>
      </c>
      <c r="H32" s="1" t="str">
        <f xml:space="preserve"> LEFT(Sng2String(Table1[[#This Row],[t gain]]), 6)</f>
        <v>3FA666</v>
      </c>
      <c r="I32" t="str">
        <f xml:space="preserve"> Sng2String(Table1[[#This Row],[c ptrace]])</f>
        <v>3E999900</v>
      </c>
      <c r="J32" t="str">
        <f xml:space="preserve"> Sng2String(Table1[[#This Row],[a ptrace]])</f>
        <v>3FA66600</v>
      </c>
      <c r="K32" t="str">
        <f xml:space="preserve"> Sng2String(Table1[[#This Row],[g ptrace]])</f>
        <v>3F4CCC00</v>
      </c>
      <c r="L32" t="str">
        <f>Sng2String(Table1[[#This Row],[t ptrace]])</f>
        <v>3E999900</v>
      </c>
      <c r="M32" t="str">
        <f xml:space="preserve"> INDEX(SmallFP!$A$1:$A$256, Table1[[#This Row],[ISMI]]+1)</f>
        <v>41F800</v>
      </c>
      <c r="N32" t="str">
        <f>Single2String(Table1[[#This Row],[c ctrace]])</f>
        <v>4114CC38</v>
      </c>
      <c r="O32" t="str">
        <f>Single2String(Table1[[#This Row],[a ctrace]])</f>
        <v>422132D0</v>
      </c>
      <c r="P32" t="str">
        <f xml:space="preserve"> Single2String(Table1[[#This Row],[g ctrace]])</f>
        <v>41C665A0</v>
      </c>
      <c r="Q32" t="str">
        <f xml:space="preserve"> Single2String(Table1[[#This Row],[t ctrace]])</f>
        <v>4114CC38</v>
      </c>
      <c r="R32" t="str">
        <f>Single2String(Table1[[#This Row],[grn and red ctrace]])</f>
        <v>42A765DE</v>
      </c>
      <c r="S32">
        <v>30</v>
      </c>
      <c r="T32" t="str">
        <f>DEC2HEX(Table1[[#This Row],[ZMW num]])</f>
        <v>1E</v>
      </c>
      <c r="U32">
        <f>Table1[[#This Row],[ZMW num]]+1</f>
        <v>31</v>
      </c>
      <c r="V32">
        <v>3</v>
      </c>
      <c r="W32">
        <v>118</v>
      </c>
      <c r="X32">
        <v>61</v>
      </c>
      <c r="Y32">
        <v>194</v>
      </c>
      <c r="Z32">
        <f>MOD(Table1[[#This Row],[ZMW num]], 2^8)</f>
        <v>30</v>
      </c>
      <c r="AA32">
        <f xml:space="preserve"> String2Single(Table1[[#This Row],[t ISIM hex]] &amp; "00")</f>
        <v>31</v>
      </c>
      <c r="AB32">
        <f>'Pulse data'!O35</f>
        <v>0</v>
      </c>
      <c r="AC32">
        <f>Table1[[#This Row],[ZMW num]]*0.01</f>
        <v>0.3</v>
      </c>
      <c r="AD32">
        <f>1+Table1[[#This Row],[t bias]]</f>
        <v>1.3</v>
      </c>
      <c r="AE32">
        <f>Table1[[#This Row],[t kinetic trace]]* String2Single(CONCATENATE(Table1[[#This Row],[t gain hex]], "00")) + String2Single(CONCATENATE(Table1[[#This Row],[t bias hex]], "00"))</f>
        <v>0.29999542236328125</v>
      </c>
      <c r="AF32">
        <f xml:space="preserve"> Table1[[#This Row],[t ptrace]]*Table1[[#This Row],[ISM]]</f>
        <v>9.2998580932617188</v>
      </c>
      <c r="AG32">
        <f>'Pulse data'!N35</f>
        <v>0</v>
      </c>
      <c r="AH32">
        <f>Table1[[#This Row],[t bias]]+0.5</f>
        <v>0.8</v>
      </c>
      <c r="AI32">
        <f>Table1[[#This Row],[t gain]]/2</f>
        <v>0.65</v>
      </c>
      <c r="AJ32">
        <f>Table1[[#This Row],[g kinetic trace]]* String2Single(CONCATENATE(Table1[[#This Row],[g gain hex]], "00")) + String2Single(CONCATENATE(Table1[[#This Row],[g bias hex]], "00"))</f>
        <v>0.79998779296875</v>
      </c>
      <c r="AK32">
        <f xml:space="preserve"> Table1[[#This Row],[g ptrace]]*Table1[[#This Row],[ISM]]</f>
        <v>24.79962158203125</v>
      </c>
      <c r="AL32">
        <f>'Pulse data'!M35</f>
        <v>0</v>
      </c>
      <c r="AM32">
        <f>Table1[[#This Row],[t bias]]+1</f>
        <v>1.3</v>
      </c>
      <c r="AN32">
        <f>Table1[[#This Row],[t gain]]-0.5</f>
        <v>0.8</v>
      </c>
      <c r="AO32">
        <f>Table1[[#This Row],[a kinetic trace]]* String2Single(CONCATENATE(Table1[[#This Row],[a gain hex]], "00")) + String2Single(CONCATENATE(Table1[[#This Row],[a bias hex]], "00"))</f>
        <v>1.29998779296875</v>
      </c>
      <c r="AP32">
        <f xml:space="preserve"> Table1[[#This Row],[a ptrace]]*Table1[[#This Row],[ISM]]</f>
        <v>40.29962158203125</v>
      </c>
      <c r="AQ32">
        <f>'Pulse data'!L35</f>
        <v>0</v>
      </c>
      <c r="AR32">
        <f>Table1[[#This Row],[t bias]]</f>
        <v>0.3</v>
      </c>
      <c r="AS32">
        <f>Table1[[#This Row],[t gain]]</f>
        <v>1.3</v>
      </c>
      <c r="AT32">
        <f>Table1[[#This Row],[c kinetic trace]]* String2Single(CONCATENATE(Table1[[#This Row],[c gain hex]], "00")) + String2Single(CONCATENATE(Table1[[#This Row],[c bias hex]], "00"))</f>
        <v>0.29999542236328125</v>
      </c>
      <c r="AU32">
        <f xml:space="preserve"> Table1[[#This Row],[c ptrace]]*Table1[[#This Row],[ISM]]</f>
        <v>9.2998580932617188</v>
      </c>
      <c r="AV32">
        <f xml:space="preserve"> Table1[[#This Row],[t ctrace]] + Table1[[#This Row],[g ctrace]] + Table1[[#This Row],[a ctrace]] + Table1[[#This Row],[c ctrace]]</f>
        <v>83.698959350585937</v>
      </c>
      <c r="AW32" s="2" t="str">
        <f>DEC2HEX(Table1[[#This Row],[row]], 3)</f>
        <v>003</v>
      </c>
      <c r="AX32" s="1" t="str">
        <f>DEC2HEX(Table1[[#This Row],[col]], 3)</f>
        <v>076</v>
      </c>
      <c r="AY32" s="1" t="str">
        <f>DEC2HEX(Table1[[#This Row],[grn fsp idx]], 2)</f>
        <v>3D</v>
      </c>
      <c r="AZ32" s="1" t="str">
        <f>DEC2HEX(Table1[[#This Row],[red fsp idx]], 2)</f>
        <v>C2</v>
      </c>
      <c r="BA32" s="1" t="str">
        <f>DEC2HEX(Table1[[#This Row],[ISMI]], 2)</f>
        <v>1E</v>
      </c>
      <c r="BB32" s="1">
        <f>LEN(Table1[[#This Row],[DRAM data]])</f>
        <v>64</v>
      </c>
      <c r="BC3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0030763DC21E3E99993FA6663F4CCC3F26663FA6663F4CCC3E99993FA6660002</v>
      </c>
      <c r="BV32"/>
    </row>
    <row r="33" spans="1:74" x14ac:dyDescent="0.25">
      <c r="A33" s="1" t="str">
        <f xml:space="preserve"> LEFT(Sng2String(Table1[[#This Row],[c bias]]), 6)</f>
        <v>3E9EB8</v>
      </c>
      <c r="B33" s="1" t="str">
        <f xml:space="preserve"> LEFT(Sng2String(Table1[[#This Row],[a bias]]), 6)</f>
        <v>3FA7AE</v>
      </c>
      <c r="C33" s="1" t="str">
        <f xml:space="preserve"> LEFT(Sng2String(Table1[[#This Row],[g bias]]), 6)</f>
        <v>3F4F5C</v>
      </c>
      <c r="D33" s="1" t="str">
        <f xml:space="preserve"> LEFT(Sng2String(Table1[[#This Row],[t bias]]), 6)</f>
        <v>3E9EB8</v>
      </c>
      <c r="E33" s="1" t="str">
        <f xml:space="preserve"> LEFT(Sng2String(Table1[[#This Row],[c gain]]), 6)</f>
        <v>3FA7AE</v>
      </c>
      <c r="F33" s="1" t="str">
        <f xml:space="preserve"> LEFT(Sng2String(Table1[[#This Row],[a gain]]), 6)</f>
        <v>3F4F5C</v>
      </c>
      <c r="G33" s="1" t="str">
        <f xml:space="preserve"> LEFT(Sng2String(Table1[[#This Row],[g gain]]), 6)</f>
        <v>3F27AE</v>
      </c>
      <c r="H33" s="1" t="str">
        <f xml:space="preserve"> LEFT(Sng2String(Table1[[#This Row],[t gain]]), 6)</f>
        <v>3FA7AE</v>
      </c>
      <c r="I33" t="str">
        <f xml:space="preserve"> Sng2String(Table1[[#This Row],[c ptrace]])</f>
        <v>3E9EB800</v>
      </c>
      <c r="J33" t="str">
        <f xml:space="preserve"> Sng2String(Table1[[#This Row],[a ptrace]])</f>
        <v>3FA7AE00</v>
      </c>
      <c r="K33" t="str">
        <f xml:space="preserve"> Sng2String(Table1[[#This Row],[g ptrace]])</f>
        <v>3F4F5C00</v>
      </c>
      <c r="L33" t="str">
        <f>Sng2String(Table1[[#This Row],[t ptrace]])</f>
        <v>3E9EB800</v>
      </c>
      <c r="M33" t="str">
        <f xml:space="preserve"> INDEX(SmallFP!$A$1:$A$256, Table1[[#This Row],[ISMI]]+1)</f>
        <v>420000</v>
      </c>
      <c r="N33" t="str">
        <f>Single2String(Table1[[#This Row],[c ctrace]])</f>
        <v>411EB800</v>
      </c>
      <c r="O33" t="str">
        <f>Single2String(Table1[[#This Row],[a ctrace]])</f>
        <v>4227AE00</v>
      </c>
      <c r="P33" t="str">
        <f xml:space="preserve"> Single2String(Table1[[#This Row],[g ctrace]])</f>
        <v>41CF5C00</v>
      </c>
      <c r="Q33" t="str">
        <f xml:space="preserve"> Single2String(Table1[[#This Row],[t ctrace]])</f>
        <v>411EB800</v>
      </c>
      <c r="R33" t="str">
        <f>Single2String(Table1[[#This Row],[grn and red ctrace]])</f>
        <v>42AF5C00</v>
      </c>
      <c r="S33">
        <v>31</v>
      </c>
      <c r="T33" t="str">
        <f>DEC2HEX(Table1[[#This Row],[ZMW num]])</f>
        <v>1F</v>
      </c>
      <c r="U33">
        <f>Table1[[#This Row],[ZMW num]]+1</f>
        <v>32</v>
      </c>
      <c r="V33">
        <v>3</v>
      </c>
      <c r="W33">
        <v>124</v>
      </c>
      <c r="X33">
        <v>63</v>
      </c>
      <c r="Y33">
        <v>192</v>
      </c>
      <c r="Z33">
        <f>MOD(Table1[[#This Row],[ZMW num]], 2^8)</f>
        <v>31</v>
      </c>
      <c r="AA33">
        <f xml:space="preserve"> String2Single(Table1[[#This Row],[t ISIM hex]] &amp; "00")</f>
        <v>32</v>
      </c>
      <c r="AB33">
        <f>'Pulse data'!O36</f>
        <v>0</v>
      </c>
      <c r="AC33">
        <f>Table1[[#This Row],[ZMW num]]*0.01</f>
        <v>0.31</v>
      </c>
      <c r="AD33">
        <f>1+Table1[[#This Row],[t bias]]</f>
        <v>1.31</v>
      </c>
      <c r="AE33">
        <f>Table1[[#This Row],[t kinetic trace]]* String2Single(CONCATENATE(Table1[[#This Row],[t gain hex]], "00")) + String2Single(CONCATENATE(Table1[[#This Row],[t bias hex]], "00"))</f>
        <v>0.30999755859375</v>
      </c>
      <c r="AF33">
        <f xml:space="preserve"> Table1[[#This Row],[t ptrace]]*Table1[[#This Row],[ISM]]</f>
        <v>9.919921875</v>
      </c>
      <c r="AG33">
        <f>'Pulse data'!N36</f>
        <v>0</v>
      </c>
      <c r="AH33">
        <f>Table1[[#This Row],[t bias]]+0.5</f>
        <v>0.81</v>
      </c>
      <c r="AI33">
        <f>Table1[[#This Row],[t gain]]/2</f>
        <v>0.65500000000000003</v>
      </c>
      <c r="AJ33">
        <f>Table1[[#This Row],[g kinetic trace]]* String2Single(CONCATENATE(Table1[[#This Row],[g gain hex]], "00")) + String2Single(CONCATENATE(Table1[[#This Row],[g bias hex]], "00"))</f>
        <v>0.80999755859375</v>
      </c>
      <c r="AK33">
        <f xml:space="preserve"> Table1[[#This Row],[g ptrace]]*Table1[[#This Row],[ISM]]</f>
        <v>25.919921875</v>
      </c>
      <c r="AL33">
        <f>'Pulse data'!M36</f>
        <v>0</v>
      </c>
      <c r="AM33">
        <f>Table1[[#This Row],[t bias]]+1</f>
        <v>1.31</v>
      </c>
      <c r="AN33">
        <f>Table1[[#This Row],[t gain]]-0.5</f>
        <v>0.81</v>
      </c>
      <c r="AO33">
        <f>Table1[[#This Row],[a kinetic trace]]* String2Single(CONCATENATE(Table1[[#This Row],[a gain hex]], "00")) + String2Single(CONCATENATE(Table1[[#This Row],[a bias hex]], "00"))</f>
        <v>1.30999755859375</v>
      </c>
      <c r="AP33">
        <f xml:space="preserve"> Table1[[#This Row],[a ptrace]]*Table1[[#This Row],[ISM]]</f>
        <v>41.919921875</v>
      </c>
      <c r="AQ33">
        <f>'Pulse data'!L36</f>
        <v>0</v>
      </c>
      <c r="AR33">
        <f>Table1[[#This Row],[t bias]]</f>
        <v>0.31</v>
      </c>
      <c r="AS33">
        <f>Table1[[#This Row],[t gain]]</f>
        <v>1.31</v>
      </c>
      <c r="AT33">
        <f>Table1[[#This Row],[c kinetic trace]]* String2Single(CONCATENATE(Table1[[#This Row],[c gain hex]], "00")) + String2Single(CONCATENATE(Table1[[#This Row],[c bias hex]], "00"))</f>
        <v>0.30999755859375</v>
      </c>
      <c r="AU33">
        <f xml:space="preserve"> Table1[[#This Row],[c ptrace]]*Table1[[#This Row],[ISM]]</f>
        <v>9.919921875</v>
      </c>
      <c r="AV33">
        <f xml:space="preserve"> Table1[[#This Row],[t ctrace]] + Table1[[#This Row],[g ctrace]] + Table1[[#This Row],[a ctrace]] + Table1[[#This Row],[c ctrace]]</f>
        <v>87.6796875</v>
      </c>
      <c r="AW33" s="2" t="str">
        <f>DEC2HEX(Table1[[#This Row],[row]], 3)</f>
        <v>003</v>
      </c>
      <c r="AX33" s="1" t="str">
        <f>DEC2HEX(Table1[[#This Row],[col]], 3)</f>
        <v>07C</v>
      </c>
      <c r="AY33" s="1" t="str">
        <f>DEC2HEX(Table1[[#This Row],[grn fsp idx]], 2)</f>
        <v>3F</v>
      </c>
      <c r="AZ33" s="1" t="str">
        <f>DEC2HEX(Table1[[#This Row],[red fsp idx]], 2)</f>
        <v>C0</v>
      </c>
      <c r="BA33" s="1" t="str">
        <f>DEC2HEX(Table1[[#This Row],[ISMI]], 2)</f>
        <v>1F</v>
      </c>
      <c r="BB33" s="1">
        <f>LEN(Table1[[#This Row],[DRAM data]])</f>
        <v>64</v>
      </c>
      <c r="BC3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00307C3FC01F3E9EB83FA7AE3F4F5C3F27AE3FA7AE3F4F5C3E9EB83FA7AE0002</v>
      </c>
      <c r="BV33"/>
    </row>
    <row r="34" spans="1:74" x14ac:dyDescent="0.25">
      <c r="A34" s="1" t="str">
        <f xml:space="preserve"> LEFT(Sng2String(Table1[[#This Row],[c bias]]), 6)</f>
        <v>3EA3D7</v>
      </c>
      <c r="B34" s="1" t="str">
        <f xml:space="preserve"> LEFT(Sng2String(Table1[[#This Row],[a bias]]), 6)</f>
        <v>3FA8F5</v>
      </c>
      <c r="C34" s="1" t="str">
        <f xml:space="preserve"> LEFT(Sng2String(Table1[[#This Row],[g bias]]), 6)</f>
        <v>3F51EB</v>
      </c>
      <c r="D34" s="1" t="str">
        <f xml:space="preserve"> LEFT(Sng2String(Table1[[#This Row],[t bias]]), 6)</f>
        <v>3EA3D7</v>
      </c>
      <c r="E34" s="1" t="str">
        <f xml:space="preserve"> LEFT(Sng2String(Table1[[#This Row],[c gain]]), 6)</f>
        <v>3FA8F5</v>
      </c>
      <c r="F34" s="1" t="str">
        <f xml:space="preserve"> LEFT(Sng2String(Table1[[#This Row],[a gain]]), 6)</f>
        <v>3F51EB</v>
      </c>
      <c r="G34" s="1" t="str">
        <f xml:space="preserve"> LEFT(Sng2String(Table1[[#This Row],[g gain]]), 6)</f>
        <v>3F28F5</v>
      </c>
      <c r="H34" s="1" t="str">
        <f xml:space="preserve"> LEFT(Sng2String(Table1[[#This Row],[t gain]]), 6)</f>
        <v>3FA8F5</v>
      </c>
      <c r="I34" t="str">
        <f xml:space="preserve"> Sng2String(Table1[[#This Row],[c ptrace]])</f>
        <v>3EA3D700</v>
      </c>
      <c r="J34" t="str">
        <f xml:space="preserve"> Sng2String(Table1[[#This Row],[a ptrace]])</f>
        <v>3FA8F500</v>
      </c>
      <c r="K34" t="str">
        <f xml:space="preserve"> Sng2String(Table1[[#This Row],[g ptrace]])</f>
        <v>3F51EB00</v>
      </c>
      <c r="L34" t="str">
        <f>Sng2String(Table1[[#This Row],[t ptrace]])</f>
        <v>3EA3D700</v>
      </c>
      <c r="M34" t="str">
        <f xml:space="preserve"> INDEX(SmallFP!$A$1:$A$256, Table1[[#This Row],[ISMI]]+1)</f>
        <v>420400</v>
      </c>
      <c r="N34" t="str">
        <f>Single2String(Table1[[#This Row],[c ctrace]])</f>
        <v>4128F5B8</v>
      </c>
      <c r="O34" t="str">
        <f>Single2String(Table1[[#This Row],[a ctrace]])</f>
        <v>422E3CA8</v>
      </c>
      <c r="P34" t="str">
        <f xml:space="preserve"> Single2String(Table1[[#This Row],[g ctrace]])</f>
        <v>41D87A58</v>
      </c>
      <c r="Q34" t="str">
        <f xml:space="preserve"> Single2String(Table1[[#This Row],[t ctrace]])</f>
        <v>4128F5B8</v>
      </c>
      <c r="R34" t="str">
        <f>Single2String(Table1[[#This Row],[grn and red ctrace]])</f>
        <v>42B77A58</v>
      </c>
      <c r="S34">
        <v>32</v>
      </c>
      <c r="T34" t="str">
        <f>DEC2HEX(Table1[[#This Row],[ZMW num]])</f>
        <v>20</v>
      </c>
      <c r="U34">
        <f>Table1[[#This Row],[ZMW num]]+1</f>
        <v>33</v>
      </c>
      <c r="V34">
        <v>4</v>
      </c>
      <c r="W34">
        <f>W2+1</f>
        <v>4</v>
      </c>
      <c r="X34">
        <v>65</v>
      </c>
      <c r="Y34">
        <v>190</v>
      </c>
      <c r="Z34">
        <f>MOD(Table1[[#This Row],[ZMW num]], 2^8)</f>
        <v>32</v>
      </c>
      <c r="AA34">
        <f xml:space="preserve"> String2Single(Table1[[#This Row],[t ISIM hex]] &amp; "00")</f>
        <v>33</v>
      </c>
      <c r="AB34">
        <f>'Pulse data'!O37</f>
        <v>0</v>
      </c>
      <c r="AC34">
        <f>Table1[[#This Row],[ZMW num]]*0.01</f>
        <v>0.32</v>
      </c>
      <c r="AD34">
        <f>1+Table1[[#This Row],[t bias]]</f>
        <v>1.32</v>
      </c>
      <c r="AE34">
        <f>Table1[[#This Row],[t kinetic trace]]* String2Single(CONCATENATE(Table1[[#This Row],[t gain hex]], "00")) + String2Single(CONCATENATE(Table1[[#This Row],[t bias hex]], "00"))</f>
        <v>0.31999969482421875</v>
      </c>
      <c r="AF34">
        <f xml:space="preserve"> Table1[[#This Row],[t ptrace]]*Table1[[#This Row],[ISM]]</f>
        <v>10.559989929199219</v>
      </c>
      <c r="AG34">
        <f>'Pulse data'!N37</f>
        <v>0</v>
      </c>
      <c r="AH34">
        <f>Table1[[#This Row],[t bias]]+0.5</f>
        <v>0.82000000000000006</v>
      </c>
      <c r="AI34">
        <f>Table1[[#This Row],[t gain]]/2</f>
        <v>0.66</v>
      </c>
      <c r="AJ34">
        <f>Table1[[#This Row],[g kinetic trace]]* String2Single(CONCATENATE(Table1[[#This Row],[g gain hex]], "00")) + String2Single(CONCATENATE(Table1[[#This Row],[g bias hex]], "00"))</f>
        <v>0.8199920654296875</v>
      </c>
      <c r="AK34">
        <f xml:space="preserve"> Table1[[#This Row],[g ptrace]]*Table1[[#This Row],[ISM]]</f>
        <v>27.059738159179688</v>
      </c>
      <c r="AL34">
        <f>'Pulse data'!M37</f>
        <v>0</v>
      </c>
      <c r="AM34">
        <f>Table1[[#This Row],[t bias]]+1</f>
        <v>1.32</v>
      </c>
      <c r="AN34">
        <f>Table1[[#This Row],[t gain]]-0.5</f>
        <v>0.82000000000000006</v>
      </c>
      <c r="AO34">
        <f>Table1[[#This Row],[a kinetic trace]]* String2Single(CONCATENATE(Table1[[#This Row],[a gain hex]], "00")) + String2Single(CONCATENATE(Table1[[#This Row],[a bias hex]], "00"))</f>
        <v>1.319976806640625</v>
      </c>
      <c r="AP34">
        <f xml:space="preserve"> Table1[[#This Row],[a ptrace]]*Table1[[#This Row],[ISM]]</f>
        <v>43.559234619140625</v>
      </c>
      <c r="AQ34">
        <f>'Pulse data'!L37</f>
        <v>0</v>
      </c>
      <c r="AR34">
        <f>Table1[[#This Row],[t bias]]</f>
        <v>0.32</v>
      </c>
      <c r="AS34">
        <f>Table1[[#This Row],[t gain]]</f>
        <v>1.32</v>
      </c>
      <c r="AT34">
        <f>Table1[[#This Row],[c kinetic trace]]* String2Single(CONCATENATE(Table1[[#This Row],[c gain hex]], "00")) + String2Single(CONCATENATE(Table1[[#This Row],[c bias hex]], "00"))</f>
        <v>0.31999969482421875</v>
      </c>
      <c r="AU34">
        <f xml:space="preserve"> Table1[[#This Row],[c ptrace]]*Table1[[#This Row],[ISM]]</f>
        <v>10.559989929199219</v>
      </c>
      <c r="AV34">
        <f xml:space="preserve"> Table1[[#This Row],[t ctrace]] + Table1[[#This Row],[g ctrace]] + Table1[[#This Row],[a ctrace]] + Table1[[#This Row],[c ctrace]]</f>
        <v>91.73895263671875</v>
      </c>
      <c r="AW34" s="2" t="str">
        <f>DEC2HEX(Table1[[#This Row],[row]], 3)</f>
        <v>004</v>
      </c>
      <c r="AX34" s="1" t="str">
        <f>DEC2HEX(Table1[[#This Row],[col]], 3)</f>
        <v>004</v>
      </c>
      <c r="AY34" s="1" t="str">
        <f>DEC2HEX(Table1[[#This Row],[grn fsp idx]], 2)</f>
        <v>41</v>
      </c>
      <c r="AZ34" s="1" t="str">
        <f>DEC2HEX(Table1[[#This Row],[red fsp idx]], 2)</f>
        <v>BE</v>
      </c>
      <c r="BA34" s="1" t="str">
        <f>DEC2HEX(Table1[[#This Row],[ISMI]], 2)</f>
        <v>20</v>
      </c>
      <c r="BB34" s="1">
        <f>LEN(Table1[[#This Row],[DRAM data]])</f>
        <v>64</v>
      </c>
      <c r="BC3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00400441BE203EA3D73FA8F53F51EB3F28F53FA8F53F51EB3EA3D73FA8F50002</v>
      </c>
      <c r="BV34"/>
    </row>
    <row r="35" spans="1:74" x14ac:dyDescent="0.25">
      <c r="A35" s="1" t="str">
        <f xml:space="preserve"> LEFT(Sng2String(Table1[[#This Row],[c bias]]), 6)</f>
        <v>3EA8F5</v>
      </c>
      <c r="B35" s="1" t="str">
        <f xml:space="preserve"> LEFT(Sng2String(Table1[[#This Row],[a bias]]), 6)</f>
        <v>3FAA3D</v>
      </c>
      <c r="C35" s="1" t="str">
        <f xml:space="preserve"> LEFT(Sng2String(Table1[[#This Row],[g bias]]), 6)</f>
        <v>3F547A</v>
      </c>
      <c r="D35" s="1" t="str">
        <f xml:space="preserve"> LEFT(Sng2String(Table1[[#This Row],[t bias]]), 6)</f>
        <v>3EA8F5</v>
      </c>
      <c r="E35" s="1" t="str">
        <f xml:space="preserve"> LEFT(Sng2String(Table1[[#This Row],[c gain]]), 6)</f>
        <v>3FAA3D</v>
      </c>
      <c r="F35" s="1" t="str">
        <f xml:space="preserve"> LEFT(Sng2String(Table1[[#This Row],[a gain]]), 6)</f>
        <v>3F547A</v>
      </c>
      <c r="G35" s="1" t="str">
        <f xml:space="preserve"> LEFT(Sng2String(Table1[[#This Row],[g gain]]), 6)</f>
        <v>3F2A3D</v>
      </c>
      <c r="H35" s="1" t="str">
        <f xml:space="preserve"> LEFT(Sng2String(Table1[[#This Row],[t gain]]), 6)</f>
        <v>3FAA3D</v>
      </c>
      <c r="I35" t="str">
        <f xml:space="preserve"> Sng2String(Table1[[#This Row],[c ptrace]])</f>
        <v>3EA8F500</v>
      </c>
      <c r="J35" t="str">
        <f xml:space="preserve"> Sng2String(Table1[[#This Row],[a ptrace]])</f>
        <v>3FAA3D00</v>
      </c>
      <c r="K35" t="str">
        <f xml:space="preserve"> Sng2String(Table1[[#This Row],[g ptrace]])</f>
        <v>3F547A00</v>
      </c>
      <c r="L35" t="str">
        <f>Sng2String(Table1[[#This Row],[t ptrace]])</f>
        <v>3EA8F500</v>
      </c>
      <c r="M35" t="str">
        <f xml:space="preserve"> INDEX(SmallFP!$A$1:$A$256, Table1[[#This Row],[ISMI]]+1)</f>
        <v>420800</v>
      </c>
      <c r="N35" t="str">
        <f>Single2String(Table1[[#This Row],[c ctrace]])</f>
        <v>41338450</v>
      </c>
      <c r="O35" t="str">
        <f>Single2String(Table1[[#This Row],[a ctrace]])</f>
        <v>4234E0D0</v>
      </c>
      <c r="P35" t="str">
        <f xml:space="preserve"> Single2String(Table1[[#This Row],[g ctrace]])</f>
        <v>41E1C1A0</v>
      </c>
      <c r="Q35" t="str">
        <f xml:space="preserve"> Single2String(Table1[[#This Row],[t ctrace]])</f>
        <v>41338450</v>
      </c>
      <c r="R35" t="str">
        <f>Single2String(Table1[[#This Row],[grn and red ctrace]])</f>
        <v>42BFC1E4</v>
      </c>
      <c r="S35">
        <v>33</v>
      </c>
      <c r="T35" t="str">
        <f>DEC2HEX(Table1[[#This Row],[ZMW num]])</f>
        <v>21</v>
      </c>
      <c r="U35">
        <f>Table1[[#This Row],[ZMW num]]+1</f>
        <v>34</v>
      </c>
      <c r="V35">
        <v>4</v>
      </c>
      <c r="W35">
        <f t="shared" ref="W35:W65" si="0">W3+1</f>
        <v>6</v>
      </c>
      <c r="X35">
        <v>67</v>
      </c>
      <c r="Y35">
        <v>188</v>
      </c>
      <c r="Z35">
        <f>MOD(Table1[[#This Row],[ZMW num]], 2^8)</f>
        <v>33</v>
      </c>
      <c r="AA35">
        <f xml:space="preserve"> String2Single(Table1[[#This Row],[t ISIM hex]] &amp; "00")</f>
        <v>34</v>
      </c>
      <c r="AB35">
        <f>'Pulse data'!O38</f>
        <v>0</v>
      </c>
      <c r="AC35">
        <f>Table1[[#This Row],[ZMW num]]*0.01</f>
        <v>0.33</v>
      </c>
      <c r="AD35">
        <f>1+Table1[[#This Row],[t bias]]</f>
        <v>1.33</v>
      </c>
      <c r="AE35">
        <f>Table1[[#This Row],[t kinetic trace]]* String2Single(CONCATENATE(Table1[[#This Row],[t gain hex]], "00")) + String2Single(CONCATENATE(Table1[[#This Row],[t bias hex]], "00"))</f>
        <v>0.32999420166015625</v>
      </c>
      <c r="AF35">
        <f xml:space="preserve"> Table1[[#This Row],[t ptrace]]*Table1[[#This Row],[ISM]]</f>
        <v>11.219802856445313</v>
      </c>
      <c r="AG35">
        <f>'Pulse data'!N38</f>
        <v>0</v>
      </c>
      <c r="AH35">
        <f>Table1[[#This Row],[t bias]]+0.5</f>
        <v>0.83000000000000007</v>
      </c>
      <c r="AI35">
        <f>Table1[[#This Row],[t gain]]/2</f>
        <v>0.66500000000000004</v>
      </c>
      <c r="AJ35">
        <f>Table1[[#This Row],[g kinetic trace]]* String2Single(CONCATENATE(Table1[[#This Row],[g gain hex]], "00")) + String2Single(CONCATENATE(Table1[[#This Row],[g bias hex]], "00"))</f>
        <v>0.829986572265625</v>
      </c>
      <c r="AK35">
        <f xml:space="preserve"> Table1[[#This Row],[g ptrace]]*Table1[[#This Row],[ISM]]</f>
        <v>28.21954345703125</v>
      </c>
      <c r="AL35">
        <f>'Pulse data'!M38</f>
        <v>0</v>
      </c>
      <c r="AM35">
        <f>Table1[[#This Row],[t bias]]+1</f>
        <v>1.33</v>
      </c>
      <c r="AN35">
        <f>Table1[[#This Row],[t gain]]-0.5</f>
        <v>0.83000000000000007</v>
      </c>
      <c r="AO35">
        <f>Table1[[#This Row],[a kinetic trace]]* String2Single(CONCATENATE(Table1[[#This Row],[a gain hex]], "00")) + String2Single(CONCATENATE(Table1[[#This Row],[a bias hex]], "00"))</f>
        <v>1.329986572265625</v>
      </c>
      <c r="AP35">
        <f xml:space="preserve"> Table1[[#This Row],[a ptrace]]*Table1[[#This Row],[ISM]]</f>
        <v>45.21954345703125</v>
      </c>
      <c r="AQ35">
        <f>'Pulse data'!L38</f>
        <v>0</v>
      </c>
      <c r="AR35">
        <f>Table1[[#This Row],[t bias]]</f>
        <v>0.33</v>
      </c>
      <c r="AS35">
        <f>Table1[[#This Row],[t gain]]</f>
        <v>1.33</v>
      </c>
      <c r="AT35">
        <f>Table1[[#This Row],[c kinetic trace]]* String2Single(CONCATENATE(Table1[[#This Row],[c gain hex]], "00")) + String2Single(CONCATENATE(Table1[[#This Row],[c bias hex]], "00"))</f>
        <v>0.32999420166015625</v>
      </c>
      <c r="AU35">
        <f xml:space="preserve"> Table1[[#This Row],[c ptrace]]*Table1[[#This Row],[ISM]]</f>
        <v>11.219802856445313</v>
      </c>
      <c r="AV35">
        <f xml:space="preserve"> Table1[[#This Row],[t ctrace]] + Table1[[#This Row],[g ctrace]] + Table1[[#This Row],[a ctrace]] + Table1[[#This Row],[c ctrace]]</f>
        <v>95.878692626953125</v>
      </c>
      <c r="AW35" s="2" t="str">
        <f>DEC2HEX(Table1[[#This Row],[row]], 3)</f>
        <v>004</v>
      </c>
      <c r="AX35" s="1" t="str">
        <f>DEC2HEX(Table1[[#This Row],[col]], 3)</f>
        <v>006</v>
      </c>
      <c r="AY35" s="1" t="str">
        <f>DEC2HEX(Table1[[#This Row],[grn fsp idx]], 2)</f>
        <v>43</v>
      </c>
      <c r="AZ35" s="1" t="str">
        <f>DEC2HEX(Table1[[#This Row],[red fsp idx]], 2)</f>
        <v>BC</v>
      </c>
      <c r="BA35" s="1" t="str">
        <f>DEC2HEX(Table1[[#This Row],[ISMI]], 2)</f>
        <v>21</v>
      </c>
      <c r="BB35" s="1">
        <f>LEN(Table1[[#This Row],[DRAM data]])</f>
        <v>64</v>
      </c>
      <c r="BC3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00400643BC213EA8F53FAA3D3F547A3F2A3D3FAA3D3F547A3EA8F53FAA3D0002</v>
      </c>
      <c r="BV35"/>
    </row>
    <row r="36" spans="1:74" x14ac:dyDescent="0.25">
      <c r="A36" s="1" t="str">
        <f xml:space="preserve"> LEFT(Sng2String(Table1[[#This Row],[c bias]]), 6)</f>
        <v>3EAE14</v>
      </c>
      <c r="B36" s="1" t="str">
        <f xml:space="preserve"> LEFT(Sng2String(Table1[[#This Row],[a bias]]), 6)</f>
        <v>3FAB85</v>
      </c>
      <c r="C36" s="1" t="str">
        <f xml:space="preserve"> LEFT(Sng2String(Table1[[#This Row],[g bias]]), 6)</f>
        <v>3F570A</v>
      </c>
      <c r="D36" s="1" t="str">
        <f xml:space="preserve"> LEFT(Sng2String(Table1[[#This Row],[t bias]]), 6)</f>
        <v>3EAE14</v>
      </c>
      <c r="E36" s="1" t="str">
        <f xml:space="preserve"> LEFT(Sng2String(Table1[[#This Row],[c gain]]), 6)</f>
        <v>3FAB85</v>
      </c>
      <c r="F36" s="1" t="str">
        <f xml:space="preserve"> LEFT(Sng2String(Table1[[#This Row],[a gain]]), 6)</f>
        <v>3F570A</v>
      </c>
      <c r="G36" s="1" t="str">
        <f xml:space="preserve"> LEFT(Sng2String(Table1[[#This Row],[g gain]]), 6)</f>
        <v>3F2B85</v>
      </c>
      <c r="H36" s="1" t="str">
        <f xml:space="preserve"> LEFT(Sng2String(Table1[[#This Row],[t gain]]), 6)</f>
        <v>3FAB85</v>
      </c>
      <c r="I36" t="str">
        <f xml:space="preserve"> Sng2String(Table1[[#This Row],[c ptrace]])</f>
        <v>3EAE1400</v>
      </c>
      <c r="J36" t="str">
        <f xml:space="preserve"> Sng2String(Table1[[#This Row],[a ptrace]])</f>
        <v>3FAB8500</v>
      </c>
      <c r="K36" t="str">
        <f xml:space="preserve"> Sng2String(Table1[[#This Row],[g ptrace]])</f>
        <v>3F570A00</v>
      </c>
      <c r="L36" t="str">
        <f>Sng2String(Table1[[#This Row],[t ptrace]])</f>
        <v>3EAE1400</v>
      </c>
      <c r="M36" t="str">
        <f xml:space="preserve"> INDEX(SmallFP!$A$1:$A$256, Table1[[#This Row],[ISMI]]+1)</f>
        <v>420C00</v>
      </c>
      <c r="N36" t="str">
        <f>Single2String(Table1[[#This Row],[c ctrace]])</f>
        <v>413E65E0</v>
      </c>
      <c r="O36" t="str">
        <f>Single2String(Table1[[#This Row],[a ctrace]])</f>
        <v>423B9978</v>
      </c>
      <c r="P36" t="str">
        <f xml:space="preserve"> Single2String(Table1[[#This Row],[g ctrace]])</f>
        <v>41EB32F0</v>
      </c>
      <c r="Q36" t="str">
        <f xml:space="preserve"> Single2String(Table1[[#This Row],[t ctrace]])</f>
        <v>413E65E0</v>
      </c>
      <c r="R36" t="str">
        <f>Single2String(Table1[[#This Row],[grn and red ctrace]])</f>
        <v>42C832F0</v>
      </c>
      <c r="S36">
        <v>34</v>
      </c>
      <c r="T36" t="str">
        <f>DEC2HEX(Table1[[#This Row],[ZMW num]])</f>
        <v>22</v>
      </c>
      <c r="U36">
        <f>Table1[[#This Row],[ZMW num]]+1</f>
        <v>35</v>
      </c>
      <c r="V36">
        <v>4</v>
      </c>
      <c r="W36">
        <f t="shared" si="0"/>
        <v>9</v>
      </c>
      <c r="X36">
        <v>69</v>
      </c>
      <c r="Y36">
        <v>186</v>
      </c>
      <c r="Z36">
        <f>MOD(Table1[[#This Row],[ZMW num]], 2^8)</f>
        <v>34</v>
      </c>
      <c r="AA36">
        <f xml:space="preserve"> String2Single(Table1[[#This Row],[t ISIM hex]] &amp; "00")</f>
        <v>35</v>
      </c>
      <c r="AB36">
        <f>'Pulse data'!O39</f>
        <v>0</v>
      </c>
      <c r="AC36">
        <f>Table1[[#This Row],[ZMW num]]*0.01</f>
        <v>0.34</v>
      </c>
      <c r="AD36">
        <f>1+Table1[[#This Row],[t bias]]</f>
        <v>1.34</v>
      </c>
      <c r="AE36">
        <f>Table1[[#This Row],[t kinetic trace]]* String2Single(CONCATENATE(Table1[[#This Row],[t gain hex]], "00")) + String2Single(CONCATENATE(Table1[[#This Row],[t bias hex]], "00"))</f>
        <v>0.339996337890625</v>
      </c>
      <c r="AF36">
        <f xml:space="preserve"> Table1[[#This Row],[t ptrace]]*Table1[[#This Row],[ISM]]</f>
        <v>11.899871826171875</v>
      </c>
      <c r="AG36">
        <f>'Pulse data'!N39</f>
        <v>0</v>
      </c>
      <c r="AH36">
        <f>Table1[[#This Row],[t bias]]+0.5</f>
        <v>0.84000000000000008</v>
      </c>
      <c r="AI36">
        <f>Table1[[#This Row],[t gain]]/2</f>
        <v>0.67</v>
      </c>
      <c r="AJ36">
        <f>Table1[[#This Row],[g kinetic trace]]* String2Single(CONCATENATE(Table1[[#This Row],[g gain hex]], "00")) + String2Single(CONCATENATE(Table1[[#This Row],[g bias hex]], "00"))</f>
        <v>0.839996337890625</v>
      </c>
      <c r="AK36">
        <f xml:space="preserve"> Table1[[#This Row],[g ptrace]]*Table1[[#This Row],[ISM]]</f>
        <v>29.399871826171875</v>
      </c>
      <c r="AL36">
        <f>'Pulse data'!M39</f>
        <v>0</v>
      </c>
      <c r="AM36">
        <f>Table1[[#This Row],[t bias]]+1</f>
        <v>1.34</v>
      </c>
      <c r="AN36">
        <f>Table1[[#This Row],[t gain]]-0.5</f>
        <v>0.84000000000000008</v>
      </c>
      <c r="AO36">
        <f>Table1[[#This Row],[a kinetic trace]]* String2Single(CONCATENATE(Table1[[#This Row],[a gain hex]], "00")) + String2Single(CONCATENATE(Table1[[#This Row],[a bias hex]], "00"))</f>
        <v>1.339996337890625</v>
      </c>
      <c r="AP36">
        <f xml:space="preserve"> Table1[[#This Row],[a ptrace]]*Table1[[#This Row],[ISM]]</f>
        <v>46.899871826171875</v>
      </c>
      <c r="AQ36">
        <f>'Pulse data'!L39</f>
        <v>0</v>
      </c>
      <c r="AR36">
        <f>Table1[[#This Row],[t bias]]</f>
        <v>0.34</v>
      </c>
      <c r="AS36">
        <f>Table1[[#This Row],[t gain]]</f>
        <v>1.34</v>
      </c>
      <c r="AT36">
        <f>Table1[[#This Row],[c kinetic trace]]* String2Single(CONCATENATE(Table1[[#This Row],[c gain hex]], "00")) + String2Single(CONCATENATE(Table1[[#This Row],[c bias hex]], "00"))</f>
        <v>0.339996337890625</v>
      </c>
      <c r="AU36">
        <f xml:space="preserve"> Table1[[#This Row],[c ptrace]]*Table1[[#This Row],[ISM]]</f>
        <v>11.899871826171875</v>
      </c>
      <c r="AV36">
        <f xml:space="preserve"> Table1[[#This Row],[t ctrace]] + Table1[[#This Row],[g ctrace]] + Table1[[#This Row],[a ctrace]] + Table1[[#This Row],[c ctrace]]</f>
        <v>100.0994873046875</v>
      </c>
      <c r="AW36" s="2" t="str">
        <f>DEC2HEX(Table1[[#This Row],[row]], 3)</f>
        <v>004</v>
      </c>
      <c r="AX36" s="1" t="str">
        <f>DEC2HEX(Table1[[#This Row],[col]], 3)</f>
        <v>009</v>
      </c>
      <c r="AY36" s="1" t="str">
        <f>DEC2HEX(Table1[[#This Row],[grn fsp idx]], 2)</f>
        <v>45</v>
      </c>
      <c r="AZ36" s="1" t="str">
        <f>DEC2HEX(Table1[[#This Row],[red fsp idx]], 2)</f>
        <v>BA</v>
      </c>
      <c r="BA36" s="1" t="str">
        <f>DEC2HEX(Table1[[#This Row],[ISMI]], 2)</f>
        <v>22</v>
      </c>
      <c r="BB36" s="1">
        <f>LEN(Table1[[#This Row],[DRAM data]])</f>
        <v>64</v>
      </c>
      <c r="BC3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00400945BA223EAE143FAB853F570A3F2B853FAB853F570A3EAE143FAB850002</v>
      </c>
      <c r="BV36"/>
    </row>
    <row r="37" spans="1:74" x14ac:dyDescent="0.25">
      <c r="A37" s="1" t="str">
        <f xml:space="preserve"> LEFT(Sng2String(Table1[[#This Row],[c bias]]), 6)</f>
        <v>3EB333</v>
      </c>
      <c r="B37" s="1" t="str">
        <f xml:space="preserve"> LEFT(Sng2String(Table1[[#This Row],[a bias]]), 6)</f>
        <v>3FACCC</v>
      </c>
      <c r="C37" s="1" t="str">
        <f xml:space="preserve"> LEFT(Sng2String(Table1[[#This Row],[g bias]]), 6)</f>
        <v>3F5999</v>
      </c>
      <c r="D37" s="1" t="str">
        <f xml:space="preserve"> LEFT(Sng2String(Table1[[#This Row],[t bias]]), 6)</f>
        <v>3EB333</v>
      </c>
      <c r="E37" s="1" t="str">
        <f xml:space="preserve"> LEFT(Sng2String(Table1[[#This Row],[c gain]]), 6)</f>
        <v>3FACCC</v>
      </c>
      <c r="F37" s="1" t="str">
        <f xml:space="preserve"> LEFT(Sng2String(Table1[[#This Row],[a gain]]), 6)</f>
        <v>3F5999</v>
      </c>
      <c r="G37" s="1" t="str">
        <f xml:space="preserve"> LEFT(Sng2String(Table1[[#This Row],[g gain]]), 6)</f>
        <v>3F2CCC</v>
      </c>
      <c r="H37" s="1" t="str">
        <f xml:space="preserve"> LEFT(Sng2String(Table1[[#This Row],[t gain]]), 6)</f>
        <v>3FACCC</v>
      </c>
      <c r="I37" t="str">
        <f xml:space="preserve"> Sng2String(Table1[[#This Row],[c ptrace]])</f>
        <v>3EB33300</v>
      </c>
      <c r="J37" t="str">
        <f xml:space="preserve"> Sng2String(Table1[[#This Row],[a ptrace]])</f>
        <v>3FACCC00</v>
      </c>
      <c r="K37" t="str">
        <f xml:space="preserve"> Sng2String(Table1[[#This Row],[g ptrace]])</f>
        <v>3F599900</v>
      </c>
      <c r="L37" t="str">
        <f>Sng2String(Table1[[#This Row],[t ptrace]])</f>
        <v>3EB33300</v>
      </c>
      <c r="M37" t="str">
        <f xml:space="preserve"> INDEX(SmallFP!$A$1:$A$256, Table1[[#This Row],[ISMI]]+1)</f>
        <v>421000</v>
      </c>
      <c r="N37" t="str">
        <f>Single2String(Table1[[#This Row],[c ctrace]])</f>
        <v>41499960</v>
      </c>
      <c r="O37" t="str">
        <f>Single2String(Table1[[#This Row],[a ctrace]])</f>
        <v>42426580</v>
      </c>
      <c r="P37" t="str">
        <f xml:space="preserve"> Single2String(Table1[[#This Row],[g ctrace]])</f>
        <v>41F4CC20</v>
      </c>
      <c r="Q37" t="str">
        <f xml:space="preserve"> Single2String(Table1[[#This Row],[t ctrace]])</f>
        <v>41499960</v>
      </c>
      <c r="R37" t="str">
        <f>Single2String(Table1[[#This Row],[grn and red ctrace]])</f>
        <v>42D0CC20</v>
      </c>
      <c r="S37">
        <v>35</v>
      </c>
      <c r="T37" t="str">
        <f>DEC2HEX(Table1[[#This Row],[ZMW num]])</f>
        <v>23</v>
      </c>
      <c r="U37">
        <f>Table1[[#This Row],[ZMW num]]+1</f>
        <v>36</v>
      </c>
      <c r="V37">
        <v>4</v>
      </c>
      <c r="W37">
        <f t="shared" si="0"/>
        <v>11</v>
      </c>
      <c r="X37">
        <v>71</v>
      </c>
      <c r="Y37">
        <v>184</v>
      </c>
      <c r="Z37">
        <f>MOD(Table1[[#This Row],[ZMW num]], 2^8)</f>
        <v>35</v>
      </c>
      <c r="AA37">
        <f xml:space="preserve"> String2Single(Table1[[#This Row],[t ISIM hex]] &amp; "00")</f>
        <v>36</v>
      </c>
      <c r="AB37">
        <f>'Pulse data'!O40</f>
        <v>0</v>
      </c>
      <c r="AC37">
        <f>Table1[[#This Row],[ZMW num]]*0.01</f>
        <v>0.35000000000000003</v>
      </c>
      <c r="AD37">
        <f>1+Table1[[#This Row],[t bias]]</f>
        <v>1.35</v>
      </c>
      <c r="AE37">
        <f>Table1[[#This Row],[t kinetic trace]]* String2Single(CONCATENATE(Table1[[#This Row],[t gain hex]], "00")) + String2Single(CONCATENATE(Table1[[#This Row],[t bias hex]], "00"))</f>
        <v>0.34999847412109375</v>
      </c>
      <c r="AF37">
        <f xml:space="preserve"> Table1[[#This Row],[t ptrace]]*Table1[[#This Row],[ISM]]</f>
        <v>12.599945068359375</v>
      </c>
      <c r="AG37">
        <f>'Pulse data'!N40</f>
        <v>0</v>
      </c>
      <c r="AH37">
        <f>Table1[[#This Row],[t bias]]+0.5</f>
        <v>0.85000000000000009</v>
      </c>
      <c r="AI37">
        <f>Table1[[#This Row],[t gain]]/2</f>
        <v>0.67500000000000004</v>
      </c>
      <c r="AJ37">
        <f>Table1[[#This Row],[g kinetic trace]]* String2Single(CONCATENATE(Table1[[#This Row],[g gain hex]], "00")) + String2Single(CONCATENATE(Table1[[#This Row],[g bias hex]], "00"))</f>
        <v>0.8499908447265625</v>
      </c>
      <c r="AK37">
        <f xml:space="preserve"> Table1[[#This Row],[g ptrace]]*Table1[[#This Row],[ISM]]</f>
        <v>30.59967041015625</v>
      </c>
      <c r="AL37">
        <f>'Pulse data'!M40</f>
        <v>0</v>
      </c>
      <c r="AM37">
        <f>Table1[[#This Row],[t bias]]+1</f>
        <v>1.35</v>
      </c>
      <c r="AN37">
        <f>Table1[[#This Row],[t gain]]-0.5</f>
        <v>0.85000000000000009</v>
      </c>
      <c r="AO37">
        <f>Table1[[#This Row],[a kinetic trace]]* String2Single(CONCATENATE(Table1[[#This Row],[a gain hex]], "00")) + String2Single(CONCATENATE(Table1[[#This Row],[a bias hex]], "00"))</f>
        <v>1.3499755859375</v>
      </c>
      <c r="AP37">
        <f xml:space="preserve"> Table1[[#This Row],[a ptrace]]*Table1[[#This Row],[ISM]]</f>
        <v>48.59912109375</v>
      </c>
      <c r="AQ37">
        <f>'Pulse data'!L40</f>
        <v>0</v>
      </c>
      <c r="AR37">
        <f>Table1[[#This Row],[t bias]]</f>
        <v>0.35000000000000003</v>
      </c>
      <c r="AS37">
        <f>Table1[[#This Row],[t gain]]</f>
        <v>1.35</v>
      </c>
      <c r="AT37">
        <f>Table1[[#This Row],[c kinetic trace]]* String2Single(CONCATENATE(Table1[[#This Row],[c gain hex]], "00")) + String2Single(CONCATENATE(Table1[[#This Row],[c bias hex]], "00"))</f>
        <v>0.34999847412109375</v>
      </c>
      <c r="AU37">
        <f xml:space="preserve"> Table1[[#This Row],[c ptrace]]*Table1[[#This Row],[ISM]]</f>
        <v>12.599945068359375</v>
      </c>
      <c r="AV37">
        <f xml:space="preserve"> Table1[[#This Row],[t ctrace]] + Table1[[#This Row],[g ctrace]] + Table1[[#This Row],[a ctrace]] + Table1[[#This Row],[c ctrace]]</f>
        <v>104.398681640625</v>
      </c>
      <c r="AW37" s="2" t="str">
        <f>DEC2HEX(Table1[[#This Row],[row]], 3)</f>
        <v>004</v>
      </c>
      <c r="AX37" s="1" t="str">
        <f>DEC2HEX(Table1[[#This Row],[col]], 3)</f>
        <v>00B</v>
      </c>
      <c r="AY37" s="1" t="str">
        <f>DEC2HEX(Table1[[#This Row],[grn fsp idx]], 2)</f>
        <v>47</v>
      </c>
      <c r="AZ37" s="1" t="str">
        <f>DEC2HEX(Table1[[#This Row],[red fsp idx]], 2)</f>
        <v>B8</v>
      </c>
      <c r="BA37" s="1" t="str">
        <f>DEC2HEX(Table1[[#This Row],[ISMI]], 2)</f>
        <v>23</v>
      </c>
      <c r="BB37" s="1">
        <f>LEN(Table1[[#This Row],[DRAM data]])</f>
        <v>64</v>
      </c>
      <c r="BC3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00400B47B8233EB3333FACCC3F59993F2CCC3FACCC3F59993EB3333FACCC0002</v>
      </c>
      <c r="BV37"/>
    </row>
    <row r="38" spans="1:74" x14ac:dyDescent="0.25">
      <c r="A38" s="1" t="str">
        <f xml:space="preserve"> LEFT(Sng2String(Table1[[#This Row],[c bias]]), 6)</f>
        <v>3EB851</v>
      </c>
      <c r="B38" s="1" t="str">
        <f xml:space="preserve"> LEFT(Sng2String(Table1[[#This Row],[a bias]]), 6)</f>
        <v>3FAE14</v>
      </c>
      <c r="C38" s="1" t="str">
        <f xml:space="preserve"> LEFT(Sng2String(Table1[[#This Row],[g bias]]), 6)</f>
        <v>3F5C28</v>
      </c>
      <c r="D38" s="1" t="str">
        <f xml:space="preserve"> LEFT(Sng2String(Table1[[#This Row],[t bias]]), 6)</f>
        <v>3EB851</v>
      </c>
      <c r="E38" s="1" t="str">
        <f xml:space="preserve"> LEFT(Sng2String(Table1[[#This Row],[c gain]]), 6)</f>
        <v>3FAE14</v>
      </c>
      <c r="F38" s="1" t="str">
        <f xml:space="preserve"> LEFT(Sng2String(Table1[[#This Row],[a gain]]), 6)</f>
        <v>3F5C28</v>
      </c>
      <c r="G38" s="1" t="str">
        <f xml:space="preserve"> LEFT(Sng2String(Table1[[#This Row],[g gain]]), 6)</f>
        <v>3F2E14</v>
      </c>
      <c r="H38" s="1" t="str">
        <f xml:space="preserve"> LEFT(Sng2String(Table1[[#This Row],[t gain]]), 6)</f>
        <v>3FAE14</v>
      </c>
      <c r="I38" t="str">
        <f xml:space="preserve"> Sng2String(Table1[[#This Row],[c ptrace]])</f>
        <v>3EB85100</v>
      </c>
      <c r="J38" t="str">
        <f xml:space="preserve"> Sng2String(Table1[[#This Row],[a ptrace]])</f>
        <v>3FAE1400</v>
      </c>
      <c r="K38" t="str">
        <f xml:space="preserve"> Sng2String(Table1[[#This Row],[g ptrace]])</f>
        <v>3F5C2800</v>
      </c>
      <c r="L38" t="str">
        <f>Sng2String(Table1[[#This Row],[t ptrace]])</f>
        <v>3EB85100</v>
      </c>
      <c r="M38" t="str">
        <f xml:space="preserve"> INDEX(SmallFP!$A$1:$A$256, Table1[[#This Row],[ISMI]]+1)</f>
        <v>421400</v>
      </c>
      <c r="N38" t="str">
        <f>Single2String(Table1[[#This Row],[c ctrace]])</f>
        <v>41551DA8</v>
      </c>
      <c r="O38" t="str">
        <f>Single2String(Table1[[#This Row],[a ctrace]])</f>
        <v>42494720</v>
      </c>
      <c r="P38" t="str">
        <f xml:space="preserve"> Single2String(Table1[[#This Row],[g ctrace]])</f>
        <v>41FE8E40</v>
      </c>
      <c r="Q38" t="str">
        <f xml:space="preserve"> Single2String(Table1[[#This Row],[t ctrace]])</f>
        <v>41551DA8</v>
      </c>
      <c r="R38" t="str">
        <f>Single2String(Table1[[#This Row],[grn and red ctrace]])</f>
        <v>42D98E8A</v>
      </c>
      <c r="S38">
        <v>36</v>
      </c>
      <c r="T38" t="str">
        <f>DEC2HEX(Table1[[#This Row],[ZMW num]])</f>
        <v>24</v>
      </c>
      <c r="U38">
        <f>Table1[[#This Row],[ZMW num]]+1</f>
        <v>37</v>
      </c>
      <c r="V38">
        <v>4</v>
      </c>
      <c r="W38">
        <f t="shared" si="0"/>
        <v>15</v>
      </c>
      <c r="X38">
        <v>73</v>
      </c>
      <c r="Y38">
        <v>182</v>
      </c>
      <c r="Z38">
        <f>MOD(Table1[[#This Row],[ZMW num]], 2^8)</f>
        <v>36</v>
      </c>
      <c r="AA38">
        <f xml:space="preserve"> String2Single(Table1[[#This Row],[t ISIM hex]] &amp; "00")</f>
        <v>37</v>
      </c>
      <c r="AB38">
        <f>'Pulse data'!O41</f>
        <v>0</v>
      </c>
      <c r="AC38">
        <f>Table1[[#This Row],[ZMW num]]*0.01</f>
        <v>0.36</v>
      </c>
      <c r="AD38">
        <f>1+Table1[[#This Row],[t bias]]</f>
        <v>1.3599999999999999</v>
      </c>
      <c r="AE38">
        <f>Table1[[#This Row],[t kinetic trace]]* String2Single(CONCATENATE(Table1[[#This Row],[t gain hex]], "00")) + String2Single(CONCATENATE(Table1[[#This Row],[t bias hex]], "00"))</f>
        <v>0.35999298095703125</v>
      </c>
      <c r="AF38">
        <f xml:space="preserve"> Table1[[#This Row],[t ptrace]]*Table1[[#This Row],[ISM]]</f>
        <v>13.319740295410156</v>
      </c>
      <c r="AG38">
        <f>'Pulse data'!N41</f>
        <v>0</v>
      </c>
      <c r="AH38">
        <f>Table1[[#This Row],[t bias]]+0.5</f>
        <v>0.86</v>
      </c>
      <c r="AI38">
        <f>Table1[[#This Row],[t gain]]/2</f>
        <v>0.67999999999999994</v>
      </c>
      <c r="AJ38">
        <f>Table1[[#This Row],[g kinetic trace]]* String2Single(CONCATENATE(Table1[[#This Row],[g gain hex]], "00")) + String2Single(CONCATENATE(Table1[[#This Row],[g bias hex]], "00"))</f>
        <v>0.8599853515625</v>
      </c>
      <c r="AK38">
        <f xml:space="preserve"> Table1[[#This Row],[g ptrace]]*Table1[[#This Row],[ISM]]</f>
        <v>31.8194580078125</v>
      </c>
      <c r="AL38">
        <f>'Pulse data'!M41</f>
        <v>0</v>
      </c>
      <c r="AM38">
        <f>Table1[[#This Row],[t bias]]+1</f>
        <v>1.3599999999999999</v>
      </c>
      <c r="AN38">
        <f>Table1[[#This Row],[t gain]]-0.5</f>
        <v>0.85999999999999988</v>
      </c>
      <c r="AO38">
        <f>Table1[[#This Row],[a kinetic trace]]* String2Single(CONCATENATE(Table1[[#This Row],[a gain hex]], "00")) + String2Single(CONCATENATE(Table1[[#This Row],[a bias hex]], "00"))</f>
        <v>1.3599853515625</v>
      </c>
      <c r="AP38">
        <f xml:space="preserve"> Table1[[#This Row],[a ptrace]]*Table1[[#This Row],[ISM]]</f>
        <v>50.3194580078125</v>
      </c>
      <c r="AQ38">
        <f>'Pulse data'!L41</f>
        <v>0</v>
      </c>
      <c r="AR38">
        <f>Table1[[#This Row],[t bias]]</f>
        <v>0.36</v>
      </c>
      <c r="AS38">
        <f>Table1[[#This Row],[t gain]]</f>
        <v>1.3599999999999999</v>
      </c>
      <c r="AT38">
        <f>Table1[[#This Row],[c kinetic trace]]* String2Single(CONCATENATE(Table1[[#This Row],[c gain hex]], "00")) + String2Single(CONCATENATE(Table1[[#This Row],[c bias hex]], "00"))</f>
        <v>0.35999298095703125</v>
      </c>
      <c r="AU38">
        <f xml:space="preserve"> Table1[[#This Row],[c ptrace]]*Table1[[#This Row],[ISM]]</f>
        <v>13.319740295410156</v>
      </c>
      <c r="AV38">
        <f xml:space="preserve"> Table1[[#This Row],[t ctrace]] + Table1[[#This Row],[g ctrace]] + Table1[[#This Row],[a ctrace]] + Table1[[#This Row],[c ctrace]]</f>
        <v>108.77839660644531</v>
      </c>
      <c r="AW38" s="2" t="str">
        <f>DEC2HEX(Table1[[#This Row],[row]], 3)</f>
        <v>004</v>
      </c>
      <c r="AX38" s="1" t="str">
        <f>DEC2HEX(Table1[[#This Row],[col]], 3)</f>
        <v>00F</v>
      </c>
      <c r="AY38" s="1" t="str">
        <f>DEC2HEX(Table1[[#This Row],[grn fsp idx]], 2)</f>
        <v>49</v>
      </c>
      <c r="AZ38" s="1" t="str">
        <f>DEC2HEX(Table1[[#This Row],[red fsp idx]], 2)</f>
        <v>B6</v>
      </c>
      <c r="BA38" s="1" t="str">
        <f>DEC2HEX(Table1[[#This Row],[ISMI]], 2)</f>
        <v>24</v>
      </c>
      <c r="BB38" s="1">
        <f>LEN(Table1[[#This Row],[DRAM data]])</f>
        <v>64</v>
      </c>
      <c r="BC3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00400F49B6243EB8513FAE143F5C283F2E143FAE143F5C283EB8513FAE140002</v>
      </c>
      <c r="BV38"/>
    </row>
    <row r="39" spans="1:74" x14ac:dyDescent="0.25">
      <c r="A39" s="1" t="str">
        <f xml:space="preserve"> LEFT(Sng2String(Table1[[#This Row],[c bias]]), 6)</f>
        <v>3EBD70</v>
      </c>
      <c r="B39" s="1" t="str">
        <f xml:space="preserve"> LEFT(Sng2String(Table1[[#This Row],[a bias]]), 6)</f>
        <v>3FAF5C</v>
      </c>
      <c r="C39" s="1" t="str">
        <f xml:space="preserve"> LEFT(Sng2String(Table1[[#This Row],[g bias]]), 6)</f>
        <v>3F5EB8</v>
      </c>
      <c r="D39" s="1" t="str">
        <f xml:space="preserve"> LEFT(Sng2String(Table1[[#This Row],[t bias]]), 6)</f>
        <v>3EBD70</v>
      </c>
      <c r="E39" s="1" t="str">
        <f xml:space="preserve"> LEFT(Sng2String(Table1[[#This Row],[c gain]]), 6)</f>
        <v>3FAF5C</v>
      </c>
      <c r="F39" s="1" t="str">
        <f xml:space="preserve"> LEFT(Sng2String(Table1[[#This Row],[a gain]]), 6)</f>
        <v>3F5EB8</v>
      </c>
      <c r="G39" s="1" t="str">
        <f xml:space="preserve"> LEFT(Sng2String(Table1[[#This Row],[g gain]]), 6)</f>
        <v>3F2F5C</v>
      </c>
      <c r="H39" s="1" t="str">
        <f xml:space="preserve"> LEFT(Sng2String(Table1[[#This Row],[t gain]]), 6)</f>
        <v>3FAF5C</v>
      </c>
      <c r="I39" t="str">
        <f xml:space="preserve"> Sng2String(Table1[[#This Row],[c ptrace]])</f>
        <v>3EBD7000</v>
      </c>
      <c r="J39" t="str">
        <f xml:space="preserve"> Sng2String(Table1[[#This Row],[a ptrace]])</f>
        <v>3FAF5C00</v>
      </c>
      <c r="K39" t="str">
        <f xml:space="preserve"> Sng2String(Table1[[#This Row],[g ptrace]])</f>
        <v>3F5EB800</v>
      </c>
      <c r="L39" t="str">
        <f>Sng2String(Table1[[#This Row],[t ptrace]])</f>
        <v>3EBD7000</v>
      </c>
      <c r="M39" t="str">
        <f xml:space="preserve"> INDEX(SmallFP!$A$1:$A$256, Table1[[#This Row],[ISMI]]+1)</f>
        <v>421800</v>
      </c>
      <c r="N39" t="str">
        <f>Single2String(Table1[[#This Row],[c ctrace]])</f>
        <v>4160F500</v>
      </c>
      <c r="O39" t="str">
        <f>Single2String(Table1[[#This Row],[a ctrace]])</f>
        <v>42503D40</v>
      </c>
      <c r="P39" t="str">
        <f xml:space="preserve"> Single2String(Table1[[#This Row],[g ctrace]])</f>
        <v>42043D40</v>
      </c>
      <c r="Q39" t="str">
        <f xml:space="preserve"> Single2String(Table1[[#This Row],[t ctrace]])</f>
        <v>4160F500</v>
      </c>
      <c r="R39" t="str">
        <f>Single2String(Table1[[#This Row],[grn and red ctrace]])</f>
        <v>42E27A80</v>
      </c>
      <c r="S39">
        <v>37</v>
      </c>
      <c r="T39" t="str">
        <f>DEC2HEX(Table1[[#This Row],[ZMW num]])</f>
        <v>25</v>
      </c>
      <c r="U39">
        <f>Table1[[#This Row],[ZMW num]]+1</f>
        <v>38</v>
      </c>
      <c r="V39">
        <v>4</v>
      </c>
      <c r="W39">
        <f t="shared" si="0"/>
        <v>16</v>
      </c>
      <c r="X39">
        <v>75</v>
      </c>
      <c r="Y39">
        <v>180</v>
      </c>
      <c r="Z39">
        <f>MOD(Table1[[#This Row],[ZMW num]], 2^8)</f>
        <v>37</v>
      </c>
      <c r="AA39">
        <f xml:space="preserve"> String2Single(Table1[[#This Row],[t ISIM hex]] &amp; "00")</f>
        <v>38</v>
      </c>
      <c r="AB39">
        <f>'Pulse data'!O42</f>
        <v>0</v>
      </c>
      <c r="AC39">
        <f>Table1[[#This Row],[ZMW num]]*0.01</f>
        <v>0.37</v>
      </c>
      <c r="AD39">
        <f>1+Table1[[#This Row],[t bias]]</f>
        <v>1.37</v>
      </c>
      <c r="AE39">
        <f>Table1[[#This Row],[t kinetic trace]]* String2Single(CONCATENATE(Table1[[#This Row],[t gain hex]], "00")) + String2Single(CONCATENATE(Table1[[#This Row],[t bias hex]], "00"))</f>
        <v>0.3699951171875</v>
      </c>
      <c r="AF39">
        <f xml:space="preserve"> Table1[[#This Row],[t ptrace]]*Table1[[#This Row],[ISM]]</f>
        <v>14.059814453125</v>
      </c>
      <c r="AG39">
        <f>'Pulse data'!N42</f>
        <v>0</v>
      </c>
      <c r="AH39">
        <f>Table1[[#This Row],[t bias]]+0.5</f>
        <v>0.87</v>
      </c>
      <c r="AI39">
        <f>Table1[[#This Row],[t gain]]/2</f>
        <v>0.68500000000000005</v>
      </c>
      <c r="AJ39">
        <f>Table1[[#This Row],[g kinetic trace]]* String2Single(CONCATENATE(Table1[[#This Row],[g gain hex]], "00")) + String2Single(CONCATENATE(Table1[[#This Row],[g bias hex]], "00"))</f>
        <v>0.8699951171875</v>
      </c>
      <c r="AK39">
        <f xml:space="preserve"> Table1[[#This Row],[g ptrace]]*Table1[[#This Row],[ISM]]</f>
        <v>33.059814453125</v>
      </c>
      <c r="AL39">
        <f>'Pulse data'!M42</f>
        <v>0</v>
      </c>
      <c r="AM39">
        <f>Table1[[#This Row],[t bias]]+1</f>
        <v>1.37</v>
      </c>
      <c r="AN39">
        <f>Table1[[#This Row],[t gain]]-0.5</f>
        <v>0.87000000000000011</v>
      </c>
      <c r="AO39">
        <f>Table1[[#This Row],[a kinetic trace]]* String2Single(CONCATENATE(Table1[[#This Row],[a gain hex]], "00")) + String2Single(CONCATENATE(Table1[[#This Row],[a bias hex]], "00"))</f>
        <v>1.3699951171875</v>
      </c>
      <c r="AP39">
        <f xml:space="preserve"> Table1[[#This Row],[a ptrace]]*Table1[[#This Row],[ISM]]</f>
        <v>52.059814453125</v>
      </c>
      <c r="AQ39">
        <f>'Pulse data'!L42</f>
        <v>0</v>
      </c>
      <c r="AR39">
        <f>Table1[[#This Row],[t bias]]</f>
        <v>0.37</v>
      </c>
      <c r="AS39">
        <f>Table1[[#This Row],[t gain]]</f>
        <v>1.37</v>
      </c>
      <c r="AT39">
        <f>Table1[[#This Row],[c kinetic trace]]* String2Single(CONCATENATE(Table1[[#This Row],[c gain hex]], "00")) + String2Single(CONCATENATE(Table1[[#This Row],[c bias hex]], "00"))</f>
        <v>0.3699951171875</v>
      </c>
      <c r="AU39">
        <f xml:space="preserve"> Table1[[#This Row],[c ptrace]]*Table1[[#This Row],[ISM]]</f>
        <v>14.059814453125</v>
      </c>
      <c r="AV39">
        <f xml:space="preserve"> Table1[[#This Row],[t ctrace]] + Table1[[#This Row],[g ctrace]] + Table1[[#This Row],[a ctrace]] + Table1[[#This Row],[c ctrace]]</f>
        <v>113.2392578125</v>
      </c>
      <c r="AW39" s="2" t="str">
        <f>DEC2HEX(Table1[[#This Row],[row]], 3)</f>
        <v>004</v>
      </c>
      <c r="AX39" s="1" t="str">
        <f>DEC2HEX(Table1[[#This Row],[col]], 3)</f>
        <v>010</v>
      </c>
      <c r="AY39" s="1" t="str">
        <f>DEC2HEX(Table1[[#This Row],[grn fsp idx]], 2)</f>
        <v>4B</v>
      </c>
      <c r="AZ39" s="1" t="str">
        <f>DEC2HEX(Table1[[#This Row],[red fsp idx]], 2)</f>
        <v>B4</v>
      </c>
      <c r="BA39" s="1" t="str">
        <f>DEC2HEX(Table1[[#This Row],[ISMI]], 2)</f>
        <v>25</v>
      </c>
      <c r="BB39" s="1">
        <f>LEN(Table1[[#This Row],[DRAM data]])</f>
        <v>64</v>
      </c>
      <c r="BC3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0040104BB4253EBD703FAF5C3F5EB83F2F5C3FAF5C3F5EB83EBD703FAF5C0002</v>
      </c>
      <c r="BV39"/>
    </row>
    <row r="40" spans="1:74" x14ac:dyDescent="0.25">
      <c r="A40" s="1" t="str">
        <f xml:space="preserve"> LEFT(Sng2String(Table1[[#This Row],[c bias]]), 6)</f>
        <v>3EC28F</v>
      </c>
      <c r="B40" s="1" t="str">
        <f xml:space="preserve"> LEFT(Sng2String(Table1[[#This Row],[a bias]]), 6)</f>
        <v>3FB0A3</v>
      </c>
      <c r="C40" s="1" t="str">
        <f xml:space="preserve"> LEFT(Sng2String(Table1[[#This Row],[g bias]]), 6)</f>
        <v>3F6147</v>
      </c>
      <c r="D40" s="1" t="str">
        <f xml:space="preserve"> LEFT(Sng2String(Table1[[#This Row],[t bias]]), 6)</f>
        <v>3EC28F</v>
      </c>
      <c r="E40" s="1" t="str">
        <f xml:space="preserve"> LEFT(Sng2String(Table1[[#This Row],[c gain]]), 6)</f>
        <v>3FB0A3</v>
      </c>
      <c r="F40" s="1" t="str">
        <f xml:space="preserve"> LEFT(Sng2String(Table1[[#This Row],[a gain]]), 6)</f>
        <v>3F6147</v>
      </c>
      <c r="G40" s="1" t="str">
        <f xml:space="preserve"> LEFT(Sng2String(Table1[[#This Row],[g gain]]), 6)</f>
        <v>3F30A3</v>
      </c>
      <c r="H40" s="1" t="str">
        <f xml:space="preserve"> LEFT(Sng2String(Table1[[#This Row],[t gain]]), 6)</f>
        <v>3FB0A3</v>
      </c>
      <c r="I40" t="str">
        <f xml:space="preserve"> Sng2String(Table1[[#This Row],[c ptrace]])</f>
        <v>3EC28F00</v>
      </c>
      <c r="J40" t="str">
        <f xml:space="preserve"> Sng2String(Table1[[#This Row],[a ptrace]])</f>
        <v>3FB0A300</v>
      </c>
      <c r="K40" t="str">
        <f xml:space="preserve"> Sng2String(Table1[[#This Row],[g ptrace]])</f>
        <v>3F614700</v>
      </c>
      <c r="L40" t="str">
        <f>Sng2String(Table1[[#This Row],[t ptrace]])</f>
        <v>3EC28F00</v>
      </c>
      <c r="M40" t="str">
        <f xml:space="preserve"> INDEX(SmallFP!$A$1:$A$256, Table1[[#This Row],[ISMI]]+1)</f>
        <v>421C00</v>
      </c>
      <c r="N40" t="str">
        <f>Single2String(Table1[[#This Row],[c ctrace]])</f>
        <v>416D1E48</v>
      </c>
      <c r="O40" t="str">
        <f>Single2String(Table1[[#This Row],[a ctrace]])</f>
        <v>425746A8</v>
      </c>
      <c r="P40" t="str">
        <f xml:space="preserve"> Single2String(Table1[[#This Row],[g ctrace]])</f>
        <v>42094744</v>
      </c>
      <c r="Q40" t="str">
        <f xml:space="preserve"> Single2String(Table1[[#This Row],[t ctrace]])</f>
        <v>416D1E48</v>
      </c>
      <c r="R40" t="str">
        <f>Single2String(Table1[[#This Row],[grn and red ctrace]])</f>
        <v>42EB8E88</v>
      </c>
      <c r="S40">
        <v>38</v>
      </c>
      <c r="T40" t="str">
        <f>DEC2HEX(Table1[[#This Row],[ZMW num]])</f>
        <v>26</v>
      </c>
      <c r="U40">
        <f>Table1[[#This Row],[ZMW num]]+1</f>
        <v>39</v>
      </c>
      <c r="V40">
        <v>4</v>
      </c>
      <c r="W40">
        <f t="shared" si="0"/>
        <v>19</v>
      </c>
      <c r="X40">
        <v>77</v>
      </c>
      <c r="Y40">
        <v>178</v>
      </c>
      <c r="Z40">
        <f>MOD(Table1[[#This Row],[ZMW num]], 2^8)</f>
        <v>38</v>
      </c>
      <c r="AA40">
        <f xml:space="preserve"> String2Single(Table1[[#This Row],[t ISIM hex]] &amp; "00")</f>
        <v>39</v>
      </c>
      <c r="AB40">
        <f>'Pulse data'!O43</f>
        <v>0</v>
      </c>
      <c r="AC40">
        <f>Table1[[#This Row],[ZMW num]]*0.01</f>
        <v>0.38</v>
      </c>
      <c r="AD40">
        <f>1+Table1[[#This Row],[t bias]]</f>
        <v>1.38</v>
      </c>
      <c r="AE40">
        <f>Table1[[#This Row],[t kinetic trace]]* String2Single(CONCATENATE(Table1[[#This Row],[t gain hex]], "00")) + String2Single(CONCATENATE(Table1[[#This Row],[t bias hex]], "00"))</f>
        <v>0.37999725341796875</v>
      </c>
      <c r="AF40">
        <f xml:space="preserve"> Table1[[#This Row],[t ptrace]]*Table1[[#This Row],[ISM]]</f>
        <v>14.819892883300781</v>
      </c>
      <c r="AG40">
        <f>'Pulse data'!N43</f>
        <v>0</v>
      </c>
      <c r="AH40">
        <f>Table1[[#This Row],[t bias]]+0.5</f>
        <v>0.88</v>
      </c>
      <c r="AI40">
        <f>Table1[[#This Row],[t gain]]/2</f>
        <v>0.69</v>
      </c>
      <c r="AJ40">
        <f>Table1[[#This Row],[g kinetic trace]]* String2Single(CONCATENATE(Table1[[#This Row],[g gain hex]], "00")) + String2Single(CONCATENATE(Table1[[#This Row],[g bias hex]], "00"))</f>
        <v>0.8799896240234375</v>
      </c>
      <c r="AK40">
        <f xml:space="preserve"> Table1[[#This Row],[g ptrace]]*Table1[[#This Row],[ISM]]</f>
        <v>34.319595336914062</v>
      </c>
      <c r="AL40">
        <f>'Pulse data'!M43</f>
        <v>0</v>
      </c>
      <c r="AM40">
        <f>Table1[[#This Row],[t bias]]+1</f>
        <v>1.38</v>
      </c>
      <c r="AN40">
        <f>Table1[[#This Row],[t gain]]-0.5</f>
        <v>0.87999999999999989</v>
      </c>
      <c r="AO40">
        <f>Table1[[#This Row],[a kinetic trace]]* String2Single(CONCATENATE(Table1[[#This Row],[a gain hex]], "00")) + String2Single(CONCATENATE(Table1[[#This Row],[a bias hex]], "00"))</f>
        <v>1.379974365234375</v>
      </c>
      <c r="AP40">
        <f xml:space="preserve"> Table1[[#This Row],[a ptrace]]*Table1[[#This Row],[ISM]]</f>
        <v>53.819000244140625</v>
      </c>
      <c r="AQ40">
        <f>'Pulse data'!L43</f>
        <v>0</v>
      </c>
      <c r="AR40">
        <f>Table1[[#This Row],[t bias]]</f>
        <v>0.38</v>
      </c>
      <c r="AS40">
        <f>Table1[[#This Row],[t gain]]</f>
        <v>1.38</v>
      </c>
      <c r="AT40">
        <f>Table1[[#This Row],[c kinetic trace]]* String2Single(CONCATENATE(Table1[[#This Row],[c gain hex]], "00")) + String2Single(CONCATENATE(Table1[[#This Row],[c bias hex]], "00"))</f>
        <v>0.37999725341796875</v>
      </c>
      <c r="AU40">
        <f xml:space="preserve"> Table1[[#This Row],[c ptrace]]*Table1[[#This Row],[ISM]]</f>
        <v>14.819892883300781</v>
      </c>
      <c r="AV40">
        <f xml:space="preserve"> Table1[[#This Row],[t ctrace]] + Table1[[#This Row],[g ctrace]] + Table1[[#This Row],[a ctrace]] + Table1[[#This Row],[c ctrace]]</f>
        <v>117.77838134765625</v>
      </c>
      <c r="AW40" s="2" t="str">
        <f>DEC2HEX(Table1[[#This Row],[row]], 3)</f>
        <v>004</v>
      </c>
      <c r="AX40" s="1" t="str">
        <f>DEC2HEX(Table1[[#This Row],[col]], 3)</f>
        <v>013</v>
      </c>
      <c r="AY40" s="1" t="str">
        <f>DEC2HEX(Table1[[#This Row],[grn fsp idx]], 2)</f>
        <v>4D</v>
      </c>
      <c r="AZ40" s="1" t="str">
        <f>DEC2HEX(Table1[[#This Row],[red fsp idx]], 2)</f>
        <v>B2</v>
      </c>
      <c r="BA40" s="1" t="str">
        <f>DEC2HEX(Table1[[#This Row],[ISMI]], 2)</f>
        <v>26</v>
      </c>
      <c r="BB40" s="1">
        <f>LEN(Table1[[#This Row],[DRAM data]])</f>
        <v>64</v>
      </c>
      <c r="BC4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0040134DB2263EC28F3FB0A33F61473F30A33FB0A33F61473EC28F3FB0A30002</v>
      </c>
      <c r="BV40"/>
    </row>
    <row r="41" spans="1:74" x14ac:dyDescent="0.25">
      <c r="A41" s="1" t="str">
        <f xml:space="preserve"> LEFT(Sng2String(Table1[[#This Row],[c bias]]), 6)</f>
        <v>3EC7AE</v>
      </c>
      <c r="B41" s="1" t="str">
        <f xml:space="preserve"> LEFT(Sng2String(Table1[[#This Row],[a bias]]), 6)</f>
        <v>3FB1EB</v>
      </c>
      <c r="C41" s="1" t="str">
        <f xml:space="preserve"> LEFT(Sng2String(Table1[[#This Row],[g bias]]), 6)</f>
        <v>3F63D7</v>
      </c>
      <c r="D41" s="1" t="str">
        <f xml:space="preserve"> LEFT(Sng2String(Table1[[#This Row],[t bias]]), 6)</f>
        <v>3EC7AE</v>
      </c>
      <c r="E41" s="1" t="str">
        <f xml:space="preserve"> LEFT(Sng2String(Table1[[#This Row],[c gain]]), 6)</f>
        <v>3FB1EB</v>
      </c>
      <c r="F41" s="1" t="str">
        <f xml:space="preserve"> LEFT(Sng2String(Table1[[#This Row],[a gain]]), 6)</f>
        <v>3F63D7</v>
      </c>
      <c r="G41" s="1" t="str">
        <f xml:space="preserve"> LEFT(Sng2String(Table1[[#This Row],[g gain]]), 6)</f>
        <v>3F31EB</v>
      </c>
      <c r="H41" s="1" t="str">
        <f xml:space="preserve"> LEFT(Sng2String(Table1[[#This Row],[t gain]]), 6)</f>
        <v>3FB1EB</v>
      </c>
      <c r="I41" t="str">
        <f xml:space="preserve"> Sng2String(Table1[[#This Row],[c ptrace]])</f>
        <v>3EC7AE00</v>
      </c>
      <c r="J41" t="str">
        <f xml:space="preserve"> Sng2String(Table1[[#This Row],[a ptrace]])</f>
        <v>3FB1EB00</v>
      </c>
      <c r="K41" t="str">
        <f xml:space="preserve"> Sng2String(Table1[[#This Row],[g ptrace]])</f>
        <v>3F63D700</v>
      </c>
      <c r="L41" t="str">
        <f>Sng2String(Table1[[#This Row],[t ptrace]])</f>
        <v>3EC7AE00</v>
      </c>
      <c r="M41" t="str">
        <f xml:space="preserve"> INDEX(SmallFP!$A$1:$A$256, Table1[[#This Row],[ISMI]]+1)</f>
        <v>422000</v>
      </c>
      <c r="N41" t="str">
        <f>Single2String(Table1[[#This Row],[c ctrace]])</f>
        <v>41799980</v>
      </c>
      <c r="O41" t="str">
        <f>Single2String(Table1[[#This Row],[a ctrace]])</f>
        <v>425E65C0</v>
      </c>
      <c r="P41" t="str">
        <f xml:space="preserve"> Single2String(Table1[[#This Row],[g ctrace]])</f>
        <v>420E6660</v>
      </c>
      <c r="Q41" t="str">
        <f xml:space="preserve"> Single2String(Table1[[#This Row],[t ctrace]])</f>
        <v>41799980</v>
      </c>
      <c r="R41" t="str">
        <f>Single2String(Table1[[#This Row],[grn and red ctrace]])</f>
        <v>42F4CC70</v>
      </c>
      <c r="S41">
        <v>39</v>
      </c>
      <c r="T41" t="str">
        <f>DEC2HEX(Table1[[#This Row],[ZMW num]])</f>
        <v>27</v>
      </c>
      <c r="U41">
        <f>Table1[[#This Row],[ZMW num]]+1</f>
        <v>40</v>
      </c>
      <c r="V41">
        <v>4</v>
      </c>
      <c r="W41">
        <f t="shared" si="0"/>
        <v>22</v>
      </c>
      <c r="X41">
        <v>79</v>
      </c>
      <c r="Y41">
        <v>176</v>
      </c>
      <c r="Z41">
        <f>MOD(Table1[[#This Row],[ZMW num]], 2^8)</f>
        <v>39</v>
      </c>
      <c r="AA41">
        <f xml:space="preserve"> String2Single(Table1[[#This Row],[t ISIM hex]] &amp; "00")</f>
        <v>40</v>
      </c>
      <c r="AB41">
        <f>'Pulse data'!O44</f>
        <v>0</v>
      </c>
      <c r="AC41">
        <f>Table1[[#This Row],[ZMW num]]*0.01</f>
        <v>0.39</v>
      </c>
      <c r="AD41">
        <f>1+Table1[[#This Row],[t bias]]</f>
        <v>1.3900000000000001</v>
      </c>
      <c r="AE41">
        <f>Table1[[#This Row],[t kinetic trace]]* String2Single(CONCATENATE(Table1[[#This Row],[t gain hex]], "00")) + String2Single(CONCATENATE(Table1[[#This Row],[t bias hex]], "00"))</f>
        <v>0.3899993896484375</v>
      </c>
      <c r="AF41">
        <f xml:space="preserve"> Table1[[#This Row],[t ptrace]]*Table1[[#This Row],[ISM]]</f>
        <v>15.5999755859375</v>
      </c>
      <c r="AG41">
        <f>'Pulse data'!N44</f>
        <v>0</v>
      </c>
      <c r="AH41">
        <f>Table1[[#This Row],[t bias]]+0.5</f>
        <v>0.89</v>
      </c>
      <c r="AI41">
        <f>Table1[[#This Row],[t gain]]/2</f>
        <v>0.69500000000000006</v>
      </c>
      <c r="AJ41">
        <f>Table1[[#This Row],[g kinetic trace]]* String2Single(CONCATENATE(Table1[[#This Row],[g gain hex]], "00")) + String2Single(CONCATENATE(Table1[[#This Row],[g bias hex]], "00"))</f>
        <v>0.8899993896484375</v>
      </c>
      <c r="AK41">
        <f xml:space="preserve"> Table1[[#This Row],[g ptrace]]*Table1[[#This Row],[ISM]]</f>
        <v>35.5999755859375</v>
      </c>
      <c r="AL41">
        <f>'Pulse data'!M44</f>
        <v>0</v>
      </c>
      <c r="AM41">
        <f>Table1[[#This Row],[t bias]]+1</f>
        <v>1.3900000000000001</v>
      </c>
      <c r="AN41">
        <f>Table1[[#This Row],[t gain]]-0.5</f>
        <v>0.89000000000000012</v>
      </c>
      <c r="AO41">
        <f>Table1[[#This Row],[a kinetic trace]]* String2Single(CONCATENATE(Table1[[#This Row],[a gain hex]], "00")) + String2Single(CONCATENATE(Table1[[#This Row],[a bias hex]], "00"))</f>
        <v>1.389984130859375</v>
      </c>
      <c r="AP41">
        <f xml:space="preserve"> Table1[[#This Row],[a ptrace]]*Table1[[#This Row],[ISM]]</f>
        <v>55.599365234375</v>
      </c>
      <c r="AQ41">
        <f>'Pulse data'!L44</f>
        <v>0</v>
      </c>
      <c r="AR41">
        <f>Table1[[#This Row],[t bias]]</f>
        <v>0.39</v>
      </c>
      <c r="AS41">
        <f>Table1[[#This Row],[t gain]]</f>
        <v>1.3900000000000001</v>
      </c>
      <c r="AT41">
        <f>Table1[[#This Row],[c kinetic trace]]* String2Single(CONCATENATE(Table1[[#This Row],[c gain hex]], "00")) + String2Single(CONCATENATE(Table1[[#This Row],[c bias hex]], "00"))</f>
        <v>0.3899993896484375</v>
      </c>
      <c r="AU41">
        <f xml:space="preserve"> Table1[[#This Row],[c ptrace]]*Table1[[#This Row],[ISM]]</f>
        <v>15.5999755859375</v>
      </c>
      <c r="AV41">
        <f xml:space="preserve"> Table1[[#This Row],[t ctrace]] + Table1[[#This Row],[g ctrace]] + Table1[[#This Row],[a ctrace]] + Table1[[#This Row],[c ctrace]]</f>
        <v>122.3992919921875</v>
      </c>
      <c r="AW41" s="2" t="str">
        <f>DEC2HEX(Table1[[#This Row],[row]], 3)</f>
        <v>004</v>
      </c>
      <c r="AX41" s="1" t="str">
        <f>DEC2HEX(Table1[[#This Row],[col]], 3)</f>
        <v>016</v>
      </c>
      <c r="AY41" s="1" t="str">
        <f>DEC2HEX(Table1[[#This Row],[grn fsp idx]], 2)</f>
        <v>4F</v>
      </c>
      <c r="AZ41" s="1" t="str">
        <f>DEC2HEX(Table1[[#This Row],[red fsp idx]], 2)</f>
        <v>B0</v>
      </c>
      <c r="BA41" s="1" t="str">
        <f>DEC2HEX(Table1[[#This Row],[ISMI]], 2)</f>
        <v>27</v>
      </c>
      <c r="BB41" s="1">
        <f>LEN(Table1[[#This Row],[DRAM data]])</f>
        <v>64</v>
      </c>
      <c r="BC4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0040164FB0273EC7AE3FB1EB3F63D73F31EB3FB1EB3F63D73EC7AE3FB1EB0002</v>
      </c>
      <c r="BV41"/>
    </row>
    <row r="42" spans="1:74" x14ac:dyDescent="0.25">
      <c r="A42" s="1" t="str">
        <f xml:space="preserve"> LEFT(Sng2String(Table1[[#This Row],[c bias]]), 6)</f>
        <v>3ECCCC</v>
      </c>
      <c r="B42" s="1" t="str">
        <f xml:space="preserve"> LEFT(Sng2String(Table1[[#This Row],[a bias]]), 6)</f>
        <v>3FB333</v>
      </c>
      <c r="C42" s="1" t="str">
        <f xml:space="preserve"> LEFT(Sng2String(Table1[[#This Row],[g bias]]), 6)</f>
        <v>3F6666</v>
      </c>
      <c r="D42" s="1" t="str">
        <f xml:space="preserve"> LEFT(Sng2String(Table1[[#This Row],[t bias]]), 6)</f>
        <v>3ECCCC</v>
      </c>
      <c r="E42" s="1" t="str">
        <f xml:space="preserve"> LEFT(Sng2String(Table1[[#This Row],[c gain]]), 6)</f>
        <v>3FB333</v>
      </c>
      <c r="F42" s="1" t="str">
        <f xml:space="preserve"> LEFT(Sng2String(Table1[[#This Row],[a gain]]), 6)</f>
        <v>3F6666</v>
      </c>
      <c r="G42" s="1" t="str">
        <f xml:space="preserve"> LEFT(Sng2String(Table1[[#This Row],[g gain]]), 6)</f>
        <v>3F3333</v>
      </c>
      <c r="H42" s="1" t="str">
        <f xml:space="preserve"> LEFT(Sng2String(Table1[[#This Row],[t gain]]), 6)</f>
        <v>3FB333</v>
      </c>
      <c r="I42" t="str">
        <f xml:space="preserve"> Sng2String(Table1[[#This Row],[c ptrace]])</f>
        <v>3ECCCC00</v>
      </c>
      <c r="J42" t="str">
        <f xml:space="preserve"> Sng2String(Table1[[#This Row],[a ptrace]])</f>
        <v>3FB33300</v>
      </c>
      <c r="K42" t="str">
        <f xml:space="preserve"> Sng2String(Table1[[#This Row],[g ptrace]])</f>
        <v>3F666600</v>
      </c>
      <c r="L42" t="str">
        <f>Sng2String(Table1[[#This Row],[t ptrace]])</f>
        <v>3ECCCC00</v>
      </c>
      <c r="M42" t="str">
        <f xml:space="preserve"> INDEX(SmallFP!$A$1:$A$256, Table1[[#This Row],[ISMI]]+1)</f>
        <v>422400</v>
      </c>
      <c r="N42" t="str">
        <f>Single2String(Table1[[#This Row],[c ctrace]])</f>
        <v>418332B0</v>
      </c>
      <c r="O42" t="str">
        <f>Single2String(Table1[[#This Row],[a ctrace]])</f>
        <v>42659958</v>
      </c>
      <c r="P42" t="str">
        <f xml:space="preserve"> Single2String(Table1[[#This Row],[g ctrace]])</f>
        <v>42139958</v>
      </c>
      <c r="Q42" t="str">
        <f xml:space="preserve"> Single2String(Table1[[#This Row],[t ctrace]])</f>
        <v>418332B0</v>
      </c>
      <c r="R42" t="str">
        <f>Single2String(Table1[[#This Row],[grn and red ctrace]])</f>
        <v>42FE32B0</v>
      </c>
      <c r="S42">
        <v>40</v>
      </c>
      <c r="T42" t="str">
        <f>DEC2HEX(Table1[[#This Row],[ZMW num]])</f>
        <v>28</v>
      </c>
      <c r="U42">
        <f>Table1[[#This Row],[ZMW num]]+1</f>
        <v>41</v>
      </c>
      <c r="V42">
        <v>4</v>
      </c>
      <c r="W42">
        <f t="shared" si="0"/>
        <v>25</v>
      </c>
      <c r="X42">
        <v>81</v>
      </c>
      <c r="Y42">
        <v>174</v>
      </c>
      <c r="Z42">
        <f>MOD(Table1[[#This Row],[ZMW num]], 2^8)</f>
        <v>40</v>
      </c>
      <c r="AA42">
        <f xml:space="preserve"> String2Single(Table1[[#This Row],[t ISIM hex]] &amp; "00")</f>
        <v>41</v>
      </c>
      <c r="AB42">
        <f>'Pulse data'!O45</f>
        <v>0</v>
      </c>
      <c r="AC42">
        <f>Table1[[#This Row],[ZMW num]]*0.01</f>
        <v>0.4</v>
      </c>
      <c r="AD42">
        <f>1+Table1[[#This Row],[t bias]]</f>
        <v>1.4</v>
      </c>
      <c r="AE42">
        <f>Table1[[#This Row],[t kinetic trace]]* String2Single(CONCATENATE(Table1[[#This Row],[t gain hex]], "00")) + String2Single(CONCATENATE(Table1[[#This Row],[t bias hex]], "00"))</f>
        <v>0.399993896484375</v>
      </c>
      <c r="AF42">
        <f xml:space="preserve"> Table1[[#This Row],[t ptrace]]*Table1[[#This Row],[ISM]]</f>
        <v>16.399749755859375</v>
      </c>
      <c r="AG42">
        <f>'Pulse data'!N45</f>
        <v>0</v>
      </c>
      <c r="AH42">
        <f>Table1[[#This Row],[t bias]]+0.5</f>
        <v>0.9</v>
      </c>
      <c r="AI42">
        <f>Table1[[#This Row],[t gain]]/2</f>
        <v>0.7</v>
      </c>
      <c r="AJ42">
        <f>Table1[[#This Row],[g kinetic trace]]* String2Single(CONCATENATE(Table1[[#This Row],[g gain hex]], "00")) + String2Single(CONCATENATE(Table1[[#This Row],[g bias hex]], "00"))</f>
        <v>0.899993896484375</v>
      </c>
      <c r="AK42">
        <f xml:space="preserve"> Table1[[#This Row],[g ptrace]]*Table1[[#This Row],[ISM]]</f>
        <v>36.899749755859375</v>
      </c>
      <c r="AL42">
        <f>'Pulse data'!M45</f>
        <v>0</v>
      </c>
      <c r="AM42">
        <f>Table1[[#This Row],[t bias]]+1</f>
        <v>1.4</v>
      </c>
      <c r="AN42">
        <f>Table1[[#This Row],[t gain]]-0.5</f>
        <v>0.89999999999999991</v>
      </c>
      <c r="AO42">
        <f>Table1[[#This Row],[a kinetic trace]]* String2Single(CONCATENATE(Table1[[#This Row],[a gain hex]], "00")) + String2Single(CONCATENATE(Table1[[#This Row],[a bias hex]], "00"))</f>
        <v>1.399993896484375</v>
      </c>
      <c r="AP42">
        <f xml:space="preserve"> Table1[[#This Row],[a ptrace]]*Table1[[#This Row],[ISM]]</f>
        <v>57.399749755859375</v>
      </c>
      <c r="AQ42">
        <f>'Pulse data'!L45</f>
        <v>0</v>
      </c>
      <c r="AR42">
        <f>Table1[[#This Row],[t bias]]</f>
        <v>0.4</v>
      </c>
      <c r="AS42">
        <f>Table1[[#This Row],[t gain]]</f>
        <v>1.4</v>
      </c>
      <c r="AT42">
        <f>Table1[[#This Row],[c kinetic trace]]* String2Single(CONCATENATE(Table1[[#This Row],[c gain hex]], "00")) + String2Single(CONCATENATE(Table1[[#This Row],[c bias hex]], "00"))</f>
        <v>0.399993896484375</v>
      </c>
      <c r="AU42">
        <f xml:space="preserve"> Table1[[#This Row],[c ptrace]]*Table1[[#This Row],[ISM]]</f>
        <v>16.399749755859375</v>
      </c>
      <c r="AV42">
        <f xml:space="preserve"> Table1[[#This Row],[t ctrace]] + Table1[[#This Row],[g ctrace]] + Table1[[#This Row],[a ctrace]] + Table1[[#This Row],[c ctrace]]</f>
        <v>127.0989990234375</v>
      </c>
      <c r="AW42" s="2" t="str">
        <f>DEC2HEX(Table1[[#This Row],[row]], 3)</f>
        <v>004</v>
      </c>
      <c r="AX42" s="1" t="str">
        <f>DEC2HEX(Table1[[#This Row],[col]], 3)</f>
        <v>019</v>
      </c>
      <c r="AY42" s="1" t="str">
        <f>DEC2HEX(Table1[[#This Row],[grn fsp idx]], 2)</f>
        <v>51</v>
      </c>
      <c r="AZ42" s="1" t="str">
        <f>DEC2HEX(Table1[[#This Row],[red fsp idx]], 2)</f>
        <v>AE</v>
      </c>
      <c r="BA42" s="1" t="str">
        <f>DEC2HEX(Table1[[#This Row],[ISMI]], 2)</f>
        <v>28</v>
      </c>
      <c r="BB42" s="1">
        <f>LEN(Table1[[#This Row],[DRAM data]])</f>
        <v>64</v>
      </c>
      <c r="BC4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00401951AE283ECCCC3FB3333F66663F33333FB3333F66663ECCCC3FB3330002</v>
      </c>
      <c r="BV42"/>
    </row>
    <row r="43" spans="1:74" x14ac:dyDescent="0.25">
      <c r="A43" s="1" t="str">
        <f xml:space="preserve"> LEFT(Sng2String(Table1[[#This Row],[c bias]]), 6)</f>
        <v>3ED1EB</v>
      </c>
      <c r="B43" s="1" t="str">
        <f xml:space="preserve"> LEFT(Sng2String(Table1[[#This Row],[a bias]]), 6)</f>
        <v>3FB47A</v>
      </c>
      <c r="C43" s="1" t="str">
        <f xml:space="preserve"> LEFT(Sng2String(Table1[[#This Row],[g bias]]), 6)</f>
        <v>3F68F5</v>
      </c>
      <c r="D43" s="1" t="str">
        <f xml:space="preserve"> LEFT(Sng2String(Table1[[#This Row],[t bias]]), 6)</f>
        <v>3ED1EB</v>
      </c>
      <c r="E43" s="1" t="str">
        <f xml:space="preserve"> LEFT(Sng2String(Table1[[#This Row],[c gain]]), 6)</f>
        <v>3FB47A</v>
      </c>
      <c r="F43" s="1" t="str">
        <f xml:space="preserve"> LEFT(Sng2String(Table1[[#This Row],[a gain]]), 6)</f>
        <v>3F68F5</v>
      </c>
      <c r="G43" s="1" t="str">
        <f xml:space="preserve"> LEFT(Sng2String(Table1[[#This Row],[g gain]]), 6)</f>
        <v>3F347A</v>
      </c>
      <c r="H43" s="1" t="str">
        <f xml:space="preserve"> LEFT(Sng2String(Table1[[#This Row],[t gain]]), 6)</f>
        <v>3FB47A</v>
      </c>
      <c r="I43" t="str">
        <f xml:space="preserve"> Sng2String(Table1[[#This Row],[c ptrace]])</f>
        <v>3ED1EB00</v>
      </c>
      <c r="J43" t="str">
        <f xml:space="preserve"> Sng2String(Table1[[#This Row],[a ptrace]])</f>
        <v>3FB47A00</v>
      </c>
      <c r="K43" t="str">
        <f xml:space="preserve"> Sng2String(Table1[[#This Row],[g ptrace]])</f>
        <v>3F68F500</v>
      </c>
      <c r="L43" t="str">
        <f>Sng2String(Table1[[#This Row],[t ptrace]])</f>
        <v>3ED1EB00</v>
      </c>
      <c r="M43" t="str">
        <f xml:space="preserve"> INDEX(SmallFP!$A$1:$A$256, Table1[[#This Row],[ISMI]]+1)</f>
        <v>422800</v>
      </c>
      <c r="N43" t="str">
        <f>Single2String(Table1[[#This Row],[c ctrace]])</f>
        <v>4189C238</v>
      </c>
      <c r="O43" t="str">
        <f>Single2String(Table1[[#This Row],[a ctrace]])</f>
        <v>426CE020</v>
      </c>
      <c r="P43" t="str">
        <f xml:space="preserve"> Single2String(Table1[[#This Row],[g ctrace]])</f>
        <v>4218E0C8</v>
      </c>
      <c r="Q43" t="str">
        <f xml:space="preserve"> Single2String(Table1[[#This Row],[t ctrace]])</f>
        <v>4189C238</v>
      </c>
      <c r="R43" t="str">
        <f>Single2String(Table1[[#This Row],[grn and red ctrace]])</f>
        <v>4303E0C8</v>
      </c>
      <c r="S43">
        <v>41</v>
      </c>
      <c r="T43" t="str">
        <f>DEC2HEX(Table1[[#This Row],[ZMW num]])</f>
        <v>29</v>
      </c>
      <c r="U43">
        <f>Table1[[#This Row],[ZMW num]]+1</f>
        <v>42</v>
      </c>
      <c r="V43">
        <v>4</v>
      </c>
      <c r="W43">
        <f t="shared" si="0"/>
        <v>29</v>
      </c>
      <c r="X43">
        <v>83</v>
      </c>
      <c r="Y43">
        <v>172</v>
      </c>
      <c r="Z43">
        <f>MOD(Table1[[#This Row],[ZMW num]], 2^8)</f>
        <v>41</v>
      </c>
      <c r="AA43">
        <f xml:space="preserve"> String2Single(Table1[[#This Row],[t ISIM hex]] &amp; "00")</f>
        <v>42</v>
      </c>
      <c r="AB43">
        <f>'Pulse data'!O46</f>
        <v>0</v>
      </c>
      <c r="AC43">
        <f>Table1[[#This Row],[ZMW num]]*0.01</f>
        <v>0.41000000000000003</v>
      </c>
      <c r="AD43">
        <f>1+Table1[[#This Row],[t bias]]</f>
        <v>1.4100000000000001</v>
      </c>
      <c r="AE43">
        <f>Table1[[#This Row],[t kinetic trace]]* String2Single(CONCATENATE(Table1[[#This Row],[t gain hex]], "00")) + String2Single(CONCATENATE(Table1[[#This Row],[t bias hex]], "00"))</f>
        <v>0.40999603271484375</v>
      </c>
      <c r="AF43">
        <f xml:space="preserve"> Table1[[#This Row],[t ptrace]]*Table1[[#This Row],[ISM]]</f>
        <v>17.219833374023437</v>
      </c>
      <c r="AG43">
        <f>'Pulse data'!N46</f>
        <v>0</v>
      </c>
      <c r="AH43">
        <f>Table1[[#This Row],[t bias]]+0.5</f>
        <v>0.91</v>
      </c>
      <c r="AI43">
        <f>Table1[[#This Row],[t gain]]/2</f>
        <v>0.70500000000000007</v>
      </c>
      <c r="AJ43">
        <f>Table1[[#This Row],[g kinetic trace]]* String2Single(CONCATENATE(Table1[[#This Row],[g gain hex]], "00")) + String2Single(CONCATENATE(Table1[[#This Row],[g bias hex]], "00"))</f>
        <v>0.9099884033203125</v>
      </c>
      <c r="AK43">
        <f xml:space="preserve"> Table1[[#This Row],[g ptrace]]*Table1[[#This Row],[ISM]]</f>
        <v>38.219512939453125</v>
      </c>
      <c r="AL43">
        <f>'Pulse data'!M46</f>
        <v>0</v>
      </c>
      <c r="AM43">
        <f>Table1[[#This Row],[t bias]]+1</f>
        <v>1.4100000000000001</v>
      </c>
      <c r="AN43">
        <f>Table1[[#This Row],[t gain]]-0.5</f>
        <v>0.91000000000000014</v>
      </c>
      <c r="AO43">
        <f>Table1[[#This Row],[a kinetic trace]]* String2Single(CONCATENATE(Table1[[#This Row],[a gain hex]], "00")) + String2Single(CONCATENATE(Table1[[#This Row],[a bias hex]], "00"))</f>
        <v>1.40997314453125</v>
      </c>
      <c r="AP43">
        <f xml:space="preserve"> Table1[[#This Row],[a ptrace]]*Table1[[#This Row],[ISM]]</f>
        <v>59.2188720703125</v>
      </c>
      <c r="AQ43">
        <f>'Pulse data'!L46</f>
        <v>0</v>
      </c>
      <c r="AR43">
        <f>Table1[[#This Row],[t bias]]</f>
        <v>0.41000000000000003</v>
      </c>
      <c r="AS43">
        <f>Table1[[#This Row],[t gain]]</f>
        <v>1.4100000000000001</v>
      </c>
      <c r="AT43">
        <f>Table1[[#This Row],[c kinetic trace]]* String2Single(CONCATENATE(Table1[[#This Row],[c gain hex]], "00")) + String2Single(CONCATENATE(Table1[[#This Row],[c bias hex]], "00"))</f>
        <v>0.40999603271484375</v>
      </c>
      <c r="AU43">
        <f xml:space="preserve"> Table1[[#This Row],[c ptrace]]*Table1[[#This Row],[ISM]]</f>
        <v>17.219833374023437</v>
      </c>
      <c r="AV43">
        <f xml:space="preserve"> Table1[[#This Row],[t ctrace]] + Table1[[#This Row],[g ctrace]] + Table1[[#This Row],[a ctrace]] + Table1[[#This Row],[c ctrace]]</f>
        <v>131.8780517578125</v>
      </c>
      <c r="AW43" s="2" t="str">
        <f>DEC2HEX(Table1[[#This Row],[row]], 3)</f>
        <v>004</v>
      </c>
      <c r="AX43" s="1" t="str">
        <f>DEC2HEX(Table1[[#This Row],[col]], 3)</f>
        <v>01D</v>
      </c>
      <c r="AY43" s="1" t="str">
        <f>DEC2HEX(Table1[[#This Row],[grn fsp idx]], 2)</f>
        <v>53</v>
      </c>
      <c r="AZ43" s="1" t="str">
        <f>DEC2HEX(Table1[[#This Row],[red fsp idx]], 2)</f>
        <v>AC</v>
      </c>
      <c r="BA43" s="1" t="str">
        <f>DEC2HEX(Table1[[#This Row],[ISMI]], 2)</f>
        <v>29</v>
      </c>
      <c r="BB43" s="1">
        <f>LEN(Table1[[#This Row],[DRAM data]])</f>
        <v>64</v>
      </c>
      <c r="BC4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00401D53AC293ED1EB3FB47A3F68F53F347A3FB47A3F68F53ED1EB3FB47A0002</v>
      </c>
      <c r="BV43"/>
    </row>
    <row r="44" spans="1:74" x14ac:dyDescent="0.25">
      <c r="A44" s="1" t="str">
        <f xml:space="preserve"> LEFT(Sng2String(Table1[[#This Row],[c bias]]), 6)</f>
        <v>3ED70A</v>
      </c>
      <c r="B44" s="1" t="str">
        <f xml:space="preserve"> LEFT(Sng2String(Table1[[#This Row],[a bias]]), 6)</f>
        <v>3FB5C2</v>
      </c>
      <c r="C44" s="1" t="str">
        <f xml:space="preserve"> LEFT(Sng2String(Table1[[#This Row],[g bias]]), 6)</f>
        <v>3F6B85</v>
      </c>
      <c r="D44" s="1" t="str">
        <f xml:space="preserve"> LEFT(Sng2String(Table1[[#This Row],[t bias]]), 6)</f>
        <v>3ED70A</v>
      </c>
      <c r="E44" s="1" t="str">
        <f xml:space="preserve"> LEFT(Sng2String(Table1[[#This Row],[c gain]]), 6)</f>
        <v>3FB5C2</v>
      </c>
      <c r="F44" s="1" t="str">
        <f xml:space="preserve"> LEFT(Sng2String(Table1[[#This Row],[a gain]]), 6)</f>
        <v>3F6B85</v>
      </c>
      <c r="G44" s="1" t="str">
        <f xml:space="preserve"> LEFT(Sng2String(Table1[[#This Row],[g gain]]), 6)</f>
        <v>3F35C2</v>
      </c>
      <c r="H44" s="1" t="str">
        <f xml:space="preserve"> LEFT(Sng2String(Table1[[#This Row],[t gain]]), 6)</f>
        <v>3FB5C2</v>
      </c>
      <c r="I44" t="str">
        <f xml:space="preserve"> Sng2String(Table1[[#This Row],[c ptrace]])</f>
        <v>3ED70A00</v>
      </c>
      <c r="J44" t="str">
        <f xml:space="preserve"> Sng2String(Table1[[#This Row],[a ptrace]])</f>
        <v>3FB5C200</v>
      </c>
      <c r="K44" t="str">
        <f xml:space="preserve"> Sng2String(Table1[[#This Row],[g ptrace]])</f>
        <v>3F6B8500</v>
      </c>
      <c r="L44" t="str">
        <f>Sng2String(Table1[[#This Row],[t ptrace]])</f>
        <v>3ED70A00</v>
      </c>
      <c r="M44" t="str">
        <f xml:space="preserve"> INDEX(SmallFP!$A$1:$A$256, Table1[[#This Row],[ISMI]]+1)</f>
        <v>422C00</v>
      </c>
      <c r="N44" t="str">
        <f>Single2String(Table1[[#This Row],[c ctrace]])</f>
        <v>41907AB8</v>
      </c>
      <c r="O44" t="str">
        <f>Single2String(Table1[[#This Row],[a ctrace]])</f>
        <v>42743CB0</v>
      </c>
      <c r="P44" t="str">
        <f xml:space="preserve"> Single2String(Table1[[#This Row],[g ctrace]])</f>
        <v>421E3D5C</v>
      </c>
      <c r="Q44" t="str">
        <f xml:space="preserve"> Single2String(Table1[[#This Row],[t ctrace]])</f>
        <v>41907AB8</v>
      </c>
      <c r="R44" t="str">
        <f>Single2String(Table1[[#This Row],[grn and red ctrace]])</f>
        <v>4308BD31</v>
      </c>
      <c r="S44">
        <v>42</v>
      </c>
      <c r="T44" t="str">
        <f>DEC2HEX(Table1[[#This Row],[ZMW num]])</f>
        <v>2A</v>
      </c>
      <c r="U44">
        <f>Table1[[#This Row],[ZMW num]]+1</f>
        <v>43</v>
      </c>
      <c r="V44">
        <v>4</v>
      </c>
      <c r="W44">
        <f t="shared" si="0"/>
        <v>33</v>
      </c>
      <c r="X44">
        <v>85</v>
      </c>
      <c r="Y44">
        <v>170</v>
      </c>
      <c r="Z44">
        <f>MOD(Table1[[#This Row],[ZMW num]], 2^8)</f>
        <v>42</v>
      </c>
      <c r="AA44">
        <f xml:space="preserve"> String2Single(Table1[[#This Row],[t ISIM hex]] &amp; "00")</f>
        <v>43</v>
      </c>
      <c r="AB44">
        <f>'Pulse data'!O47</f>
        <v>0</v>
      </c>
      <c r="AC44">
        <f>Table1[[#This Row],[ZMW num]]*0.01</f>
        <v>0.42</v>
      </c>
      <c r="AD44">
        <f>1+Table1[[#This Row],[t bias]]</f>
        <v>1.42</v>
      </c>
      <c r="AE44">
        <f>Table1[[#This Row],[t kinetic trace]]* String2Single(CONCATENATE(Table1[[#This Row],[t gain hex]], "00")) + String2Single(CONCATENATE(Table1[[#This Row],[t bias hex]], "00"))</f>
        <v>0.4199981689453125</v>
      </c>
      <c r="AF44">
        <f xml:space="preserve"> Table1[[#This Row],[t ptrace]]*Table1[[#This Row],[ISM]]</f>
        <v>18.059921264648438</v>
      </c>
      <c r="AG44">
        <f>'Pulse data'!N47</f>
        <v>0</v>
      </c>
      <c r="AH44">
        <f>Table1[[#This Row],[t bias]]+0.5</f>
        <v>0.91999999999999993</v>
      </c>
      <c r="AI44">
        <f>Table1[[#This Row],[t gain]]/2</f>
        <v>0.71</v>
      </c>
      <c r="AJ44">
        <f>Table1[[#This Row],[g kinetic trace]]* String2Single(CONCATENATE(Table1[[#This Row],[g gain hex]], "00")) + String2Single(CONCATENATE(Table1[[#This Row],[g bias hex]], "00"))</f>
        <v>0.9199981689453125</v>
      </c>
      <c r="AK44">
        <f xml:space="preserve"> Table1[[#This Row],[g ptrace]]*Table1[[#This Row],[ISM]]</f>
        <v>39.559921264648438</v>
      </c>
      <c r="AL44">
        <f>'Pulse data'!M47</f>
        <v>0</v>
      </c>
      <c r="AM44">
        <f>Table1[[#This Row],[t bias]]+1</f>
        <v>1.42</v>
      </c>
      <c r="AN44">
        <f>Table1[[#This Row],[t gain]]-0.5</f>
        <v>0.91999999999999993</v>
      </c>
      <c r="AO44">
        <f>Table1[[#This Row],[a kinetic trace]]* String2Single(CONCATENATE(Table1[[#This Row],[a gain hex]], "00")) + String2Single(CONCATENATE(Table1[[#This Row],[a bias hex]], "00"))</f>
        <v>1.41998291015625</v>
      </c>
      <c r="AP44">
        <f xml:space="preserve"> Table1[[#This Row],[a ptrace]]*Table1[[#This Row],[ISM]]</f>
        <v>61.05926513671875</v>
      </c>
      <c r="AQ44">
        <f>'Pulse data'!L47</f>
        <v>0</v>
      </c>
      <c r="AR44">
        <f>Table1[[#This Row],[t bias]]</f>
        <v>0.42</v>
      </c>
      <c r="AS44">
        <f>Table1[[#This Row],[t gain]]</f>
        <v>1.42</v>
      </c>
      <c r="AT44">
        <f>Table1[[#This Row],[c kinetic trace]]* String2Single(CONCATENATE(Table1[[#This Row],[c gain hex]], "00")) + String2Single(CONCATENATE(Table1[[#This Row],[c bias hex]], "00"))</f>
        <v>0.4199981689453125</v>
      </c>
      <c r="AU44">
        <f xml:space="preserve"> Table1[[#This Row],[c ptrace]]*Table1[[#This Row],[ISM]]</f>
        <v>18.059921264648438</v>
      </c>
      <c r="AV44">
        <f xml:space="preserve"> Table1[[#This Row],[t ctrace]] + Table1[[#This Row],[g ctrace]] + Table1[[#This Row],[a ctrace]] + Table1[[#This Row],[c ctrace]]</f>
        <v>136.73902893066406</v>
      </c>
      <c r="AW44" s="2" t="str">
        <f>DEC2HEX(Table1[[#This Row],[row]], 3)</f>
        <v>004</v>
      </c>
      <c r="AX44" s="1" t="str">
        <f>DEC2HEX(Table1[[#This Row],[col]], 3)</f>
        <v>021</v>
      </c>
      <c r="AY44" s="1" t="str">
        <f>DEC2HEX(Table1[[#This Row],[grn fsp idx]], 2)</f>
        <v>55</v>
      </c>
      <c r="AZ44" s="1" t="str">
        <f>DEC2HEX(Table1[[#This Row],[red fsp idx]], 2)</f>
        <v>AA</v>
      </c>
      <c r="BA44" s="1" t="str">
        <f>DEC2HEX(Table1[[#This Row],[ISMI]], 2)</f>
        <v>2A</v>
      </c>
      <c r="BB44" s="1">
        <f>LEN(Table1[[#This Row],[DRAM data]])</f>
        <v>64</v>
      </c>
      <c r="BC4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00402155AA2A3ED70A3FB5C23F6B853F35C23FB5C23F6B853ED70A3FB5C20002</v>
      </c>
      <c r="BV44"/>
    </row>
    <row r="45" spans="1:74" x14ac:dyDescent="0.25">
      <c r="A45" s="1" t="str">
        <f xml:space="preserve"> LEFT(Sng2String(Table1[[#This Row],[c bias]]), 6)</f>
        <v>3EDC28</v>
      </c>
      <c r="B45" s="1" t="str">
        <f xml:space="preserve"> LEFT(Sng2String(Table1[[#This Row],[a bias]]), 6)</f>
        <v>3FB70A</v>
      </c>
      <c r="C45" s="1" t="str">
        <f xml:space="preserve"> LEFT(Sng2String(Table1[[#This Row],[g bias]]), 6)</f>
        <v>3F6E14</v>
      </c>
      <c r="D45" s="1" t="str">
        <f xml:space="preserve"> LEFT(Sng2String(Table1[[#This Row],[t bias]]), 6)</f>
        <v>3EDC28</v>
      </c>
      <c r="E45" s="1" t="str">
        <f xml:space="preserve"> LEFT(Sng2String(Table1[[#This Row],[c gain]]), 6)</f>
        <v>3FB70A</v>
      </c>
      <c r="F45" s="1" t="str">
        <f xml:space="preserve"> LEFT(Sng2String(Table1[[#This Row],[a gain]]), 6)</f>
        <v>3F6E14</v>
      </c>
      <c r="G45" s="1" t="str">
        <f xml:space="preserve"> LEFT(Sng2String(Table1[[#This Row],[g gain]]), 6)</f>
        <v>3F370A</v>
      </c>
      <c r="H45" s="1" t="str">
        <f xml:space="preserve"> LEFT(Sng2String(Table1[[#This Row],[t gain]]), 6)</f>
        <v>3FB70A</v>
      </c>
      <c r="I45" t="str">
        <f xml:space="preserve"> Sng2String(Table1[[#This Row],[c ptrace]])</f>
        <v>3EDC2800</v>
      </c>
      <c r="J45" t="str">
        <f xml:space="preserve"> Sng2String(Table1[[#This Row],[a ptrace]])</f>
        <v>3FB70A00</v>
      </c>
      <c r="K45" t="str">
        <f xml:space="preserve"> Sng2String(Table1[[#This Row],[g ptrace]])</f>
        <v>3F6E1400</v>
      </c>
      <c r="L45" t="str">
        <f>Sng2String(Table1[[#This Row],[t ptrace]])</f>
        <v>3EDC2800</v>
      </c>
      <c r="M45" t="str">
        <f xml:space="preserve"> INDEX(SmallFP!$A$1:$A$256, Table1[[#This Row],[ISMI]]+1)</f>
        <v>423000</v>
      </c>
      <c r="N45" t="str">
        <f>Single2String(Table1[[#This Row],[c ctrace]])</f>
        <v>41975B80</v>
      </c>
      <c r="O45" t="str">
        <f>Single2String(Table1[[#This Row],[a ctrace]])</f>
        <v>427BADC0</v>
      </c>
      <c r="P45" t="str">
        <f xml:space="preserve"> Single2String(Table1[[#This Row],[g ctrace]])</f>
        <v>4223ADC0</v>
      </c>
      <c r="Q45" t="str">
        <f xml:space="preserve"> Single2String(Table1[[#This Row],[t ctrace]])</f>
        <v>41975B80</v>
      </c>
      <c r="R45" t="str">
        <f>Single2String(Table1[[#This Row],[grn and red ctrace]])</f>
        <v>430DADC0</v>
      </c>
      <c r="S45">
        <v>43</v>
      </c>
      <c r="T45" t="str">
        <f>DEC2HEX(Table1[[#This Row],[ZMW num]])</f>
        <v>2B</v>
      </c>
      <c r="U45">
        <f>Table1[[#This Row],[ZMW num]]+1</f>
        <v>44</v>
      </c>
      <c r="V45">
        <v>4</v>
      </c>
      <c r="W45">
        <f t="shared" si="0"/>
        <v>36</v>
      </c>
      <c r="X45">
        <v>87</v>
      </c>
      <c r="Y45">
        <v>168</v>
      </c>
      <c r="Z45">
        <f>MOD(Table1[[#This Row],[ZMW num]], 2^8)</f>
        <v>43</v>
      </c>
      <c r="AA45">
        <f xml:space="preserve"> String2Single(Table1[[#This Row],[t ISIM hex]] &amp; "00")</f>
        <v>44</v>
      </c>
      <c r="AB45">
        <f>'Pulse data'!O48</f>
        <v>0</v>
      </c>
      <c r="AC45">
        <f>Table1[[#This Row],[ZMW num]]*0.01</f>
        <v>0.43</v>
      </c>
      <c r="AD45">
        <f>1+Table1[[#This Row],[t bias]]</f>
        <v>1.43</v>
      </c>
      <c r="AE45">
        <f>Table1[[#This Row],[t kinetic trace]]* String2Single(CONCATENATE(Table1[[#This Row],[t gain hex]], "00")) + String2Single(CONCATENATE(Table1[[#This Row],[t bias hex]], "00"))</f>
        <v>0.42999267578125</v>
      </c>
      <c r="AF45">
        <f xml:space="preserve"> Table1[[#This Row],[t ptrace]]*Table1[[#This Row],[ISM]]</f>
        <v>18.919677734375</v>
      </c>
      <c r="AG45">
        <f>'Pulse data'!N48</f>
        <v>0</v>
      </c>
      <c r="AH45">
        <f>Table1[[#This Row],[t bias]]+0.5</f>
        <v>0.92999999999999994</v>
      </c>
      <c r="AI45">
        <f>Table1[[#This Row],[t gain]]/2</f>
        <v>0.71499999999999997</v>
      </c>
      <c r="AJ45">
        <f>Table1[[#This Row],[g kinetic trace]]* String2Single(CONCATENATE(Table1[[#This Row],[g gain hex]], "00")) + String2Single(CONCATENATE(Table1[[#This Row],[g bias hex]], "00"))</f>
        <v>0.92999267578125</v>
      </c>
      <c r="AK45">
        <f xml:space="preserve"> Table1[[#This Row],[g ptrace]]*Table1[[#This Row],[ISM]]</f>
        <v>40.919677734375</v>
      </c>
      <c r="AL45">
        <f>'Pulse data'!M48</f>
        <v>0</v>
      </c>
      <c r="AM45">
        <f>Table1[[#This Row],[t bias]]+1</f>
        <v>1.43</v>
      </c>
      <c r="AN45">
        <f>Table1[[#This Row],[t gain]]-0.5</f>
        <v>0.92999999999999994</v>
      </c>
      <c r="AO45">
        <f>Table1[[#This Row],[a kinetic trace]]* String2Single(CONCATENATE(Table1[[#This Row],[a gain hex]], "00")) + String2Single(CONCATENATE(Table1[[#This Row],[a bias hex]], "00"))</f>
        <v>1.42999267578125</v>
      </c>
      <c r="AP45">
        <f xml:space="preserve"> Table1[[#This Row],[a ptrace]]*Table1[[#This Row],[ISM]]</f>
        <v>62.919677734375</v>
      </c>
      <c r="AQ45">
        <f>'Pulse data'!L48</f>
        <v>0</v>
      </c>
      <c r="AR45">
        <f>Table1[[#This Row],[t bias]]</f>
        <v>0.43</v>
      </c>
      <c r="AS45">
        <f>Table1[[#This Row],[t gain]]</f>
        <v>1.43</v>
      </c>
      <c r="AT45">
        <f>Table1[[#This Row],[c kinetic trace]]* String2Single(CONCATENATE(Table1[[#This Row],[c gain hex]], "00")) + String2Single(CONCATENATE(Table1[[#This Row],[c bias hex]], "00"))</f>
        <v>0.42999267578125</v>
      </c>
      <c r="AU45">
        <f xml:space="preserve"> Table1[[#This Row],[c ptrace]]*Table1[[#This Row],[ISM]]</f>
        <v>18.919677734375</v>
      </c>
      <c r="AV45">
        <f xml:space="preserve"> Table1[[#This Row],[t ctrace]] + Table1[[#This Row],[g ctrace]] + Table1[[#This Row],[a ctrace]] + Table1[[#This Row],[c ctrace]]</f>
        <v>141.6787109375</v>
      </c>
      <c r="AW45" s="2" t="str">
        <f>DEC2HEX(Table1[[#This Row],[row]], 3)</f>
        <v>004</v>
      </c>
      <c r="AX45" s="1" t="str">
        <f>DEC2HEX(Table1[[#This Row],[col]], 3)</f>
        <v>024</v>
      </c>
      <c r="AY45" s="1" t="str">
        <f>DEC2HEX(Table1[[#This Row],[grn fsp idx]], 2)</f>
        <v>57</v>
      </c>
      <c r="AZ45" s="1" t="str">
        <f>DEC2HEX(Table1[[#This Row],[red fsp idx]], 2)</f>
        <v>A8</v>
      </c>
      <c r="BA45" s="1" t="str">
        <f>DEC2HEX(Table1[[#This Row],[ISMI]], 2)</f>
        <v>2B</v>
      </c>
      <c r="BB45" s="1">
        <f>LEN(Table1[[#This Row],[DRAM data]])</f>
        <v>64</v>
      </c>
      <c r="BC4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00402457A82B3EDC283FB70A3F6E143F370A3FB70A3F6E143EDC283FB70A0002</v>
      </c>
      <c r="BV45"/>
    </row>
    <row r="46" spans="1:74" x14ac:dyDescent="0.25">
      <c r="A46" s="1" t="str">
        <f xml:space="preserve"> LEFT(Sng2String(Table1[[#This Row],[c bias]]), 6)</f>
        <v>3EE147</v>
      </c>
      <c r="B46" s="1" t="str">
        <f xml:space="preserve"> LEFT(Sng2String(Table1[[#This Row],[a bias]]), 6)</f>
        <v>3FB851</v>
      </c>
      <c r="C46" s="1" t="str">
        <f xml:space="preserve"> LEFT(Sng2String(Table1[[#This Row],[g bias]]), 6)</f>
        <v>3F70A3</v>
      </c>
      <c r="D46" s="1" t="str">
        <f xml:space="preserve"> LEFT(Sng2String(Table1[[#This Row],[t bias]]), 6)</f>
        <v>3EE147</v>
      </c>
      <c r="E46" s="1" t="str">
        <f xml:space="preserve"> LEFT(Sng2String(Table1[[#This Row],[c gain]]), 6)</f>
        <v>3FB851</v>
      </c>
      <c r="F46" s="1" t="str">
        <f xml:space="preserve"> LEFT(Sng2String(Table1[[#This Row],[a gain]]), 6)</f>
        <v>3F70A3</v>
      </c>
      <c r="G46" s="1" t="str">
        <f xml:space="preserve"> LEFT(Sng2String(Table1[[#This Row],[g gain]]), 6)</f>
        <v>3F3851</v>
      </c>
      <c r="H46" s="1" t="str">
        <f xml:space="preserve"> LEFT(Sng2String(Table1[[#This Row],[t gain]]), 6)</f>
        <v>3FB851</v>
      </c>
      <c r="I46" t="str">
        <f xml:space="preserve"> Sng2String(Table1[[#This Row],[c ptrace]])</f>
        <v>3EE14700</v>
      </c>
      <c r="J46" t="str">
        <f xml:space="preserve"> Sng2String(Table1[[#This Row],[a ptrace]])</f>
        <v>3FB85100</v>
      </c>
      <c r="K46" t="str">
        <f xml:space="preserve"> Sng2String(Table1[[#This Row],[g ptrace]])</f>
        <v>3F70A300</v>
      </c>
      <c r="L46" t="str">
        <f>Sng2String(Table1[[#This Row],[t ptrace]])</f>
        <v>3EE14700</v>
      </c>
      <c r="M46" t="str">
        <f xml:space="preserve"> INDEX(SmallFP!$A$1:$A$256, Table1[[#This Row],[ISMI]]+1)</f>
        <v>423400</v>
      </c>
      <c r="N46" t="str">
        <f>Single2String(Table1[[#This Row],[c ctrace]])</f>
        <v>419E65EC</v>
      </c>
      <c r="O46" t="str">
        <f>Single2String(Table1[[#This Row],[a ctrace]])</f>
        <v>428198F4</v>
      </c>
      <c r="P46" t="str">
        <f xml:space="preserve"> Single2String(Table1[[#This Row],[g ctrace]])</f>
        <v>4229329C</v>
      </c>
      <c r="Q46" t="str">
        <f xml:space="preserve"> Single2String(Table1[[#This Row],[t ctrace]])</f>
        <v>419E65EC</v>
      </c>
      <c r="R46" t="str">
        <f>Single2String(Table1[[#This Row],[grn and red ctrace]])</f>
        <v>4312B29C</v>
      </c>
      <c r="S46">
        <v>44</v>
      </c>
      <c r="T46" t="str">
        <f>DEC2HEX(Table1[[#This Row],[ZMW num]])</f>
        <v>2C</v>
      </c>
      <c r="U46">
        <f>Table1[[#This Row],[ZMW num]]+1</f>
        <v>45</v>
      </c>
      <c r="V46">
        <v>4</v>
      </c>
      <c r="W46">
        <f t="shared" si="0"/>
        <v>41</v>
      </c>
      <c r="X46">
        <v>89</v>
      </c>
      <c r="Y46">
        <v>166</v>
      </c>
      <c r="Z46">
        <f>MOD(Table1[[#This Row],[ZMW num]], 2^8)</f>
        <v>44</v>
      </c>
      <c r="AA46">
        <f xml:space="preserve"> String2Single(Table1[[#This Row],[t ISIM hex]] &amp; "00")</f>
        <v>45</v>
      </c>
      <c r="AB46">
        <f>'Pulse data'!O49</f>
        <v>0</v>
      </c>
      <c r="AC46">
        <f>Table1[[#This Row],[ZMW num]]*0.01</f>
        <v>0.44</v>
      </c>
      <c r="AD46">
        <f>1+Table1[[#This Row],[t bias]]</f>
        <v>1.44</v>
      </c>
      <c r="AE46">
        <f>Table1[[#This Row],[t kinetic trace]]* String2Single(CONCATENATE(Table1[[#This Row],[t gain hex]], "00")) + String2Single(CONCATENATE(Table1[[#This Row],[t bias hex]], "00"))</f>
        <v>0.43999481201171875</v>
      </c>
      <c r="AF46">
        <f xml:space="preserve"> Table1[[#This Row],[t ptrace]]*Table1[[#This Row],[ISM]]</f>
        <v>19.799766540527344</v>
      </c>
      <c r="AG46">
        <f>'Pulse data'!N49</f>
        <v>0</v>
      </c>
      <c r="AH46">
        <f>Table1[[#This Row],[t bias]]+0.5</f>
        <v>0.94</v>
      </c>
      <c r="AI46">
        <f>Table1[[#This Row],[t gain]]/2</f>
        <v>0.72</v>
      </c>
      <c r="AJ46">
        <f>Table1[[#This Row],[g kinetic trace]]* String2Single(CONCATENATE(Table1[[#This Row],[g gain hex]], "00")) + String2Single(CONCATENATE(Table1[[#This Row],[g bias hex]], "00"))</f>
        <v>0.9399871826171875</v>
      </c>
      <c r="AK46">
        <f xml:space="preserve"> Table1[[#This Row],[g ptrace]]*Table1[[#This Row],[ISM]]</f>
        <v>42.299423217773437</v>
      </c>
      <c r="AL46">
        <f>'Pulse data'!M49</f>
        <v>0</v>
      </c>
      <c r="AM46">
        <f>Table1[[#This Row],[t bias]]+1</f>
        <v>1.44</v>
      </c>
      <c r="AN46">
        <f>Table1[[#This Row],[t gain]]-0.5</f>
        <v>0.94</v>
      </c>
      <c r="AO46">
        <f>Table1[[#This Row],[a kinetic trace]]* String2Single(CONCATENATE(Table1[[#This Row],[a gain hex]], "00")) + String2Single(CONCATENATE(Table1[[#This Row],[a bias hex]], "00"))</f>
        <v>1.439971923828125</v>
      </c>
      <c r="AP46">
        <f xml:space="preserve"> Table1[[#This Row],[a ptrace]]*Table1[[#This Row],[ISM]]</f>
        <v>64.798736572265625</v>
      </c>
      <c r="AQ46">
        <f>'Pulse data'!L49</f>
        <v>0</v>
      </c>
      <c r="AR46">
        <f>Table1[[#This Row],[t bias]]</f>
        <v>0.44</v>
      </c>
      <c r="AS46">
        <f>Table1[[#This Row],[t gain]]</f>
        <v>1.44</v>
      </c>
      <c r="AT46">
        <f>Table1[[#This Row],[c kinetic trace]]* String2Single(CONCATENATE(Table1[[#This Row],[c gain hex]], "00")) + String2Single(CONCATENATE(Table1[[#This Row],[c bias hex]], "00"))</f>
        <v>0.43999481201171875</v>
      </c>
      <c r="AU46">
        <f xml:space="preserve"> Table1[[#This Row],[c ptrace]]*Table1[[#This Row],[ISM]]</f>
        <v>19.799766540527344</v>
      </c>
      <c r="AV46">
        <f xml:space="preserve"> Table1[[#This Row],[t ctrace]] + Table1[[#This Row],[g ctrace]] + Table1[[#This Row],[a ctrace]] + Table1[[#This Row],[c ctrace]]</f>
        <v>146.69769287109375</v>
      </c>
      <c r="AW46" s="2" t="str">
        <f>DEC2HEX(Table1[[#This Row],[row]], 3)</f>
        <v>004</v>
      </c>
      <c r="AX46" s="1" t="str">
        <f>DEC2HEX(Table1[[#This Row],[col]], 3)</f>
        <v>029</v>
      </c>
      <c r="AY46" s="1" t="str">
        <f>DEC2HEX(Table1[[#This Row],[grn fsp idx]], 2)</f>
        <v>59</v>
      </c>
      <c r="AZ46" s="1" t="str">
        <f>DEC2HEX(Table1[[#This Row],[red fsp idx]], 2)</f>
        <v>A6</v>
      </c>
      <c r="BA46" s="1" t="str">
        <f>DEC2HEX(Table1[[#This Row],[ISMI]], 2)</f>
        <v>2C</v>
      </c>
      <c r="BB46" s="1">
        <f>LEN(Table1[[#This Row],[DRAM data]])</f>
        <v>64</v>
      </c>
      <c r="BC4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00402959A62C3EE1473FB8513F70A33F38513FB8513F70A33EE1473FB8510002</v>
      </c>
      <c r="BV46"/>
    </row>
    <row r="47" spans="1:74" x14ac:dyDescent="0.25">
      <c r="A47" s="1" t="str">
        <f xml:space="preserve"> LEFT(Sng2String(Table1[[#This Row],[c bias]]), 6)</f>
        <v>3EE666</v>
      </c>
      <c r="B47" s="1" t="str">
        <f xml:space="preserve"> LEFT(Sng2String(Table1[[#This Row],[a bias]]), 6)</f>
        <v>3FB999</v>
      </c>
      <c r="C47" s="1" t="str">
        <f xml:space="preserve"> LEFT(Sng2String(Table1[[#This Row],[g bias]]), 6)</f>
        <v>3F7333</v>
      </c>
      <c r="D47" s="1" t="str">
        <f xml:space="preserve"> LEFT(Sng2String(Table1[[#This Row],[t bias]]), 6)</f>
        <v>3EE666</v>
      </c>
      <c r="E47" s="1" t="str">
        <f xml:space="preserve"> LEFT(Sng2String(Table1[[#This Row],[c gain]]), 6)</f>
        <v>3FB999</v>
      </c>
      <c r="F47" s="1" t="str">
        <f xml:space="preserve"> LEFT(Sng2String(Table1[[#This Row],[a gain]]), 6)</f>
        <v>3F7333</v>
      </c>
      <c r="G47" s="1" t="str">
        <f xml:space="preserve"> LEFT(Sng2String(Table1[[#This Row],[g gain]]), 6)</f>
        <v>3F3999</v>
      </c>
      <c r="H47" s="1" t="str">
        <f xml:space="preserve"> LEFT(Sng2String(Table1[[#This Row],[t gain]]), 6)</f>
        <v>3FB999</v>
      </c>
      <c r="I47" t="str">
        <f xml:space="preserve"> Sng2String(Table1[[#This Row],[c ptrace]])</f>
        <v>3EE66600</v>
      </c>
      <c r="J47" t="str">
        <f xml:space="preserve"> Sng2String(Table1[[#This Row],[a ptrace]])</f>
        <v>3FB99900</v>
      </c>
      <c r="K47" t="str">
        <f xml:space="preserve"> Sng2String(Table1[[#This Row],[g ptrace]])</f>
        <v>3F733300</v>
      </c>
      <c r="L47" t="str">
        <f>Sng2String(Table1[[#This Row],[t ptrace]])</f>
        <v>3EE66600</v>
      </c>
      <c r="M47" t="str">
        <f xml:space="preserve"> INDEX(SmallFP!$A$1:$A$256, Table1[[#This Row],[ISMI]]+1)</f>
        <v>423800</v>
      </c>
      <c r="N47" t="str">
        <f>Single2String(Table1[[#This Row],[c ctrace]])</f>
        <v>41A59950</v>
      </c>
      <c r="O47" t="str">
        <f>Single2String(Table1[[#This Row],[a ctrace]])</f>
        <v>428565F8</v>
      </c>
      <c r="P47" t="str">
        <f xml:space="preserve"> Single2String(Table1[[#This Row],[g ctrace]])</f>
        <v>422ECCA8</v>
      </c>
      <c r="Q47" t="str">
        <f xml:space="preserve"> Single2String(Table1[[#This Row],[t ctrace]])</f>
        <v>41A59950</v>
      </c>
      <c r="R47" t="str">
        <f>Single2String(Table1[[#This Row],[grn and red ctrace]])</f>
        <v>4317CC7A</v>
      </c>
      <c r="S47">
        <v>45</v>
      </c>
      <c r="T47" t="str">
        <f>DEC2HEX(Table1[[#This Row],[ZMW num]])</f>
        <v>2D</v>
      </c>
      <c r="U47">
        <f>Table1[[#This Row],[ZMW num]]+1</f>
        <v>46</v>
      </c>
      <c r="V47">
        <v>4</v>
      </c>
      <c r="W47">
        <f t="shared" si="0"/>
        <v>45</v>
      </c>
      <c r="X47">
        <v>91</v>
      </c>
      <c r="Y47">
        <v>164</v>
      </c>
      <c r="Z47">
        <f>MOD(Table1[[#This Row],[ZMW num]], 2^8)</f>
        <v>45</v>
      </c>
      <c r="AA47">
        <f xml:space="preserve"> String2Single(Table1[[#This Row],[t ISIM hex]] &amp; "00")</f>
        <v>46</v>
      </c>
      <c r="AB47">
        <f>'Pulse data'!O50</f>
        <v>0</v>
      </c>
      <c r="AC47">
        <f>Table1[[#This Row],[ZMW num]]*0.01</f>
        <v>0.45</v>
      </c>
      <c r="AD47">
        <f>1+Table1[[#This Row],[t bias]]</f>
        <v>1.45</v>
      </c>
      <c r="AE47">
        <f>Table1[[#This Row],[t kinetic trace]]* String2Single(CONCATENATE(Table1[[#This Row],[t gain hex]], "00")) + String2Single(CONCATENATE(Table1[[#This Row],[t bias hex]], "00"))</f>
        <v>0.4499969482421875</v>
      </c>
      <c r="AF47">
        <f xml:space="preserve"> Table1[[#This Row],[t ptrace]]*Table1[[#This Row],[ISM]]</f>
        <v>20.699859619140625</v>
      </c>
      <c r="AG47">
        <f>'Pulse data'!N50</f>
        <v>0</v>
      </c>
      <c r="AH47">
        <f>Table1[[#This Row],[t bias]]+0.5</f>
        <v>0.95</v>
      </c>
      <c r="AI47">
        <f>Table1[[#This Row],[t gain]]/2</f>
        <v>0.72499999999999998</v>
      </c>
      <c r="AJ47">
        <f>Table1[[#This Row],[g kinetic trace]]* String2Single(CONCATENATE(Table1[[#This Row],[g gain hex]], "00")) + String2Single(CONCATENATE(Table1[[#This Row],[g bias hex]], "00"))</f>
        <v>0.9499969482421875</v>
      </c>
      <c r="AK47">
        <f xml:space="preserve"> Table1[[#This Row],[g ptrace]]*Table1[[#This Row],[ISM]]</f>
        <v>43.699859619140625</v>
      </c>
      <c r="AL47">
        <f>'Pulse data'!M50</f>
        <v>0</v>
      </c>
      <c r="AM47">
        <f>Table1[[#This Row],[t bias]]+1</f>
        <v>1.45</v>
      </c>
      <c r="AN47">
        <f>Table1[[#This Row],[t gain]]-0.5</f>
        <v>0.95</v>
      </c>
      <c r="AO47">
        <f>Table1[[#This Row],[a kinetic trace]]* String2Single(CONCATENATE(Table1[[#This Row],[a gain hex]], "00")) + String2Single(CONCATENATE(Table1[[#This Row],[a bias hex]], "00"))</f>
        <v>1.449981689453125</v>
      </c>
      <c r="AP47">
        <f xml:space="preserve"> Table1[[#This Row],[a ptrace]]*Table1[[#This Row],[ISM]]</f>
        <v>66.69915771484375</v>
      </c>
      <c r="AQ47">
        <f>'Pulse data'!L50</f>
        <v>0</v>
      </c>
      <c r="AR47">
        <f>Table1[[#This Row],[t bias]]</f>
        <v>0.45</v>
      </c>
      <c r="AS47">
        <f>Table1[[#This Row],[t gain]]</f>
        <v>1.45</v>
      </c>
      <c r="AT47">
        <f>Table1[[#This Row],[c kinetic trace]]* String2Single(CONCATENATE(Table1[[#This Row],[c gain hex]], "00")) + String2Single(CONCATENATE(Table1[[#This Row],[c bias hex]], "00"))</f>
        <v>0.4499969482421875</v>
      </c>
      <c r="AU47">
        <f xml:space="preserve"> Table1[[#This Row],[c ptrace]]*Table1[[#This Row],[ISM]]</f>
        <v>20.699859619140625</v>
      </c>
      <c r="AV47">
        <f xml:space="preserve"> Table1[[#This Row],[t ctrace]] + Table1[[#This Row],[g ctrace]] + Table1[[#This Row],[a ctrace]] + Table1[[#This Row],[c ctrace]]</f>
        <v>151.79873657226562</v>
      </c>
      <c r="AW47" s="2" t="str">
        <f>DEC2HEX(Table1[[#This Row],[row]], 3)</f>
        <v>004</v>
      </c>
      <c r="AX47" s="1" t="str">
        <f>DEC2HEX(Table1[[#This Row],[col]], 3)</f>
        <v>02D</v>
      </c>
      <c r="AY47" s="1" t="str">
        <f>DEC2HEX(Table1[[#This Row],[grn fsp idx]], 2)</f>
        <v>5B</v>
      </c>
      <c r="AZ47" s="1" t="str">
        <f>DEC2HEX(Table1[[#This Row],[red fsp idx]], 2)</f>
        <v>A4</v>
      </c>
      <c r="BA47" s="1" t="str">
        <f>DEC2HEX(Table1[[#This Row],[ISMI]], 2)</f>
        <v>2D</v>
      </c>
      <c r="BB47" s="1">
        <f>LEN(Table1[[#This Row],[DRAM data]])</f>
        <v>64</v>
      </c>
      <c r="BC4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00402D5BA42D3EE6663FB9993F73333F39993FB9993F73333EE6663FB9990002</v>
      </c>
      <c r="BV47"/>
    </row>
    <row r="48" spans="1:74" x14ac:dyDescent="0.25">
      <c r="A48" s="1" t="str">
        <f xml:space="preserve"> LEFT(Sng2String(Table1[[#This Row],[c bias]]), 6)</f>
        <v>3EEB85</v>
      </c>
      <c r="B48" s="1" t="str">
        <f xml:space="preserve"> LEFT(Sng2String(Table1[[#This Row],[a bias]]), 6)</f>
        <v>3FBAE1</v>
      </c>
      <c r="C48" s="1" t="str">
        <f xml:space="preserve"> LEFT(Sng2String(Table1[[#This Row],[g bias]]), 6)</f>
        <v>3F75C2</v>
      </c>
      <c r="D48" s="1" t="str">
        <f xml:space="preserve"> LEFT(Sng2String(Table1[[#This Row],[t bias]]), 6)</f>
        <v>3EEB85</v>
      </c>
      <c r="E48" s="1" t="str">
        <f xml:space="preserve"> LEFT(Sng2String(Table1[[#This Row],[c gain]]), 6)</f>
        <v>3FBAE1</v>
      </c>
      <c r="F48" s="1" t="str">
        <f xml:space="preserve"> LEFT(Sng2String(Table1[[#This Row],[a gain]]), 6)</f>
        <v>3F75C2</v>
      </c>
      <c r="G48" s="1" t="str">
        <f xml:space="preserve"> LEFT(Sng2String(Table1[[#This Row],[g gain]]), 6)</f>
        <v>3F3AE1</v>
      </c>
      <c r="H48" s="1" t="str">
        <f xml:space="preserve"> LEFT(Sng2String(Table1[[#This Row],[t gain]]), 6)</f>
        <v>3FBAE1</v>
      </c>
      <c r="I48" t="str">
        <f xml:space="preserve"> Sng2String(Table1[[#This Row],[c ptrace]])</f>
        <v>3EEB8500</v>
      </c>
      <c r="J48" t="str">
        <f xml:space="preserve"> Sng2String(Table1[[#This Row],[a ptrace]])</f>
        <v>3FBAE100</v>
      </c>
      <c r="K48" t="str">
        <f xml:space="preserve"> Sng2String(Table1[[#This Row],[g ptrace]])</f>
        <v>3F75C200</v>
      </c>
      <c r="L48" t="str">
        <f>Sng2String(Table1[[#This Row],[t ptrace]])</f>
        <v>3EEB8500</v>
      </c>
      <c r="M48" t="str">
        <f xml:space="preserve"> INDEX(SmallFP!$A$1:$A$256, Table1[[#This Row],[ISMI]]+1)</f>
        <v>423C00</v>
      </c>
      <c r="N48" t="str">
        <f>Single2String(Table1[[#This Row],[c ctrace]])</f>
        <v>41ACF5AC</v>
      </c>
      <c r="O48" t="str">
        <f>Single2String(Table1[[#This Row],[a ctrace]])</f>
        <v>42893D3C</v>
      </c>
      <c r="P48" t="str">
        <f xml:space="preserve"> Single2String(Table1[[#This Row],[g ctrace]])</f>
        <v>42347A78</v>
      </c>
      <c r="Q48" t="str">
        <f xml:space="preserve"> Single2String(Table1[[#This Row],[t ctrace]])</f>
        <v>41ACF5AC</v>
      </c>
      <c r="R48" t="str">
        <f>Single2String(Table1[[#This Row],[grn and red ctrace]])</f>
        <v>431CFAA7</v>
      </c>
      <c r="S48">
        <v>46</v>
      </c>
      <c r="T48" t="str">
        <f>DEC2HEX(Table1[[#This Row],[ZMW num]])</f>
        <v>2E</v>
      </c>
      <c r="U48">
        <f>Table1[[#This Row],[ZMW num]]+1</f>
        <v>47</v>
      </c>
      <c r="V48">
        <v>4</v>
      </c>
      <c r="W48">
        <f t="shared" si="0"/>
        <v>46</v>
      </c>
      <c r="X48">
        <v>93</v>
      </c>
      <c r="Y48">
        <v>162</v>
      </c>
      <c r="Z48">
        <f>MOD(Table1[[#This Row],[ZMW num]], 2^8)</f>
        <v>46</v>
      </c>
      <c r="AA48">
        <f xml:space="preserve"> String2Single(Table1[[#This Row],[t ISIM hex]] &amp; "00")</f>
        <v>47</v>
      </c>
      <c r="AB48">
        <f>'Pulse data'!O51</f>
        <v>0</v>
      </c>
      <c r="AC48">
        <f>Table1[[#This Row],[ZMW num]]*0.01</f>
        <v>0.46</v>
      </c>
      <c r="AD48">
        <f>1+Table1[[#This Row],[t bias]]</f>
        <v>1.46</v>
      </c>
      <c r="AE48">
        <f>Table1[[#This Row],[t kinetic trace]]* String2Single(CONCATENATE(Table1[[#This Row],[t gain hex]], "00")) + String2Single(CONCATENATE(Table1[[#This Row],[t bias hex]], "00"))</f>
        <v>0.45999908447265625</v>
      </c>
      <c r="AF48">
        <f xml:space="preserve"> Table1[[#This Row],[t ptrace]]*Table1[[#This Row],[ISM]]</f>
        <v>21.619956970214844</v>
      </c>
      <c r="AG48">
        <f>'Pulse data'!N51</f>
        <v>0</v>
      </c>
      <c r="AH48">
        <f>Table1[[#This Row],[t bias]]+0.5</f>
        <v>0.96</v>
      </c>
      <c r="AI48">
        <f>Table1[[#This Row],[t gain]]/2</f>
        <v>0.73</v>
      </c>
      <c r="AJ48">
        <f>Table1[[#This Row],[g kinetic trace]]* String2Single(CONCATENATE(Table1[[#This Row],[g gain hex]], "00")) + String2Single(CONCATENATE(Table1[[#This Row],[g bias hex]], "00"))</f>
        <v>0.959991455078125</v>
      </c>
      <c r="AK48">
        <f xml:space="preserve"> Table1[[#This Row],[g ptrace]]*Table1[[#This Row],[ISM]]</f>
        <v>45.119598388671875</v>
      </c>
      <c r="AL48">
        <f>'Pulse data'!M51</f>
        <v>0</v>
      </c>
      <c r="AM48">
        <f>Table1[[#This Row],[t bias]]+1</f>
        <v>1.46</v>
      </c>
      <c r="AN48">
        <f>Table1[[#This Row],[t gain]]-0.5</f>
        <v>0.96</v>
      </c>
      <c r="AO48">
        <f>Table1[[#This Row],[a kinetic trace]]* String2Single(CONCATENATE(Table1[[#This Row],[a gain hex]], "00")) + String2Single(CONCATENATE(Table1[[#This Row],[a bias hex]], "00"))</f>
        <v>1.459991455078125</v>
      </c>
      <c r="AP48">
        <f xml:space="preserve"> Table1[[#This Row],[a ptrace]]*Table1[[#This Row],[ISM]]</f>
        <v>68.619598388671875</v>
      </c>
      <c r="AQ48">
        <f>'Pulse data'!L51</f>
        <v>0</v>
      </c>
      <c r="AR48">
        <f>Table1[[#This Row],[t bias]]</f>
        <v>0.46</v>
      </c>
      <c r="AS48">
        <f>Table1[[#This Row],[t gain]]</f>
        <v>1.46</v>
      </c>
      <c r="AT48">
        <f>Table1[[#This Row],[c kinetic trace]]* String2Single(CONCATENATE(Table1[[#This Row],[c gain hex]], "00")) + String2Single(CONCATENATE(Table1[[#This Row],[c bias hex]], "00"))</f>
        <v>0.45999908447265625</v>
      </c>
      <c r="AU48">
        <f xml:space="preserve"> Table1[[#This Row],[c ptrace]]*Table1[[#This Row],[ISM]]</f>
        <v>21.619956970214844</v>
      </c>
      <c r="AV48">
        <f xml:space="preserve"> Table1[[#This Row],[t ctrace]] + Table1[[#This Row],[g ctrace]] + Table1[[#This Row],[a ctrace]] + Table1[[#This Row],[c ctrace]]</f>
        <v>156.97911071777344</v>
      </c>
      <c r="AW48" s="2" t="str">
        <f>DEC2HEX(Table1[[#This Row],[row]], 3)</f>
        <v>004</v>
      </c>
      <c r="AX48" s="1" t="str">
        <f>DEC2HEX(Table1[[#This Row],[col]], 3)</f>
        <v>02E</v>
      </c>
      <c r="AY48" s="1" t="str">
        <f>DEC2HEX(Table1[[#This Row],[grn fsp idx]], 2)</f>
        <v>5D</v>
      </c>
      <c r="AZ48" s="1" t="str">
        <f>DEC2HEX(Table1[[#This Row],[red fsp idx]], 2)</f>
        <v>A2</v>
      </c>
      <c r="BA48" s="1" t="str">
        <f>DEC2HEX(Table1[[#This Row],[ISMI]], 2)</f>
        <v>2E</v>
      </c>
      <c r="BB48" s="1">
        <f>LEN(Table1[[#This Row],[DRAM data]])</f>
        <v>64</v>
      </c>
      <c r="BC4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00402E5DA22E3EEB853FBAE13F75C23F3AE13FBAE13F75C23EEB853FBAE10002</v>
      </c>
      <c r="BV48"/>
    </row>
    <row r="49" spans="1:74" x14ac:dyDescent="0.25">
      <c r="A49" s="1" t="str">
        <f xml:space="preserve"> LEFT(Sng2String(Table1[[#This Row],[c bias]]), 6)</f>
        <v>3EF0A3</v>
      </c>
      <c r="B49" s="1" t="str">
        <f xml:space="preserve"> LEFT(Sng2String(Table1[[#This Row],[a bias]]), 6)</f>
        <v>3FBC28</v>
      </c>
      <c r="C49" s="1" t="str">
        <f xml:space="preserve"> LEFT(Sng2String(Table1[[#This Row],[g bias]]), 6)</f>
        <v>3F7851</v>
      </c>
      <c r="D49" s="1" t="str">
        <f xml:space="preserve"> LEFT(Sng2String(Table1[[#This Row],[t bias]]), 6)</f>
        <v>3EF0A3</v>
      </c>
      <c r="E49" s="1" t="str">
        <f xml:space="preserve"> LEFT(Sng2String(Table1[[#This Row],[c gain]]), 6)</f>
        <v>3FBC28</v>
      </c>
      <c r="F49" s="1" t="str">
        <f xml:space="preserve"> LEFT(Sng2String(Table1[[#This Row],[a gain]]), 6)</f>
        <v>3F7851</v>
      </c>
      <c r="G49" s="1" t="str">
        <f xml:space="preserve"> LEFT(Sng2String(Table1[[#This Row],[g gain]]), 6)</f>
        <v>3F3C28</v>
      </c>
      <c r="H49" s="1" t="str">
        <f xml:space="preserve"> LEFT(Sng2String(Table1[[#This Row],[t gain]]), 6)</f>
        <v>3FBC28</v>
      </c>
      <c r="I49" t="str">
        <f xml:space="preserve"> Sng2String(Table1[[#This Row],[c ptrace]])</f>
        <v>3EF0A300</v>
      </c>
      <c r="J49" t="str">
        <f xml:space="preserve"> Sng2String(Table1[[#This Row],[a ptrace]])</f>
        <v>3FBC2800</v>
      </c>
      <c r="K49" t="str">
        <f xml:space="preserve"> Sng2String(Table1[[#This Row],[g ptrace]])</f>
        <v>3F785100</v>
      </c>
      <c r="L49" t="str">
        <f>Sng2String(Table1[[#This Row],[t ptrace]])</f>
        <v>3EF0A300</v>
      </c>
      <c r="M49" t="str">
        <f xml:space="preserve"> INDEX(SmallFP!$A$1:$A$256, Table1[[#This Row],[ISMI]]+1)</f>
        <v>424000</v>
      </c>
      <c r="N49" t="str">
        <f>Single2String(Table1[[#This Row],[c ctrace]])</f>
        <v>41B47A40</v>
      </c>
      <c r="O49" t="str">
        <f>Single2String(Table1[[#This Row],[a ctrace]])</f>
        <v>428D1E00</v>
      </c>
      <c r="P49" t="str">
        <f xml:space="preserve"> Single2String(Table1[[#This Row],[g ctrace]])</f>
        <v>423A3CC0</v>
      </c>
      <c r="Q49" t="str">
        <f xml:space="preserve"> Single2String(Table1[[#This Row],[t ctrace]])</f>
        <v>41B47A40</v>
      </c>
      <c r="R49" t="str">
        <f>Single2String(Table1[[#This Row],[grn and red ctrace]])</f>
        <v>43223CC0</v>
      </c>
      <c r="S49">
        <v>47</v>
      </c>
      <c r="T49" t="str">
        <f>DEC2HEX(Table1[[#This Row],[ZMW num]])</f>
        <v>2F</v>
      </c>
      <c r="U49">
        <f>Table1[[#This Row],[ZMW num]]+1</f>
        <v>48</v>
      </c>
      <c r="V49">
        <v>4</v>
      </c>
      <c r="W49">
        <f t="shared" si="0"/>
        <v>51</v>
      </c>
      <c r="X49">
        <v>95</v>
      </c>
      <c r="Y49">
        <v>160</v>
      </c>
      <c r="Z49">
        <f>MOD(Table1[[#This Row],[ZMW num]], 2^8)</f>
        <v>47</v>
      </c>
      <c r="AA49">
        <f xml:space="preserve"> String2Single(Table1[[#This Row],[t ISIM hex]] &amp; "00")</f>
        <v>48</v>
      </c>
      <c r="AB49">
        <f>'Pulse data'!O52</f>
        <v>0</v>
      </c>
      <c r="AC49">
        <f>Table1[[#This Row],[ZMW num]]*0.01</f>
        <v>0.47000000000000003</v>
      </c>
      <c r="AD49">
        <f>1+Table1[[#This Row],[t bias]]</f>
        <v>1.47</v>
      </c>
      <c r="AE49">
        <f>Table1[[#This Row],[t kinetic trace]]* String2Single(CONCATENATE(Table1[[#This Row],[t gain hex]], "00")) + String2Single(CONCATENATE(Table1[[#This Row],[t bias hex]], "00"))</f>
        <v>0.46999359130859375</v>
      </c>
      <c r="AF49">
        <f xml:space="preserve"> Table1[[#This Row],[t ptrace]]*Table1[[#This Row],[ISM]]</f>
        <v>22.5596923828125</v>
      </c>
      <c r="AG49">
        <f>'Pulse data'!N52</f>
        <v>0</v>
      </c>
      <c r="AH49">
        <f>Table1[[#This Row],[t bias]]+0.5</f>
        <v>0.97</v>
      </c>
      <c r="AI49">
        <f>Table1[[#This Row],[t gain]]/2</f>
        <v>0.73499999999999999</v>
      </c>
      <c r="AJ49">
        <f>Table1[[#This Row],[g kinetic trace]]* String2Single(CONCATENATE(Table1[[#This Row],[g gain hex]], "00")) + String2Single(CONCATENATE(Table1[[#This Row],[g bias hex]], "00"))</f>
        <v>0.9699859619140625</v>
      </c>
      <c r="AK49">
        <f xml:space="preserve"> Table1[[#This Row],[g ptrace]]*Table1[[#This Row],[ISM]]</f>
        <v>46.559326171875</v>
      </c>
      <c r="AL49">
        <f>'Pulse data'!M52</f>
        <v>0</v>
      </c>
      <c r="AM49">
        <f>Table1[[#This Row],[t bias]]+1</f>
        <v>1.47</v>
      </c>
      <c r="AN49">
        <f>Table1[[#This Row],[t gain]]-0.5</f>
        <v>0.97</v>
      </c>
      <c r="AO49">
        <f>Table1[[#This Row],[a kinetic trace]]* String2Single(CONCATENATE(Table1[[#This Row],[a gain hex]], "00")) + String2Single(CONCATENATE(Table1[[#This Row],[a bias hex]], "00"))</f>
        <v>1.469970703125</v>
      </c>
      <c r="AP49">
        <f xml:space="preserve"> Table1[[#This Row],[a ptrace]]*Table1[[#This Row],[ISM]]</f>
        <v>70.55859375</v>
      </c>
      <c r="AQ49">
        <f>'Pulse data'!L52</f>
        <v>0</v>
      </c>
      <c r="AR49">
        <f>Table1[[#This Row],[t bias]]</f>
        <v>0.47000000000000003</v>
      </c>
      <c r="AS49">
        <f>Table1[[#This Row],[t gain]]</f>
        <v>1.47</v>
      </c>
      <c r="AT49">
        <f>Table1[[#This Row],[c kinetic trace]]* String2Single(CONCATENATE(Table1[[#This Row],[c gain hex]], "00")) + String2Single(CONCATENATE(Table1[[#This Row],[c bias hex]], "00"))</f>
        <v>0.46999359130859375</v>
      </c>
      <c r="AU49">
        <f xml:space="preserve"> Table1[[#This Row],[c ptrace]]*Table1[[#This Row],[ISM]]</f>
        <v>22.5596923828125</v>
      </c>
      <c r="AV49">
        <f xml:space="preserve"> Table1[[#This Row],[t ctrace]] + Table1[[#This Row],[g ctrace]] + Table1[[#This Row],[a ctrace]] + Table1[[#This Row],[c ctrace]]</f>
        <v>162.2373046875</v>
      </c>
      <c r="AW49" s="2" t="str">
        <f>DEC2HEX(Table1[[#This Row],[row]], 3)</f>
        <v>004</v>
      </c>
      <c r="AX49" s="1" t="str">
        <f>DEC2HEX(Table1[[#This Row],[col]], 3)</f>
        <v>033</v>
      </c>
      <c r="AY49" s="1" t="str">
        <f>DEC2HEX(Table1[[#This Row],[grn fsp idx]], 2)</f>
        <v>5F</v>
      </c>
      <c r="AZ49" s="1" t="str">
        <f>DEC2HEX(Table1[[#This Row],[red fsp idx]], 2)</f>
        <v>A0</v>
      </c>
      <c r="BA49" s="1" t="str">
        <f>DEC2HEX(Table1[[#This Row],[ISMI]], 2)</f>
        <v>2F</v>
      </c>
      <c r="BB49" s="1">
        <f>LEN(Table1[[#This Row],[DRAM data]])</f>
        <v>64</v>
      </c>
      <c r="BC4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0040335FA02F3EF0A33FBC283F78513F3C283FBC283F78513EF0A33FBC280002</v>
      </c>
      <c r="BV49"/>
    </row>
    <row r="50" spans="1:74" x14ac:dyDescent="0.25">
      <c r="A50" s="1" t="str">
        <f xml:space="preserve"> LEFT(Sng2String(Table1[[#This Row],[c bias]]), 6)</f>
        <v>3EF5C2</v>
      </c>
      <c r="B50" s="1" t="str">
        <f xml:space="preserve"> LEFT(Sng2String(Table1[[#This Row],[a bias]]), 6)</f>
        <v>3FBD70</v>
      </c>
      <c r="C50" s="1" t="str">
        <f xml:space="preserve"> LEFT(Sng2String(Table1[[#This Row],[g bias]]), 6)</f>
        <v>3F7AE1</v>
      </c>
      <c r="D50" s="1" t="str">
        <f xml:space="preserve"> LEFT(Sng2String(Table1[[#This Row],[t bias]]), 6)</f>
        <v>3EF5C2</v>
      </c>
      <c r="E50" s="1" t="str">
        <f xml:space="preserve"> LEFT(Sng2String(Table1[[#This Row],[c gain]]), 6)</f>
        <v>3FBD70</v>
      </c>
      <c r="F50" s="1" t="str">
        <f xml:space="preserve"> LEFT(Sng2String(Table1[[#This Row],[a gain]]), 6)</f>
        <v>3F7AE1</v>
      </c>
      <c r="G50" s="1" t="str">
        <f xml:space="preserve"> LEFT(Sng2String(Table1[[#This Row],[g gain]]), 6)</f>
        <v>3F3D70</v>
      </c>
      <c r="H50" s="1" t="str">
        <f xml:space="preserve"> LEFT(Sng2String(Table1[[#This Row],[t gain]]), 6)</f>
        <v>3FBD70</v>
      </c>
      <c r="I50" t="str">
        <f xml:space="preserve"> Sng2String(Table1[[#This Row],[c ptrace]])</f>
        <v>3EF5C200</v>
      </c>
      <c r="J50" t="str">
        <f xml:space="preserve"> Sng2String(Table1[[#This Row],[a ptrace]])</f>
        <v>3FBD7000</v>
      </c>
      <c r="K50" t="str">
        <f xml:space="preserve"> Sng2String(Table1[[#This Row],[g ptrace]])</f>
        <v>3F7AE100</v>
      </c>
      <c r="L50" t="str">
        <f>Sng2String(Table1[[#This Row],[t ptrace]])</f>
        <v>3EF5C200</v>
      </c>
      <c r="M50" t="str">
        <f xml:space="preserve"> INDEX(SmallFP!$A$1:$A$256, Table1[[#This Row],[ISMI]]+1)</f>
        <v>424400</v>
      </c>
      <c r="N50" t="str">
        <f>Single2String(Table1[[#This Row],[c ctrace]])</f>
        <v>41BC2888</v>
      </c>
      <c r="O50" t="str">
        <f>Single2String(Table1[[#This Row],[a ctrace]])</f>
        <v>429109C0</v>
      </c>
      <c r="P50" t="str">
        <f xml:space="preserve"> Single2String(Table1[[#This Row],[g ctrace]])</f>
        <v>42401444</v>
      </c>
      <c r="Q50" t="str">
        <f xml:space="preserve"> Single2String(Table1[[#This Row],[t ctrace]])</f>
        <v>41BC2888</v>
      </c>
      <c r="R50" t="str">
        <f>Single2String(Table1[[#This Row],[grn and red ctrace]])</f>
        <v>43279413</v>
      </c>
      <c r="S50">
        <v>48</v>
      </c>
      <c r="T50" t="str">
        <f>DEC2HEX(Table1[[#This Row],[ZMW num]])</f>
        <v>30</v>
      </c>
      <c r="U50">
        <f>Table1[[#This Row],[ZMW num]]+1</f>
        <v>49</v>
      </c>
      <c r="V50">
        <v>4</v>
      </c>
      <c r="W50">
        <f t="shared" si="0"/>
        <v>55</v>
      </c>
      <c r="X50">
        <v>97</v>
      </c>
      <c r="Y50">
        <v>158</v>
      </c>
      <c r="Z50">
        <f>MOD(Table1[[#This Row],[ZMW num]], 2^8)</f>
        <v>48</v>
      </c>
      <c r="AA50">
        <f xml:space="preserve"> String2Single(Table1[[#This Row],[t ISIM hex]] &amp; "00")</f>
        <v>49</v>
      </c>
      <c r="AB50">
        <f>'Pulse data'!O53</f>
        <v>0</v>
      </c>
      <c r="AC50">
        <f>Table1[[#This Row],[ZMW num]]*0.01</f>
        <v>0.48</v>
      </c>
      <c r="AD50">
        <f>1+Table1[[#This Row],[t bias]]</f>
        <v>1.48</v>
      </c>
      <c r="AE50">
        <f>Table1[[#This Row],[t kinetic trace]]* String2Single(CONCATENATE(Table1[[#This Row],[t gain hex]], "00")) + String2Single(CONCATENATE(Table1[[#This Row],[t bias hex]], "00"))</f>
        <v>0.4799957275390625</v>
      </c>
      <c r="AF50">
        <f xml:space="preserve"> Table1[[#This Row],[t ptrace]]*Table1[[#This Row],[ISM]]</f>
        <v>23.519790649414063</v>
      </c>
      <c r="AG50">
        <f>'Pulse data'!N53</f>
        <v>0</v>
      </c>
      <c r="AH50">
        <f>Table1[[#This Row],[t bias]]+0.5</f>
        <v>0.98</v>
      </c>
      <c r="AI50">
        <f>Table1[[#This Row],[t gain]]/2</f>
        <v>0.74</v>
      </c>
      <c r="AJ50">
        <f>Table1[[#This Row],[g kinetic trace]]* String2Single(CONCATENATE(Table1[[#This Row],[g gain hex]], "00")) + String2Single(CONCATENATE(Table1[[#This Row],[g bias hex]], "00"))</f>
        <v>0.9799957275390625</v>
      </c>
      <c r="AK50">
        <f xml:space="preserve"> Table1[[#This Row],[g ptrace]]*Table1[[#This Row],[ISM]]</f>
        <v>48.019790649414063</v>
      </c>
      <c r="AL50">
        <f>'Pulse data'!M53</f>
        <v>0</v>
      </c>
      <c r="AM50">
        <f>Table1[[#This Row],[t bias]]+1</f>
        <v>1.48</v>
      </c>
      <c r="AN50">
        <f>Table1[[#This Row],[t gain]]-0.5</f>
        <v>0.98</v>
      </c>
      <c r="AO50">
        <f>Table1[[#This Row],[a kinetic trace]]* String2Single(CONCATENATE(Table1[[#This Row],[a gain hex]], "00")) + String2Single(CONCATENATE(Table1[[#This Row],[a bias hex]], "00"))</f>
        <v>1.47998046875</v>
      </c>
      <c r="AP50">
        <f xml:space="preserve"> Table1[[#This Row],[a ptrace]]*Table1[[#This Row],[ISM]]</f>
        <v>72.51904296875</v>
      </c>
      <c r="AQ50">
        <f>'Pulse data'!L53</f>
        <v>0</v>
      </c>
      <c r="AR50">
        <f>Table1[[#This Row],[t bias]]</f>
        <v>0.48</v>
      </c>
      <c r="AS50">
        <f>Table1[[#This Row],[t gain]]</f>
        <v>1.48</v>
      </c>
      <c r="AT50">
        <f>Table1[[#This Row],[c kinetic trace]]* String2Single(CONCATENATE(Table1[[#This Row],[c gain hex]], "00")) + String2Single(CONCATENATE(Table1[[#This Row],[c bias hex]], "00"))</f>
        <v>0.4799957275390625</v>
      </c>
      <c r="AU50">
        <f xml:space="preserve"> Table1[[#This Row],[c ptrace]]*Table1[[#This Row],[ISM]]</f>
        <v>23.519790649414063</v>
      </c>
      <c r="AV50">
        <f xml:space="preserve"> Table1[[#This Row],[t ctrace]] + Table1[[#This Row],[g ctrace]] + Table1[[#This Row],[a ctrace]] + Table1[[#This Row],[c ctrace]]</f>
        <v>167.57841491699219</v>
      </c>
      <c r="AW50" s="2" t="str">
        <f>DEC2HEX(Table1[[#This Row],[row]], 3)</f>
        <v>004</v>
      </c>
      <c r="AX50" s="1" t="str">
        <f>DEC2HEX(Table1[[#This Row],[col]], 3)</f>
        <v>037</v>
      </c>
      <c r="AY50" s="1" t="str">
        <f>DEC2HEX(Table1[[#This Row],[grn fsp idx]], 2)</f>
        <v>61</v>
      </c>
      <c r="AZ50" s="1" t="str">
        <f>DEC2HEX(Table1[[#This Row],[red fsp idx]], 2)</f>
        <v>9E</v>
      </c>
      <c r="BA50" s="1" t="str">
        <f>DEC2HEX(Table1[[#This Row],[ISMI]], 2)</f>
        <v>30</v>
      </c>
      <c r="BB50" s="1">
        <f>LEN(Table1[[#This Row],[DRAM data]])</f>
        <v>64</v>
      </c>
      <c r="BC5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004037619E303EF5C23FBD703F7AE13F3D703FBD703F7AE13EF5C23FBD700002</v>
      </c>
      <c r="BV50"/>
    </row>
    <row r="51" spans="1:74" x14ac:dyDescent="0.25">
      <c r="A51" s="1" t="str">
        <f xml:space="preserve"> LEFT(Sng2String(Table1[[#This Row],[c bias]]), 6)</f>
        <v>3EFAE1</v>
      </c>
      <c r="B51" s="1" t="str">
        <f xml:space="preserve"> LEFT(Sng2String(Table1[[#This Row],[a bias]]), 6)</f>
        <v>3FBEB8</v>
      </c>
      <c r="C51" s="1" t="str">
        <f xml:space="preserve"> LEFT(Sng2String(Table1[[#This Row],[g bias]]), 6)</f>
        <v>3F7D70</v>
      </c>
      <c r="D51" s="1" t="str">
        <f xml:space="preserve"> LEFT(Sng2String(Table1[[#This Row],[t bias]]), 6)</f>
        <v>3EFAE1</v>
      </c>
      <c r="E51" s="1" t="str">
        <f xml:space="preserve"> LEFT(Sng2String(Table1[[#This Row],[c gain]]), 6)</f>
        <v>3FBEB8</v>
      </c>
      <c r="F51" s="1" t="str">
        <f xml:space="preserve"> LEFT(Sng2String(Table1[[#This Row],[a gain]]), 6)</f>
        <v>3F7D70</v>
      </c>
      <c r="G51" s="1" t="str">
        <f xml:space="preserve"> LEFT(Sng2String(Table1[[#This Row],[g gain]]), 6)</f>
        <v>3F3EB8</v>
      </c>
      <c r="H51" s="1" t="str">
        <f xml:space="preserve"> LEFT(Sng2String(Table1[[#This Row],[t gain]]), 6)</f>
        <v>3FBEB8</v>
      </c>
      <c r="I51" t="str">
        <f xml:space="preserve"> Sng2String(Table1[[#This Row],[c ptrace]])</f>
        <v>3EFAE100</v>
      </c>
      <c r="J51" t="str">
        <f xml:space="preserve"> Sng2String(Table1[[#This Row],[a ptrace]])</f>
        <v>3FBEB800</v>
      </c>
      <c r="K51" t="str">
        <f xml:space="preserve"> Sng2String(Table1[[#This Row],[g ptrace]])</f>
        <v>3F7D7000</v>
      </c>
      <c r="L51" t="str">
        <f>Sng2String(Table1[[#This Row],[t ptrace]])</f>
        <v>3EFAE100</v>
      </c>
      <c r="M51" t="str">
        <f xml:space="preserve"> INDEX(SmallFP!$A$1:$A$256, Table1[[#This Row],[ISMI]]+1)</f>
        <v>424800</v>
      </c>
      <c r="N51" t="str">
        <f>Single2String(Table1[[#This Row],[c ctrace]])</f>
        <v>41C3FFC8</v>
      </c>
      <c r="O51" t="str">
        <f>Single2String(Table1[[#This Row],[a ctrace]])</f>
        <v>4294FFC0</v>
      </c>
      <c r="P51" t="str">
        <f xml:space="preserve"> Single2String(Table1[[#This Row],[g ctrace]])</f>
        <v>4245FF80</v>
      </c>
      <c r="Q51" t="str">
        <f xml:space="preserve"> Single2String(Table1[[#This Row],[t ctrace]])</f>
        <v>41C3FFC8</v>
      </c>
      <c r="R51" t="str">
        <f>Single2String(Table1[[#This Row],[grn and red ctrace]])</f>
        <v>432CFFB2</v>
      </c>
      <c r="S51">
        <v>49</v>
      </c>
      <c r="T51" t="str">
        <f>DEC2HEX(Table1[[#This Row],[ZMW num]])</f>
        <v>31</v>
      </c>
      <c r="U51">
        <f>Table1[[#This Row],[ZMW num]]+1</f>
        <v>50</v>
      </c>
      <c r="V51">
        <v>4</v>
      </c>
      <c r="W51">
        <f t="shared" si="0"/>
        <v>58</v>
      </c>
      <c r="X51">
        <v>99</v>
      </c>
      <c r="Y51">
        <v>156</v>
      </c>
      <c r="Z51">
        <f>MOD(Table1[[#This Row],[ZMW num]], 2^8)</f>
        <v>49</v>
      </c>
      <c r="AA51">
        <f xml:space="preserve"> String2Single(Table1[[#This Row],[t ISIM hex]] &amp; "00")</f>
        <v>50</v>
      </c>
      <c r="AB51">
        <f>'Pulse data'!O54</f>
        <v>0</v>
      </c>
      <c r="AC51">
        <f>Table1[[#This Row],[ZMW num]]*0.01</f>
        <v>0.49</v>
      </c>
      <c r="AD51">
        <f>1+Table1[[#This Row],[t bias]]</f>
        <v>1.49</v>
      </c>
      <c r="AE51">
        <f>Table1[[#This Row],[t kinetic trace]]* String2Single(CONCATENATE(Table1[[#This Row],[t gain hex]], "00")) + String2Single(CONCATENATE(Table1[[#This Row],[t bias hex]], "00"))</f>
        <v>0.48999786376953125</v>
      </c>
      <c r="AF51">
        <f xml:space="preserve"> Table1[[#This Row],[t ptrace]]*Table1[[#This Row],[ISM]]</f>
        <v>24.499893188476563</v>
      </c>
      <c r="AG51">
        <f>'Pulse data'!N54</f>
        <v>0</v>
      </c>
      <c r="AH51">
        <f>Table1[[#This Row],[t bias]]+0.5</f>
        <v>0.99</v>
      </c>
      <c r="AI51">
        <f>Table1[[#This Row],[t gain]]/2</f>
        <v>0.745</v>
      </c>
      <c r="AJ51">
        <f>Table1[[#This Row],[g kinetic trace]]* String2Single(CONCATENATE(Table1[[#This Row],[g gain hex]], "00")) + String2Single(CONCATENATE(Table1[[#This Row],[g bias hex]], "00"))</f>
        <v>0.989990234375</v>
      </c>
      <c r="AK51">
        <f xml:space="preserve"> Table1[[#This Row],[g ptrace]]*Table1[[#This Row],[ISM]]</f>
        <v>49.49951171875</v>
      </c>
      <c r="AL51">
        <f>'Pulse data'!M54</f>
        <v>0</v>
      </c>
      <c r="AM51">
        <f>Table1[[#This Row],[t bias]]+1</f>
        <v>1.49</v>
      </c>
      <c r="AN51">
        <f>Table1[[#This Row],[t gain]]-0.5</f>
        <v>0.99</v>
      </c>
      <c r="AO51">
        <f>Table1[[#This Row],[a kinetic trace]]* String2Single(CONCATENATE(Table1[[#This Row],[a gain hex]], "00")) + String2Single(CONCATENATE(Table1[[#This Row],[a bias hex]], "00"))</f>
        <v>1.489990234375</v>
      </c>
      <c r="AP51">
        <f xml:space="preserve"> Table1[[#This Row],[a ptrace]]*Table1[[#This Row],[ISM]]</f>
        <v>74.49951171875</v>
      </c>
      <c r="AQ51">
        <f>'Pulse data'!L54</f>
        <v>0</v>
      </c>
      <c r="AR51">
        <f>Table1[[#This Row],[t bias]]</f>
        <v>0.49</v>
      </c>
      <c r="AS51">
        <f>Table1[[#This Row],[t gain]]</f>
        <v>1.49</v>
      </c>
      <c r="AT51">
        <f>Table1[[#This Row],[c kinetic trace]]* String2Single(CONCATENATE(Table1[[#This Row],[c gain hex]], "00")) + String2Single(CONCATENATE(Table1[[#This Row],[c bias hex]], "00"))</f>
        <v>0.48999786376953125</v>
      </c>
      <c r="AU51">
        <f xml:space="preserve"> Table1[[#This Row],[c ptrace]]*Table1[[#This Row],[ISM]]</f>
        <v>24.499893188476563</v>
      </c>
      <c r="AV51">
        <f xml:space="preserve"> Table1[[#This Row],[t ctrace]] + Table1[[#This Row],[g ctrace]] + Table1[[#This Row],[a ctrace]] + Table1[[#This Row],[c ctrace]]</f>
        <v>172.99880981445312</v>
      </c>
      <c r="AW51" s="2" t="str">
        <f>DEC2HEX(Table1[[#This Row],[row]], 3)</f>
        <v>004</v>
      </c>
      <c r="AX51" s="1" t="str">
        <f>DEC2HEX(Table1[[#This Row],[col]], 3)</f>
        <v>03A</v>
      </c>
      <c r="AY51" s="1" t="str">
        <f>DEC2HEX(Table1[[#This Row],[grn fsp idx]], 2)</f>
        <v>63</v>
      </c>
      <c r="AZ51" s="1" t="str">
        <f>DEC2HEX(Table1[[#This Row],[red fsp idx]], 2)</f>
        <v>9C</v>
      </c>
      <c r="BA51" s="1" t="str">
        <f>DEC2HEX(Table1[[#This Row],[ISMI]], 2)</f>
        <v>31</v>
      </c>
      <c r="BB51" s="1">
        <f>LEN(Table1[[#This Row],[DRAM data]])</f>
        <v>64</v>
      </c>
      <c r="BC5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00403A639C313EFAE13FBEB83F7D703F3EB83FBEB83F7D703EFAE13FBEB80002</v>
      </c>
      <c r="BV51"/>
    </row>
    <row r="52" spans="1:74" x14ac:dyDescent="0.25">
      <c r="A52" s="1" t="str">
        <f xml:space="preserve"> LEFT(Sng2String(Table1[[#This Row],[c bias]]), 6)</f>
        <v>3F0000</v>
      </c>
      <c r="B52" s="1" t="str">
        <f xml:space="preserve"> LEFT(Sng2String(Table1[[#This Row],[a bias]]), 6)</f>
        <v>3FC000</v>
      </c>
      <c r="C52" s="1" t="str">
        <f xml:space="preserve"> LEFT(Sng2String(Table1[[#This Row],[g bias]]), 6)</f>
        <v>3F8000</v>
      </c>
      <c r="D52" s="1" t="str">
        <f xml:space="preserve"> LEFT(Sng2String(Table1[[#This Row],[t bias]]), 6)</f>
        <v>3F0000</v>
      </c>
      <c r="E52" s="1" t="str">
        <f xml:space="preserve"> LEFT(Sng2String(Table1[[#This Row],[c gain]]), 6)</f>
        <v>3FC000</v>
      </c>
      <c r="F52" s="1" t="str">
        <f xml:space="preserve"> LEFT(Sng2String(Table1[[#This Row],[a gain]]), 6)</f>
        <v>3F8000</v>
      </c>
      <c r="G52" s="1" t="str">
        <f xml:space="preserve"> LEFT(Sng2String(Table1[[#This Row],[g gain]]), 6)</f>
        <v>3F4000</v>
      </c>
      <c r="H52" s="1" t="str">
        <f xml:space="preserve"> LEFT(Sng2String(Table1[[#This Row],[t gain]]), 6)</f>
        <v>3FC000</v>
      </c>
      <c r="I52" t="str">
        <f xml:space="preserve"> Sng2String(Table1[[#This Row],[c ptrace]])</f>
        <v>3F000000</v>
      </c>
      <c r="J52" t="str">
        <f xml:space="preserve"> Sng2String(Table1[[#This Row],[a ptrace]])</f>
        <v>3FC00000</v>
      </c>
      <c r="K52" t="str">
        <f xml:space="preserve"> Sng2String(Table1[[#This Row],[g ptrace]])</f>
        <v>3F800000</v>
      </c>
      <c r="L52" t="str">
        <f>Sng2String(Table1[[#This Row],[t ptrace]])</f>
        <v>3F000000</v>
      </c>
      <c r="M52" t="str">
        <f xml:space="preserve"> INDEX(SmallFP!$A$1:$A$256, Table1[[#This Row],[ISMI]]+1)</f>
        <v>424C00</v>
      </c>
      <c r="N52" t="str">
        <f>Single2String(Table1[[#This Row],[c ctrace]])</f>
        <v>41CC0000</v>
      </c>
      <c r="O52" t="str">
        <f>Single2String(Table1[[#This Row],[a ctrace]])</f>
        <v>42990000</v>
      </c>
      <c r="P52" t="str">
        <f xml:space="preserve"> Single2String(Table1[[#This Row],[g ctrace]])</f>
        <v>424C0000</v>
      </c>
      <c r="Q52" t="str">
        <f xml:space="preserve"> Single2String(Table1[[#This Row],[t ctrace]])</f>
        <v>41CC0000</v>
      </c>
      <c r="R52" t="str">
        <f>Single2String(Table1[[#This Row],[grn and red ctrace]])</f>
        <v>43328000</v>
      </c>
      <c r="S52">
        <v>50</v>
      </c>
      <c r="T52" t="str">
        <f>DEC2HEX(Table1[[#This Row],[ZMW num]])</f>
        <v>32</v>
      </c>
      <c r="U52">
        <f>Table1[[#This Row],[ZMW num]]+1</f>
        <v>51</v>
      </c>
      <c r="V52">
        <v>4</v>
      </c>
      <c r="W52">
        <f t="shared" si="0"/>
        <v>61</v>
      </c>
      <c r="X52">
        <v>101</v>
      </c>
      <c r="Y52">
        <v>154</v>
      </c>
      <c r="Z52">
        <f>MOD(Table1[[#This Row],[ZMW num]], 2^8)</f>
        <v>50</v>
      </c>
      <c r="AA52">
        <f xml:space="preserve"> String2Single(Table1[[#This Row],[t ISIM hex]] &amp; "00")</f>
        <v>51</v>
      </c>
      <c r="AB52">
        <f>'Pulse data'!O55</f>
        <v>0</v>
      </c>
      <c r="AC52">
        <f>Table1[[#This Row],[ZMW num]]*0.01</f>
        <v>0.5</v>
      </c>
      <c r="AD52">
        <f>1+Table1[[#This Row],[t bias]]</f>
        <v>1.5</v>
      </c>
      <c r="AE52">
        <f>Table1[[#This Row],[t kinetic trace]]* String2Single(CONCATENATE(Table1[[#This Row],[t gain hex]], "00")) + String2Single(CONCATENATE(Table1[[#This Row],[t bias hex]], "00"))</f>
        <v>0.5</v>
      </c>
      <c r="AF52">
        <f xml:space="preserve"> Table1[[#This Row],[t ptrace]]*Table1[[#This Row],[ISM]]</f>
        <v>25.5</v>
      </c>
      <c r="AG52">
        <f>'Pulse data'!N55</f>
        <v>0</v>
      </c>
      <c r="AH52">
        <f>Table1[[#This Row],[t bias]]+0.5</f>
        <v>1</v>
      </c>
      <c r="AI52">
        <f>Table1[[#This Row],[t gain]]/2</f>
        <v>0.75</v>
      </c>
      <c r="AJ52">
        <f>Table1[[#This Row],[g kinetic trace]]* String2Single(CONCATENATE(Table1[[#This Row],[g gain hex]], "00")) + String2Single(CONCATENATE(Table1[[#This Row],[g bias hex]], "00"))</f>
        <v>1</v>
      </c>
      <c r="AK52">
        <f xml:space="preserve"> Table1[[#This Row],[g ptrace]]*Table1[[#This Row],[ISM]]</f>
        <v>51</v>
      </c>
      <c r="AL52">
        <f>'Pulse data'!M55</f>
        <v>0</v>
      </c>
      <c r="AM52">
        <f>Table1[[#This Row],[t bias]]+1</f>
        <v>1.5</v>
      </c>
      <c r="AN52">
        <f>Table1[[#This Row],[t gain]]-0.5</f>
        <v>1</v>
      </c>
      <c r="AO52">
        <f>Table1[[#This Row],[a kinetic trace]]* String2Single(CONCATENATE(Table1[[#This Row],[a gain hex]], "00")) + String2Single(CONCATENATE(Table1[[#This Row],[a bias hex]], "00"))</f>
        <v>1.5</v>
      </c>
      <c r="AP52">
        <f xml:space="preserve"> Table1[[#This Row],[a ptrace]]*Table1[[#This Row],[ISM]]</f>
        <v>76.5</v>
      </c>
      <c r="AQ52">
        <f>'Pulse data'!L55</f>
        <v>0</v>
      </c>
      <c r="AR52">
        <f>Table1[[#This Row],[t bias]]</f>
        <v>0.5</v>
      </c>
      <c r="AS52">
        <f>Table1[[#This Row],[t gain]]</f>
        <v>1.5</v>
      </c>
      <c r="AT52">
        <f>Table1[[#This Row],[c kinetic trace]]* String2Single(CONCATENATE(Table1[[#This Row],[c gain hex]], "00")) + String2Single(CONCATENATE(Table1[[#This Row],[c bias hex]], "00"))</f>
        <v>0.5</v>
      </c>
      <c r="AU52">
        <f xml:space="preserve"> Table1[[#This Row],[c ptrace]]*Table1[[#This Row],[ISM]]</f>
        <v>25.5</v>
      </c>
      <c r="AV52">
        <f xml:space="preserve"> Table1[[#This Row],[t ctrace]] + Table1[[#This Row],[g ctrace]] + Table1[[#This Row],[a ctrace]] + Table1[[#This Row],[c ctrace]]</f>
        <v>178.5</v>
      </c>
      <c r="AW52" s="2" t="str">
        <f>DEC2HEX(Table1[[#This Row],[row]], 3)</f>
        <v>004</v>
      </c>
      <c r="AX52" s="1" t="str">
        <f>DEC2HEX(Table1[[#This Row],[col]], 3)</f>
        <v>03D</v>
      </c>
      <c r="AY52" s="1" t="str">
        <f>DEC2HEX(Table1[[#This Row],[grn fsp idx]], 2)</f>
        <v>65</v>
      </c>
      <c r="AZ52" s="1" t="str">
        <f>DEC2HEX(Table1[[#This Row],[red fsp idx]], 2)</f>
        <v>9A</v>
      </c>
      <c r="BA52" s="1" t="str">
        <f>DEC2HEX(Table1[[#This Row],[ISMI]], 2)</f>
        <v>32</v>
      </c>
      <c r="BB52" s="1">
        <f>LEN(Table1[[#This Row],[DRAM data]])</f>
        <v>64</v>
      </c>
      <c r="BC5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00403D659A323F00003FC0003F80003F40003FC0003F80003F00003FC0000002</v>
      </c>
      <c r="BV52"/>
    </row>
    <row r="53" spans="1:74" x14ac:dyDescent="0.25">
      <c r="A53" s="1" t="str">
        <f xml:space="preserve"> LEFT(Sng2String(Table1[[#This Row],[c bias]]), 6)</f>
        <v>3F028F</v>
      </c>
      <c r="B53" s="1" t="str">
        <f xml:space="preserve"> LEFT(Sng2String(Table1[[#This Row],[a bias]]), 6)</f>
        <v>3FC147</v>
      </c>
      <c r="C53" s="1" t="str">
        <f xml:space="preserve"> LEFT(Sng2String(Table1[[#This Row],[g bias]]), 6)</f>
        <v>3F8147</v>
      </c>
      <c r="D53" s="1" t="str">
        <f xml:space="preserve"> LEFT(Sng2String(Table1[[#This Row],[t bias]]), 6)</f>
        <v>3F028F</v>
      </c>
      <c r="E53" s="1" t="str">
        <f xml:space="preserve"> LEFT(Sng2String(Table1[[#This Row],[c gain]]), 6)</f>
        <v>3FC147</v>
      </c>
      <c r="F53" s="1" t="str">
        <f xml:space="preserve"> LEFT(Sng2String(Table1[[#This Row],[a gain]]), 6)</f>
        <v>3F8147</v>
      </c>
      <c r="G53" s="1" t="str">
        <f xml:space="preserve"> LEFT(Sng2String(Table1[[#This Row],[g gain]]), 6)</f>
        <v>3F4147</v>
      </c>
      <c r="H53" s="1" t="str">
        <f xml:space="preserve"> LEFT(Sng2String(Table1[[#This Row],[t gain]]), 6)</f>
        <v>3FC147</v>
      </c>
      <c r="I53" t="str">
        <f xml:space="preserve"> Sng2String(Table1[[#This Row],[c ptrace]])</f>
        <v>3F028F00</v>
      </c>
      <c r="J53" t="str">
        <f xml:space="preserve"> Sng2String(Table1[[#This Row],[a ptrace]])</f>
        <v>3FC14700</v>
      </c>
      <c r="K53" t="str">
        <f xml:space="preserve"> Sng2String(Table1[[#This Row],[g ptrace]])</f>
        <v>3F814700</v>
      </c>
      <c r="L53" t="str">
        <f>Sng2String(Table1[[#This Row],[t ptrace]])</f>
        <v>3F028F00</v>
      </c>
      <c r="M53" t="str">
        <f xml:space="preserve"> INDEX(SmallFP!$A$1:$A$256, Table1[[#This Row],[ISMI]]+1)</f>
        <v>425000</v>
      </c>
      <c r="N53" t="str">
        <f>Single2String(Table1[[#This Row],[c ctrace]])</f>
        <v>41D42860</v>
      </c>
      <c r="O53" t="str">
        <f>Single2String(Table1[[#This Row],[a ctrace]])</f>
        <v>429D09B0</v>
      </c>
      <c r="P53" t="str">
        <f xml:space="preserve"> Single2String(Table1[[#This Row],[g ctrace]])</f>
        <v>42521360</v>
      </c>
      <c r="Q53" t="str">
        <f xml:space="preserve"> Single2String(Table1[[#This Row],[t ctrace]])</f>
        <v>41D42860</v>
      </c>
      <c r="R53" t="str">
        <f>Single2String(Table1[[#This Row],[grn and red ctrace]])</f>
        <v>433813C8</v>
      </c>
      <c r="S53">
        <v>51</v>
      </c>
      <c r="T53" t="str">
        <f>DEC2HEX(Table1[[#This Row],[ZMW num]])</f>
        <v>33</v>
      </c>
      <c r="U53">
        <f>Table1[[#This Row],[ZMW num]]+1</f>
        <v>52</v>
      </c>
      <c r="V53">
        <v>4</v>
      </c>
      <c r="W53">
        <f t="shared" si="0"/>
        <v>65</v>
      </c>
      <c r="X53">
        <v>103</v>
      </c>
      <c r="Y53">
        <v>152</v>
      </c>
      <c r="Z53">
        <f>MOD(Table1[[#This Row],[ZMW num]], 2^8)</f>
        <v>51</v>
      </c>
      <c r="AA53">
        <f xml:space="preserve"> String2Single(Table1[[#This Row],[t ISIM hex]] &amp; "00")</f>
        <v>52</v>
      </c>
      <c r="AB53">
        <f>'Pulse data'!O56</f>
        <v>0</v>
      </c>
      <c r="AC53">
        <f>Table1[[#This Row],[ZMW num]]*0.01</f>
        <v>0.51</v>
      </c>
      <c r="AD53">
        <f>1+Table1[[#This Row],[t bias]]</f>
        <v>1.51</v>
      </c>
      <c r="AE53">
        <f>Table1[[#This Row],[t kinetic trace]]* String2Single(CONCATENATE(Table1[[#This Row],[t gain hex]], "00")) + String2Single(CONCATENATE(Table1[[#This Row],[t bias hex]], "00"))</f>
        <v>0.5099945068359375</v>
      </c>
      <c r="AF53">
        <f xml:space="preserve"> Table1[[#This Row],[t ptrace]]*Table1[[#This Row],[ISM]]</f>
        <v>26.51971435546875</v>
      </c>
      <c r="AG53">
        <f>'Pulse data'!N56</f>
        <v>0</v>
      </c>
      <c r="AH53">
        <f>Table1[[#This Row],[t bias]]+0.5</f>
        <v>1.01</v>
      </c>
      <c r="AI53">
        <f>Table1[[#This Row],[t gain]]/2</f>
        <v>0.755</v>
      </c>
      <c r="AJ53">
        <f>Table1[[#This Row],[g kinetic trace]]* String2Single(CONCATENATE(Table1[[#This Row],[g gain hex]], "00")) + String2Single(CONCATENATE(Table1[[#This Row],[g bias hex]], "00"))</f>
        <v>1.009979248046875</v>
      </c>
      <c r="AK53">
        <f xml:space="preserve"> Table1[[#This Row],[g ptrace]]*Table1[[#This Row],[ISM]]</f>
        <v>52.5189208984375</v>
      </c>
      <c r="AL53">
        <f>'Pulse data'!M56</f>
        <v>0</v>
      </c>
      <c r="AM53">
        <f>Table1[[#This Row],[t bias]]+1</f>
        <v>1.51</v>
      </c>
      <c r="AN53">
        <f>Table1[[#This Row],[t gain]]-0.5</f>
        <v>1.01</v>
      </c>
      <c r="AO53">
        <f>Table1[[#This Row],[a kinetic trace]]* String2Single(CONCATENATE(Table1[[#This Row],[a gain hex]], "00")) + String2Single(CONCATENATE(Table1[[#This Row],[a bias hex]], "00"))</f>
        <v>1.509979248046875</v>
      </c>
      <c r="AP53">
        <f xml:space="preserve"> Table1[[#This Row],[a ptrace]]*Table1[[#This Row],[ISM]]</f>
        <v>78.5189208984375</v>
      </c>
      <c r="AQ53">
        <f>'Pulse data'!L56</f>
        <v>0</v>
      </c>
      <c r="AR53">
        <f>Table1[[#This Row],[t bias]]</f>
        <v>0.51</v>
      </c>
      <c r="AS53">
        <f>Table1[[#This Row],[t gain]]</f>
        <v>1.51</v>
      </c>
      <c r="AT53">
        <f>Table1[[#This Row],[c kinetic trace]]* String2Single(CONCATENATE(Table1[[#This Row],[c gain hex]], "00")) + String2Single(CONCATENATE(Table1[[#This Row],[c bias hex]], "00"))</f>
        <v>0.5099945068359375</v>
      </c>
      <c r="AU53">
        <f xml:space="preserve"> Table1[[#This Row],[c ptrace]]*Table1[[#This Row],[ISM]]</f>
        <v>26.51971435546875</v>
      </c>
      <c r="AV53">
        <f xml:space="preserve"> Table1[[#This Row],[t ctrace]] + Table1[[#This Row],[g ctrace]] + Table1[[#This Row],[a ctrace]] + Table1[[#This Row],[c ctrace]]</f>
        <v>184.0772705078125</v>
      </c>
      <c r="AW53" s="2" t="str">
        <f>DEC2HEX(Table1[[#This Row],[row]], 3)</f>
        <v>004</v>
      </c>
      <c r="AX53" s="1" t="str">
        <f>DEC2HEX(Table1[[#This Row],[col]], 3)</f>
        <v>041</v>
      </c>
      <c r="AY53" s="1" t="str">
        <f>DEC2HEX(Table1[[#This Row],[grn fsp idx]], 2)</f>
        <v>67</v>
      </c>
      <c r="AZ53" s="1" t="str">
        <f>DEC2HEX(Table1[[#This Row],[red fsp idx]], 2)</f>
        <v>98</v>
      </c>
      <c r="BA53" s="1" t="str">
        <f>DEC2HEX(Table1[[#This Row],[ISMI]], 2)</f>
        <v>33</v>
      </c>
      <c r="BB53" s="1">
        <f>LEN(Table1[[#This Row],[DRAM data]])</f>
        <v>64</v>
      </c>
      <c r="BC5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0040416798333F028F3FC1473F81473F41473FC1473F81473F028F3FC1470002</v>
      </c>
      <c r="BV53"/>
    </row>
    <row r="54" spans="1:74" x14ac:dyDescent="0.25">
      <c r="A54" s="1" t="str">
        <f xml:space="preserve"> LEFT(Sng2String(Table1[[#This Row],[c bias]]), 6)</f>
        <v>3F051E</v>
      </c>
      <c r="B54" s="1" t="str">
        <f xml:space="preserve"> LEFT(Sng2String(Table1[[#This Row],[a bias]]), 6)</f>
        <v>3FC28F</v>
      </c>
      <c r="C54" s="1" t="str">
        <f xml:space="preserve"> LEFT(Sng2String(Table1[[#This Row],[g bias]]), 6)</f>
        <v>3F828F</v>
      </c>
      <c r="D54" s="1" t="str">
        <f xml:space="preserve"> LEFT(Sng2String(Table1[[#This Row],[t bias]]), 6)</f>
        <v>3F051E</v>
      </c>
      <c r="E54" s="1" t="str">
        <f xml:space="preserve"> LEFT(Sng2String(Table1[[#This Row],[c gain]]), 6)</f>
        <v>3FC28F</v>
      </c>
      <c r="F54" s="1" t="str">
        <f xml:space="preserve"> LEFT(Sng2String(Table1[[#This Row],[a gain]]), 6)</f>
        <v>3F828F</v>
      </c>
      <c r="G54" s="1" t="str">
        <f xml:space="preserve"> LEFT(Sng2String(Table1[[#This Row],[g gain]]), 6)</f>
        <v>3F428F</v>
      </c>
      <c r="H54" s="1" t="str">
        <f xml:space="preserve"> LEFT(Sng2String(Table1[[#This Row],[t gain]]), 6)</f>
        <v>3FC28F</v>
      </c>
      <c r="I54" t="str">
        <f xml:space="preserve"> Sng2String(Table1[[#This Row],[c ptrace]])</f>
        <v>3F051E00</v>
      </c>
      <c r="J54" t="str">
        <f xml:space="preserve"> Sng2String(Table1[[#This Row],[a ptrace]])</f>
        <v>3FC28F00</v>
      </c>
      <c r="K54" t="str">
        <f xml:space="preserve"> Sng2String(Table1[[#This Row],[g ptrace]])</f>
        <v>3F828F00</v>
      </c>
      <c r="L54" t="str">
        <f>Sng2String(Table1[[#This Row],[t ptrace]])</f>
        <v>3F051E00</v>
      </c>
      <c r="M54" t="str">
        <f xml:space="preserve"> INDEX(SmallFP!$A$1:$A$256, Table1[[#This Row],[ISMI]]+1)</f>
        <v>425400</v>
      </c>
      <c r="N54" t="str">
        <f>Single2String(Table1[[#This Row],[c ctrace]])</f>
        <v>41DC79B0</v>
      </c>
      <c r="O54" t="str">
        <f>Single2String(Table1[[#This Row],[a ctrace]])</f>
        <v>42A11E6C</v>
      </c>
      <c r="P54" t="str">
        <f xml:space="preserve"> Single2String(Table1[[#This Row],[g ctrace]])</f>
        <v>42583CD8</v>
      </c>
      <c r="Q54" t="str">
        <f xml:space="preserve"> Single2String(Table1[[#This Row],[t ctrace]])</f>
        <v>41DC79B0</v>
      </c>
      <c r="R54" t="str">
        <f>Single2String(Table1[[#This Row],[grn and red ctrace]])</f>
        <v>433DBCD8</v>
      </c>
      <c r="S54">
        <v>52</v>
      </c>
      <c r="T54" t="str">
        <f>DEC2HEX(Table1[[#This Row],[ZMW num]])</f>
        <v>34</v>
      </c>
      <c r="U54">
        <f>Table1[[#This Row],[ZMW num]]+1</f>
        <v>53</v>
      </c>
      <c r="V54">
        <v>4</v>
      </c>
      <c r="W54">
        <f t="shared" si="0"/>
        <v>67</v>
      </c>
      <c r="X54">
        <v>105</v>
      </c>
      <c r="Y54">
        <v>150</v>
      </c>
      <c r="Z54">
        <f>MOD(Table1[[#This Row],[ZMW num]], 2^8)</f>
        <v>52</v>
      </c>
      <c r="AA54">
        <f xml:space="preserve"> String2Single(Table1[[#This Row],[t ISIM hex]] &amp; "00")</f>
        <v>53</v>
      </c>
      <c r="AB54">
        <f>'Pulse data'!O57</f>
        <v>0</v>
      </c>
      <c r="AC54">
        <f>Table1[[#This Row],[ZMW num]]*0.01</f>
        <v>0.52</v>
      </c>
      <c r="AD54">
        <f>1+Table1[[#This Row],[t bias]]</f>
        <v>1.52</v>
      </c>
      <c r="AE54">
        <f>Table1[[#This Row],[t kinetic trace]]* String2Single(CONCATENATE(Table1[[#This Row],[t gain hex]], "00")) + String2Single(CONCATENATE(Table1[[#This Row],[t bias hex]], "00"))</f>
        <v>0.519989013671875</v>
      </c>
      <c r="AF54">
        <f xml:space="preserve"> Table1[[#This Row],[t ptrace]]*Table1[[#This Row],[ISM]]</f>
        <v>27.559417724609375</v>
      </c>
      <c r="AG54">
        <f>'Pulse data'!N57</f>
        <v>0</v>
      </c>
      <c r="AH54">
        <f>Table1[[#This Row],[t bias]]+0.5</f>
        <v>1.02</v>
      </c>
      <c r="AI54">
        <f>Table1[[#This Row],[t gain]]/2</f>
        <v>0.76</v>
      </c>
      <c r="AJ54">
        <f>Table1[[#This Row],[g kinetic trace]]* String2Single(CONCATENATE(Table1[[#This Row],[g gain hex]], "00")) + String2Single(CONCATENATE(Table1[[#This Row],[g bias hex]], "00"))</f>
        <v>1.019989013671875</v>
      </c>
      <c r="AK54">
        <f xml:space="preserve"> Table1[[#This Row],[g ptrace]]*Table1[[#This Row],[ISM]]</f>
        <v>54.059417724609375</v>
      </c>
      <c r="AL54">
        <f>'Pulse data'!M57</f>
        <v>0</v>
      </c>
      <c r="AM54">
        <f>Table1[[#This Row],[t bias]]+1</f>
        <v>1.52</v>
      </c>
      <c r="AN54">
        <f>Table1[[#This Row],[t gain]]-0.5</f>
        <v>1.02</v>
      </c>
      <c r="AO54">
        <f>Table1[[#This Row],[a kinetic trace]]* String2Single(CONCATENATE(Table1[[#This Row],[a gain hex]], "00")) + String2Single(CONCATENATE(Table1[[#This Row],[a bias hex]], "00"))</f>
        <v>1.519989013671875</v>
      </c>
      <c r="AP54">
        <f xml:space="preserve"> Table1[[#This Row],[a ptrace]]*Table1[[#This Row],[ISM]]</f>
        <v>80.559417724609375</v>
      </c>
      <c r="AQ54">
        <f>'Pulse data'!L57</f>
        <v>0</v>
      </c>
      <c r="AR54">
        <f>Table1[[#This Row],[t bias]]</f>
        <v>0.52</v>
      </c>
      <c r="AS54">
        <f>Table1[[#This Row],[t gain]]</f>
        <v>1.52</v>
      </c>
      <c r="AT54">
        <f>Table1[[#This Row],[c kinetic trace]]* String2Single(CONCATENATE(Table1[[#This Row],[c gain hex]], "00")) + String2Single(CONCATENATE(Table1[[#This Row],[c bias hex]], "00"))</f>
        <v>0.519989013671875</v>
      </c>
      <c r="AU54">
        <f xml:space="preserve"> Table1[[#This Row],[c ptrace]]*Table1[[#This Row],[ISM]]</f>
        <v>27.559417724609375</v>
      </c>
      <c r="AV54">
        <f xml:space="preserve"> Table1[[#This Row],[t ctrace]] + Table1[[#This Row],[g ctrace]] + Table1[[#This Row],[a ctrace]] + Table1[[#This Row],[c ctrace]]</f>
        <v>189.7376708984375</v>
      </c>
      <c r="AW54" s="2" t="str">
        <f>DEC2HEX(Table1[[#This Row],[row]], 3)</f>
        <v>004</v>
      </c>
      <c r="AX54" s="1" t="str">
        <f>DEC2HEX(Table1[[#This Row],[col]], 3)</f>
        <v>043</v>
      </c>
      <c r="AY54" s="1" t="str">
        <f>DEC2HEX(Table1[[#This Row],[grn fsp idx]], 2)</f>
        <v>69</v>
      </c>
      <c r="AZ54" s="1" t="str">
        <f>DEC2HEX(Table1[[#This Row],[red fsp idx]], 2)</f>
        <v>96</v>
      </c>
      <c r="BA54" s="1" t="str">
        <f>DEC2HEX(Table1[[#This Row],[ISMI]], 2)</f>
        <v>34</v>
      </c>
      <c r="BB54" s="1">
        <f>LEN(Table1[[#This Row],[DRAM data]])</f>
        <v>64</v>
      </c>
      <c r="BC5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0040436996343F051E3FC28F3F828F3F428F3FC28F3F828F3F051E3FC28F0002</v>
      </c>
      <c r="BV54"/>
    </row>
    <row r="55" spans="1:74" x14ac:dyDescent="0.25">
      <c r="A55" s="1" t="str">
        <f xml:space="preserve"> LEFT(Sng2String(Table1[[#This Row],[c bias]]), 6)</f>
        <v>3F07AE</v>
      </c>
      <c r="B55" s="1" t="str">
        <f xml:space="preserve"> LEFT(Sng2String(Table1[[#This Row],[a bias]]), 6)</f>
        <v>3FC3D7</v>
      </c>
      <c r="C55" s="1" t="str">
        <f xml:space="preserve"> LEFT(Sng2String(Table1[[#This Row],[g bias]]), 6)</f>
        <v>3F83D7</v>
      </c>
      <c r="D55" s="1" t="str">
        <f xml:space="preserve"> LEFT(Sng2String(Table1[[#This Row],[t bias]]), 6)</f>
        <v>3F07AE</v>
      </c>
      <c r="E55" s="1" t="str">
        <f xml:space="preserve"> LEFT(Sng2String(Table1[[#This Row],[c gain]]), 6)</f>
        <v>3FC3D7</v>
      </c>
      <c r="F55" s="1" t="str">
        <f xml:space="preserve"> LEFT(Sng2String(Table1[[#This Row],[a gain]]), 6)</f>
        <v>3F83D7</v>
      </c>
      <c r="G55" s="1" t="str">
        <f xml:space="preserve"> LEFT(Sng2String(Table1[[#This Row],[g gain]]), 6)</f>
        <v>3F43D7</v>
      </c>
      <c r="H55" s="1" t="str">
        <f xml:space="preserve"> LEFT(Sng2String(Table1[[#This Row],[t gain]]), 6)</f>
        <v>3FC3D7</v>
      </c>
      <c r="I55" t="str">
        <f xml:space="preserve"> Sng2String(Table1[[#This Row],[c ptrace]])</f>
        <v>3F07AE00</v>
      </c>
      <c r="J55" t="str">
        <f xml:space="preserve"> Sng2String(Table1[[#This Row],[a ptrace]])</f>
        <v>3FC3D700</v>
      </c>
      <c r="K55" t="str">
        <f xml:space="preserve"> Sng2String(Table1[[#This Row],[g ptrace]])</f>
        <v>3F83D700</v>
      </c>
      <c r="L55" t="str">
        <f>Sng2String(Table1[[#This Row],[t ptrace]])</f>
        <v>3F07AE00</v>
      </c>
      <c r="M55" t="str">
        <f xml:space="preserve"> INDEX(SmallFP!$A$1:$A$256, Table1[[#This Row],[ISMI]]+1)</f>
        <v>425800</v>
      </c>
      <c r="N55" t="str">
        <f>Single2String(Table1[[#This Row],[c ctrace]])</f>
        <v>41E4F5A0</v>
      </c>
      <c r="O55" t="str">
        <f>Single2String(Table1[[#This Row],[a ctrace]])</f>
        <v>42A53D68</v>
      </c>
      <c r="P55" t="str">
        <f xml:space="preserve"> Single2String(Table1[[#This Row],[g ctrace]])</f>
        <v>425E7AD0</v>
      </c>
      <c r="Q55" t="str">
        <f xml:space="preserve"> Single2String(Table1[[#This Row],[t ctrace]])</f>
        <v>41E4F5A0</v>
      </c>
      <c r="R55" t="str">
        <f>Single2String(Table1[[#This Row],[grn and red ctrace]])</f>
        <v>43437AD0</v>
      </c>
      <c r="S55">
        <v>53</v>
      </c>
      <c r="T55" t="str">
        <f>DEC2HEX(Table1[[#This Row],[ZMW num]])</f>
        <v>35</v>
      </c>
      <c r="U55">
        <f>Table1[[#This Row],[ZMW num]]+1</f>
        <v>54</v>
      </c>
      <c r="V55">
        <v>4</v>
      </c>
      <c r="W55">
        <f t="shared" si="0"/>
        <v>70</v>
      </c>
      <c r="X55">
        <v>107</v>
      </c>
      <c r="Y55">
        <v>148</v>
      </c>
      <c r="Z55">
        <f>MOD(Table1[[#This Row],[ZMW num]], 2^8)</f>
        <v>53</v>
      </c>
      <c r="AA55">
        <f xml:space="preserve"> String2Single(Table1[[#This Row],[t ISIM hex]] &amp; "00")</f>
        <v>54</v>
      </c>
      <c r="AB55">
        <f>'Pulse data'!O58</f>
        <v>0</v>
      </c>
      <c r="AC55">
        <f>Table1[[#This Row],[ZMW num]]*0.01</f>
        <v>0.53</v>
      </c>
      <c r="AD55">
        <f>1+Table1[[#This Row],[t bias]]</f>
        <v>1.53</v>
      </c>
      <c r="AE55">
        <f>Table1[[#This Row],[t kinetic trace]]* String2Single(CONCATENATE(Table1[[#This Row],[t gain hex]], "00")) + String2Single(CONCATENATE(Table1[[#This Row],[t bias hex]], "00"))</f>
        <v>0.529998779296875</v>
      </c>
      <c r="AF55">
        <f xml:space="preserve"> Table1[[#This Row],[t ptrace]]*Table1[[#This Row],[ISM]]</f>
        <v>28.61993408203125</v>
      </c>
      <c r="AG55">
        <f>'Pulse data'!N58</f>
        <v>0</v>
      </c>
      <c r="AH55">
        <f>Table1[[#This Row],[t bias]]+0.5</f>
        <v>1.03</v>
      </c>
      <c r="AI55">
        <f>Table1[[#This Row],[t gain]]/2</f>
        <v>0.76500000000000001</v>
      </c>
      <c r="AJ55">
        <f>Table1[[#This Row],[g kinetic trace]]* String2Single(CONCATENATE(Table1[[#This Row],[g gain hex]], "00")) + String2Single(CONCATENATE(Table1[[#This Row],[g bias hex]], "00"))</f>
        <v>1.029998779296875</v>
      </c>
      <c r="AK55">
        <f xml:space="preserve"> Table1[[#This Row],[g ptrace]]*Table1[[#This Row],[ISM]]</f>
        <v>55.61993408203125</v>
      </c>
      <c r="AL55">
        <f>'Pulse data'!M58</f>
        <v>0</v>
      </c>
      <c r="AM55">
        <f>Table1[[#This Row],[t bias]]+1</f>
        <v>1.53</v>
      </c>
      <c r="AN55">
        <f>Table1[[#This Row],[t gain]]-0.5</f>
        <v>1.03</v>
      </c>
      <c r="AO55">
        <f>Table1[[#This Row],[a kinetic trace]]* String2Single(CONCATENATE(Table1[[#This Row],[a gain hex]], "00")) + String2Single(CONCATENATE(Table1[[#This Row],[a bias hex]], "00"))</f>
        <v>1.529998779296875</v>
      </c>
      <c r="AP55">
        <f xml:space="preserve"> Table1[[#This Row],[a ptrace]]*Table1[[#This Row],[ISM]]</f>
        <v>82.61993408203125</v>
      </c>
      <c r="AQ55">
        <f>'Pulse data'!L58</f>
        <v>0</v>
      </c>
      <c r="AR55">
        <f>Table1[[#This Row],[t bias]]</f>
        <v>0.53</v>
      </c>
      <c r="AS55">
        <f>Table1[[#This Row],[t gain]]</f>
        <v>1.53</v>
      </c>
      <c r="AT55">
        <f>Table1[[#This Row],[c kinetic trace]]* String2Single(CONCATENATE(Table1[[#This Row],[c gain hex]], "00")) + String2Single(CONCATENATE(Table1[[#This Row],[c bias hex]], "00"))</f>
        <v>0.529998779296875</v>
      </c>
      <c r="AU55">
        <f xml:space="preserve"> Table1[[#This Row],[c ptrace]]*Table1[[#This Row],[ISM]]</f>
        <v>28.61993408203125</v>
      </c>
      <c r="AV55">
        <f xml:space="preserve"> Table1[[#This Row],[t ctrace]] + Table1[[#This Row],[g ctrace]] + Table1[[#This Row],[a ctrace]] + Table1[[#This Row],[c ctrace]]</f>
        <v>195.479736328125</v>
      </c>
      <c r="AW55" s="2" t="str">
        <f>DEC2HEX(Table1[[#This Row],[row]], 3)</f>
        <v>004</v>
      </c>
      <c r="AX55" s="1" t="str">
        <f>DEC2HEX(Table1[[#This Row],[col]], 3)</f>
        <v>046</v>
      </c>
      <c r="AY55" s="1" t="str">
        <f>DEC2HEX(Table1[[#This Row],[grn fsp idx]], 2)</f>
        <v>6B</v>
      </c>
      <c r="AZ55" s="1" t="str">
        <f>DEC2HEX(Table1[[#This Row],[red fsp idx]], 2)</f>
        <v>94</v>
      </c>
      <c r="BA55" s="1" t="str">
        <f>DEC2HEX(Table1[[#This Row],[ISMI]], 2)</f>
        <v>35</v>
      </c>
      <c r="BB55" s="1">
        <f>LEN(Table1[[#This Row],[DRAM data]])</f>
        <v>64</v>
      </c>
      <c r="BC5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0040466B94353F07AE3FC3D73F83D73F43D73FC3D73F83D73F07AE3FC3D70002</v>
      </c>
      <c r="BV55"/>
    </row>
    <row r="56" spans="1:74" x14ac:dyDescent="0.25">
      <c r="A56" s="1" t="str">
        <f xml:space="preserve"> LEFT(Sng2String(Table1[[#This Row],[c bias]]), 6)</f>
        <v>3F0A3D</v>
      </c>
      <c r="B56" s="1" t="str">
        <f xml:space="preserve"> LEFT(Sng2String(Table1[[#This Row],[a bias]]), 6)</f>
        <v>3FC51E</v>
      </c>
      <c r="C56" s="1" t="str">
        <f xml:space="preserve"> LEFT(Sng2String(Table1[[#This Row],[g bias]]), 6)</f>
        <v>3F851E</v>
      </c>
      <c r="D56" s="1" t="str">
        <f xml:space="preserve"> LEFT(Sng2String(Table1[[#This Row],[t bias]]), 6)</f>
        <v>3F0A3D</v>
      </c>
      <c r="E56" s="1" t="str">
        <f xml:space="preserve"> LEFT(Sng2String(Table1[[#This Row],[c gain]]), 6)</f>
        <v>3FC51E</v>
      </c>
      <c r="F56" s="1" t="str">
        <f xml:space="preserve"> LEFT(Sng2String(Table1[[#This Row],[a gain]]), 6)</f>
        <v>3F851E</v>
      </c>
      <c r="G56" s="1" t="str">
        <f xml:space="preserve"> LEFT(Sng2String(Table1[[#This Row],[g gain]]), 6)</f>
        <v>3F451E</v>
      </c>
      <c r="H56" s="1" t="str">
        <f xml:space="preserve"> LEFT(Sng2String(Table1[[#This Row],[t gain]]), 6)</f>
        <v>3FC51E</v>
      </c>
      <c r="I56" t="str">
        <f xml:space="preserve"> Sng2String(Table1[[#This Row],[c ptrace]])</f>
        <v>3F0A3D00</v>
      </c>
      <c r="J56" t="str">
        <f xml:space="preserve"> Sng2String(Table1[[#This Row],[a ptrace]])</f>
        <v>3FC51E00</v>
      </c>
      <c r="K56" t="str">
        <f xml:space="preserve"> Sng2String(Table1[[#This Row],[g ptrace]])</f>
        <v>3F851E00</v>
      </c>
      <c r="L56" t="str">
        <f>Sng2String(Table1[[#This Row],[t ptrace]])</f>
        <v>3F0A3D00</v>
      </c>
      <c r="M56" t="str">
        <f xml:space="preserve"> INDEX(SmallFP!$A$1:$A$256, Table1[[#This Row],[ISMI]]+1)</f>
        <v>425C00</v>
      </c>
      <c r="N56" t="str">
        <f>Single2String(Table1[[#This Row],[c ctrace]])</f>
        <v>41ED98D8</v>
      </c>
      <c r="O56" t="str">
        <f>Single2String(Table1[[#This Row],[a ctrace]])</f>
        <v>42A965C8</v>
      </c>
      <c r="P56" t="str">
        <f xml:space="preserve"> Single2String(Table1[[#This Row],[g ctrace]])</f>
        <v>4264CB90</v>
      </c>
      <c r="Q56" t="str">
        <f xml:space="preserve"> Single2String(Table1[[#This Row],[t ctrace]])</f>
        <v>41ED98D8</v>
      </c>
      <c r="R56" t="str">
        <f>Single2String(Table1[[#This Row],[grn and red ctrace]])</f>
        <v>43494BFE</v>
      </c>
      <c r="S56">
        <v>54</v>
      </c>
      <c r="T56" t="str">
        <f>DEC2HEX(Table1[[#This Row],[ZMW num]])</f>
        <v>36</v>
      </c>
      <c r="U56">
        <f>Table1[[#This Row],[ZMW num]]+1</f>
        <v>55</v>
      </c>
      <c r="V56">
        <v>4</v>
      </c>
      <c r="W56">
        <f t="shared" si="0"/>
        <v>73</v>
      </c>
      <c r="X56">
        <v>109</v>
      </c>
      <c r="Y56">
        <v>146</v>
      </c>
      <c r="Z56">
        <f>MOD(Table1[[#This Row],[ZMW num]], 2^8)</f>
        <v>54</v>
      </c>
      <c r="AA56">
        <f xml:space="preserve"> String2Single(Table1[[#This Row],[t ISIM hex]] &amp; "00")</f>
        <v>55</v>
      </c>
      <c r="AB56">
        <f>'Pulse data'!O59</f>
        <v>0</v>
      </c>
      <c r="AC56">
        <f>Table1[[#This Row],[ZMW num]]*0.01</f>
        <v>0.54</v>
      </c>
      <c r="AD56">
        <f>1+Table1[[#This Row],[t bias]]</f>
        <v>1.54</v>
      </c>
      <c r="AE56">
        <f>Table1[[#This Row],[t kinetic trace]]* String2Single(CONCATENATE(Table1[[#This Row],[t gain hex]], "00")) + String2Single(CONCATENATE(Table1[[#This Row],[t bias hex]], "00"))</f>
        <v>0.5399932861328125</v>
      </c>
      <c r="AF56">
        <f xml:space="preserve"> Table1[[#This Row],[t ptrace]]*Table1[[#This Row],[ISM]]</f>
        <v>29.699630737304688</v>
      </c>
      <c r="AG56">
        <f>'Pulse data'!N59</f>
        <v>0</v>
      </c>
      <c r="AH56">
        <f>Table1[[#This Row],[t bias]]+0.5</f>
        <v>1.04</v>
      </c>
      <c r="AI56">
        <f>Table1[[#This Row],[t gain]]/2</f>
        <v>0.77</v>
      </c>
      <c r="AJ56">
        <f>Table1[[#This Row],[g kinetic trace]]* String2Single(CONCATENATE(Table1[[#This Row],[g gain hex]], "00")) + String2Single(CONCATENATE(Table1[[#This Row],[g bias hex]], "00"))</f>
        <v>1.03997802734375</v>
      </c>
      <c r="AK56">
        <f xml:space="preserve"> Table1[[#This Row],[g ptrace]]*Table1[[#This Row],[ISM]]</f>
        <v>57.19879150390625</v>
      </c>
      <c r="AL56">
        <f>'Pulse data'!M59</f>
        <v>0</v>
      </c>
      <c r="AM56">
        <f>Table1[[#This Row],[t bias]]+1</f>
        <v>1.54</v>
      </c>
      <c r="AN56">
        <f>Table1[[#This Row],[t gain]]-0.5</f>
        <v>1.04</v>
      </c>
      <c r="AO56">
        <f>Table1[[#This Row],[a kinetic trace]]* String2Single(CONCATENATE(Table1[[#This Row],[a gain hex]], "00")) + String2Single(CONCATENATE(Table1[[#This Row],[a bias hex]], "00"))</f>
        <v>1.53997802734375</v>
      </c>
      <c r="AP56">
        <f xml:space="preserve"> Table1[[#This Row],[a ptrace]]*Table1[[#This Row],[ISM]]</f>
        <v>84.69879150390625</v>
      </c>
      <c r="AQ56">
        <f>'Pulse data'!L59</f>
        <v>0</v>
      </c>
      <c r="AR56">
        <f>Table1[[#This Row],[t bias]]</f>
        <v>0.54</v>
      </c>
      <c r="AS56">
        <f>Table1[[#This Row],[t gain]]</f>
        <v>1.54</v>
      </c>
      <c r="AT56">
        <f>Table1[[#This Row],[c kinetic trace]]* String2Single(CONCATENATE(Table1[[#This Row],[c gain hex]], "00")) + String2Single(CONCATENATE(Table1[[#This Row],[c bias hex]], "00"))</f>
        <v>0.5399932861328125</v>
      </c>
      <c r="AU56">
        <f xml:space="preserve"> Table1[[#This Row],[c ptrace]]*Table1[[#This Row],[ISM]]</f>
        <v>29.699630737304688</v>
      </c>
      <c r="AV56">
        <f xml:space="preserve"> Table1[[#This Row],[t ctrace]] + Table1[[#This Row],[g ctrace]] + Table1[[#This Row],[a ctrace]] + Table1[[#This Row],[c ctrace]]</f>
        <v>201.29684448242187</v>
      </c>
      <c r="AW56" s="2" t="str">
        <f>DEC2HEX(Table1[[#This Row],[row]], 3)</f>
        <v>004</v>
      </c>
      <c r="AX56" s="1" t="str">
        <f>DEC2HEX(Table1[[#This Row],[col]], 3)</f>
        <v>049</v>
      </c>
      <c r="AY56" s="1" t="str">
        <f>DEC2HEX(Table1[[#This Row],[grn fsp idx]], 2)</f>
        <v>6D</v>
      </c>
      <c r="AZ56" s="1" t="str">
        <f>DEC2HEX(Table1[[#This Row],[red fsp idx]], 2)</f>
        <v>92</v>
      </c>
      <c r="BA56" s="1" t="str">
        <f>DEC2HEX(Table1[[#This Row],[ISMI]], 2)</f>
        <v>36</v>
      </c>
      <c r="BB56" s="1">
        <f>LEN(Table1[[#This Row],[DRAM data]])</f>
        <v>64</v>
      </c>
      <c r="BC5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0040496D92363F0A3D3FC51E3F851E3F451E3FC51E3F851E3F0A3D3FC51E0002</v>
      </c>
      <c r="BV56"/>
    </row>
    <row r="57" spans="1:74" x14ac:dyDescent="0.25">
      <c r="A57" s="1" t="str">
        <f xml:space="preserve"> LEFT(Sng2String(Table1[[#This Row],[c bias]]), 6)</f>
        <v>3F0CCC</v>
      </c>
      <c r="B57" s="1" t="str">
        <f xml:space="preserve"> LEFT(Sng2String(Table1[[#This Row],[a bias]]), 6)</f>
        <v>3FC666</v>
      </c>
      <c r="C57" s="1" t="str">
        <f xml:space="preserve"> LEFT(Sng2String(Table1[[#This Row],[g bias]]), 6)</f>
        <v>3F8666</v>
      </c>
      <c r="D57" s="1" t="str">
        <f xml:space="preserve"> LEFT(Sng2String(Table1[[#This Row],[t bias]]), 6)</f>
        <v>3F0CCC</v>
      </c>
      <c r="E57" s="1" t="str">
        <f xml:space="preserve"> LEFT(Sng2String(Table1[[#This Row],[c gain]]), 6)</f>
        <v>3FC666</v>
      </c>
      <c r="F57" s="1" t="str">
        <f xml:space="preserve"> LEFT(Sng2String(Table1[[#This Row],[a gain]]), 6)</f>
        <v>3F8666</v>
      </c>
      <c r="G57" s="1" t="str">
        <f xml:space="preserve"> LEFT(Sng2String(Table1[[#This Row],[g gain]]), 6)</f>
        <v>3F4666</v>
      </c>
      <c r="H57" s="1" t="str">
        <f xml:space="preserve"> LEFT(Sng2String(Table1[[#This Row],[t gain]]), 6)</f>
        <v>3FC666</v>
      </c>
      <c r="I57" t="str">
        <f xml:space="preserve"> Sng2String(Table1[[#This Row],[c ptrace]])</f>
        <v>3F0CCC00</v>
      </c>
      <c r="J57" t="str">
        <f xml:space="preserve"> Sng2String(Table1[[#This Row],[a ptrace]])</f>
        <v>3FC66600</v>
      </c>
      <c r="K57" t="str">
        <f xml:space="preserve"> Sng2String(Table1[[#This Row],[g ptrace]])</f>
        <v>3F866600</v>
      </c>
      <c r="L57" t="str">
        <f>Sng2String(Table1[[#This Row],[t ptrace]])</f>
        <v>3F0CCC00</v>
      </c>
      <c r="M57" t="str">
        <f xml:space="preserve"> INDEX(SmallFP!$A$1:$A$256, Table1[[#This Row],[ISMI]]+1)</f>
        <v>426000</v>
      </c>
      <c r="N57" t="str">
        <f>Single2String(Table1[[#This Row],[c ctrace]])</f>
        <v>41F66500</v>
      </c>
      <c r="O57" t="str">
        <f>Single2String(Table1[[#This Row],[a ctrace]])</f>
        <v>42AD9940</v>
      </c>
      <c r="P57" t="str">
        <f xml:space="preserve"> Single2String(Table1[[#This Row],[g ctrace]])</f>
        <v>426B3280</v>
      </c>
      <c r="Q57" t="str">
        <f xml:space="preserve"> Single2String(Table1[[#This Row],[t ctrace]])</f>
        <v>41F66500</v>
      </c>
      <c r="R57" t="str">
        <f>Single2String(Table1[[#This Row],[grn and red ctrace]])</f>
        <v>434F3280</v>
      </c>
      <c r="S57">
        <v>55</v>
      </c>
      <c r="T57" t="str">
        <f>DEC2HEX(Table1[[#This Row],[ZMW num]])</f>
        <v>37</v>
      </c>
      <c r="U57">
        <f>Table1[[#This Row],[ZMW num]]+1</f>
        <v>56</v>
      </c>
      <c r="V57">
        <v>4</v>
      </c>
      <c r="W57">
        <f t="shared" si="0"/>
        <v>76</v>
      </c>
      <c r="X57">
        <v>111</v>
      </c>
      <c r="Y57">
        <v>144</v>
      </c>
      <c r="Z57">
        <f>MOD(Table1[[#This Row],[ZMW num]], 2^8)</f>
        <v>55</v>
      </c>
      <c r="AA57">
        <f xml:space="preserve"> String2Single(Table1[[#This Row],[t ISIM hex]] &amp; "00")</f>
        <v>56</v>
      </c>
      <c r="AB57">
        <f>'Pulse data'!O60</f>
        <v>0</v>
      </c>
      <c r="AC57">
        <f>Table1[[#This Row],[ZMW num]]*0.01</f>
        <v>0.55000000000000004</v>
      </c>
      <c r="AD57">
        <f>1+Table1[[#This Row],[t bias]]</f>
        <v>1.55</v>
      </c>
      <c r="AE57">
        <f>Table1[[#This Row],[t kinetic trace]]* String2Single(CONCATENATE(Table1[[#This Row],[t gain hex]], "00")) + String2Single(CONCATENATE(Table1[[#This Row],[t bias hex]], "00"))</f>
        <v>0.54998779296875</v>
      </c>
      <c r="AF57">
        <f xml:space="preserve"> Table1[[#This Row],[t ptrace]]*Table1[[#This Row],[ISM]]</f>
        <v>30.79931640625</v>
      </c>
      <c r="AG57">
        <f>'Pulse data'!N60</f>
        <v>0</v>
      </c>
      <c r="AH57">
        <f>Table1[[#This Row],[t bias]]+0.5</f>
        <v>1.05</v>
      </c>
      <c r="AI57">
        <f>Table1[[#This Row],[t gain]]/2</f>
        <v>0.77500000000000002</v>
      </c>
      <c r="AJ57">
        <f>Table1[[#This Row],[g kinetic trace]]* String2Single(CONCATENATE(Table1[[#This Row],[g gain hex]], "00")) + String2Single(CONCATENATE(Table1[[#This Row],[g bias hex]], "00"))</f>
        <v>1.04998779296875</v>
      </c>
      <c r="AK57">
        <f xml:space="preserve"> Table1[[#This Row],[g ptrace]]*Table1[[#This Row],[ISM]]</f>
        <v>58.79931640625</v>
      </c>
      <c r="AL57">
        <f>'Pulse data'!M60</f>
        <v>0</v>
      </c>
      <c r="AM57">
        <f>Table1[[#This Row],[t bias]]+1</f>
        <v>1.55</v>
      </c>
      <c r="AN57">
        <f>Table1[[#This Row],[t gain]]-0.5</f>
        <v>1.05</v>
      </c>
      <c r="AO57">
        <f>Table1[[#This Row],[a kinetic trace]]* String2Single(CONCATENATE(Table1[[#This Row],[a gain hex]], "00")) + String2Single(CONCATENATE(Table1[[#This Row],[a bias hex]], "00"))</f>
        <v>1.54998779296875</v>
      </c>
      <c r="AP57">
        <f xml:space="preserve"> Table1[[#This Row],[a ptrace]]*Table1[[#This Row],[ISM]]</f>
        <v>86.79931640625</v>
      </c>
      <c r="AQ57">
        <f>'Pulse data'!L60</f>
        <v>0</v>
      </c>
      <c r="AR57">
        <f>Table1[[#This Row],[t bias]]</f>
        <v>0.55000000000000004</v>
      </c>
      <c r="AS57">
        <f>Table1[[#This Row],[t gain]]</f>
        <v>1.55</v>
      </c>
      <c r="AT57">
        <f>Table1[[#This Row],[c kinetic trace]]* String2Single(CONCATENATE(Table1[[#This Row],[c gain hex]], "00")) + String2Single(CONCATENATE(Table1[[#This Row],[c bias hex]], "00"))</f>
        <v>0.54998779296875</v>
      </c>
      <c r="AU57">
        <f xml:space="preserve"> Table1[[#This Row],[c ptrace]]*Table1[[#This Row],[ISM]]</f>
        <v>30.79931640625</v>
      </c>
      <c r="AV57">
        <f xml:space="preserve"> Table1[[#This Row],[t ctrace]] + Table1[[#This Row],[g ctrace]] + Table1[[#This Row],[a ctrace]] + Table1[[#This Row],[c ctrace]]</f>
        <v>207.197265625</v>
      </c>
      <c r="AW57" s="2" t="str">
        <f>DEC2HEX(Table1[[#This Row],[row]], 3)</f>
        <v>004</v>
      </c>
      <c r="AX57" s="1" t="str">
        <f>DEC2HEX(Table1[[#This Row],[col]], 3)</f>
        <v>04C</v>
      </c>
      <c r="AY57" s="1" t="str">
        <f>DEC2HEX(Table1[[#This Row],[grn fsp idx]], 2)</f>
        <v>6F</v>
      </c>
      <c r="AZ57" s="1" t="str">
        <f>DEC2HEX(Table1[[#This Row],[red fsp idx]], 2)</f>
        <v>90</v>
      </c>
      <c r="BA57" s="1" t="str">
        <f>DEC2HEX(Table1[[#This Row],[ISMI]], 2)</f>
        <v>37</v>
      </c>
      <c r="BB57" s="1">
        <f>LEN(Table1[[#This Row],[DRAM data]])</f>
        <v>64</v>
      </c>
      <c r="BC5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00404C6F90373F0CCC3FC6663F86663F46663FC6663F86663F0CCC3FC6660002</v>
      </c>
      <c r="BV57"/>
    </row>
    <row r="58" spans="1:74" x14ac:dyDescent="0.25">
      <c r="A58" s="1" t="str">
        <f xml:space="preserve"> LEFT(Sng2String(Table1[[#This Row],[c bias]]), 6)</f>
        <v>3F0F5C</v>
      </c>
      <c r="B58" s="1" t="str">
        <f xml:space="preserve"> LEFT(Sng2String(Table1[[#This Row],[a bias]]), 6)</f>
        <v>3FC7AE</v>
      </c>
      <c r="C58" s="1" t="str">
        <f xml:space="preserve"> LEFT(Sng2String(Table1[[#This Row],[g bias]]), 6)</f>
        <v>3F87AE</v>
      </c>
      <c r="D58" s="1" t="str">
        <f xml:space="preserve"> LEFT(Sng2String(Table1[[#This Row],[t bias]]), 6)</f>
        <v>3F0F5C</v>
      </c>
      <c r="E58" s="1" t="str">
        <f xml:space="preserve"> LEFT(Sng2String(Table1[[#This Row],[c gain]]), 6)</f>
        <v>3FC7AE</v>
      </c>
      <c r="F58" s="1" t="str">
        <f xml:space="preserve"> LEFT(Sng2String(Table1[[#This Row],[a gain]]), 6)</f>
        <v>3F87AE</v>
      </c>
      <c r="G58" s="1" t="str">
        <f xml:space="preserve"> LEFT(Sng2String(Table1[[#This Row],[g gain]]), 6)</f>
        <v>3F47AE</v>
      </c>
      <c r="H58" s="1" t="str">
        <f xml:space="preserve"> LEFT(Sng2String(Table1[[#This Row],[t gain]]), 6)</f>
        <v>3FC7AE</v>
      </c>
      <c r="I58" t="str">
        <f xml:space="preserve"> Sng2String(Table1[[#This Row],[c ptrace]])</f>
        <v>3F0F5C00</v>
      </c>
      <c r="J58" t="str">
        <f xml:space="preserve"> Sng2String(Table1[[#This Row],[a ptrace]])</f>
        <v>3FC7AE00</v>
      </c>
      <c r="K58" t="str">
        <f xml:space="preserve"> Sng2String(Table1[[#This Row],[g ptrace]])</f>
        <v>3F87AE00</v>
      </c>
      <c r="L58" t="str">
        <f>Sng2String(Table1[[#This Row],[t ptrace]])</f>
        <v>3F0F5C00</v>
      </c>
      <c r="M58" t="str">
        <f xml:space="preserve"> INDEX(SmallFP!$A$1:$A$256, Table1[[#This Row],[ISMI]]+1)</f>
        <v>426400</v>
      </c>
      <c r="N58" t="str">
        <f>Single2String(Table1[[#This Row],[c ctrace]])</f>
        <v>41FF5BE0</v>
      </c>
      <c r="O58" t="str">
        <f>Single2String(Table1[[#This Row],[a ctrace]])</f>
        <v>42B1D6F8</v>
      </c>
      <c r="P58" t="str">
        <f xml:space="preserve"> Single2String(Table1[[#This Row],[g ctrace]])</f>
        <v>4271ADF0</v>
      </c>
      <c r="Q58" t="str">
        <f xml:space="preserve"> Single2String(Table1[[#This Row],[t ctrace]])</f>
        <v>41FF5BE0</v>
      </c>
      <c r="R58" t="str">
        <f>Single2String(Table1[[#This Row],[grn and red ctrace]])</f>
        <v>43552DF0</v>
      </c>
      <c r="S58">
        <v>56</v>
      </c>
      <c r="T58" t="str">
        <f>DEC2HEX(Table1[[#This Row],[ZMW num]])</f>
        <v>38</v>
      </c>
      <c r="U58">
        <f>Table1[[#This Row],[ZMW num]]+1</f>
        <v>57</v>
      </c>
      <c r="V58">
        <v>4</v>
      </c>
      <c r="W58">
        <f t="shared" si="0"/>
        <v>81</v>
      </c>
      <c r="X58">
        <v>113</v>
      </c>
      <c r="Y58">
        <v>142</v>
      </c>
      <c r="Z58">
        <f>MOD(Table1[[#This Row],[ZMW num]], 2^8)</f>
        <v>56</v>
      </c>
      <c r="AA58">
        <f xml:space="preserve"> String2Single(Table1[[#This Row],[t ISIM hex]] &amp; "00")</f>
        <v>57</v>
      </c>
      <c r="AB58">
        <f>'Pulse data'!O61</f>
        <v>0</v>
      </c>
      <c r="AC58">
        <f>Table1[[#This Row],[ZMW num]]*0.01</f>
        <v>0.56000000000000005</v>
      </c>
      <c r="AD58">
        <f>1+Table1[[#This Row],[t bias]]</f>
        <v>1.56</v>
      </c>
      <c r="AE58">
        <f>Table1[[#This Row],[t kinetic trace]]* String2Single(CONCATENATE(Table1[[#This Row],[t gain hex]], "00")) + String2Single(CONCATENATE(Table1[[#This Row],[t bias hex]], "00"))</f>
        <v>0.55999755859375</v>
      </c>
      <c r="AF58">
        <f xml:space="preserve"> Table1[[#This Row],[t ptrace]]*Table1[[#This Row],[ISM]]</f>
        <v>31.91986083984375</v>
      </c>
      <c r="AG58">
        <f>'Pulse data'!N61</f>
        <v>0</v>
      </c>
      <c r="AH58">
        <f>Table1[[#This Row],[t bias]]+0.5</f>
        <v>1.06</v>
      </c>
      <c r="AI58">
        <f>Table1[[#This Row],[t gain]]/2</f>
        <v>0.78</v>
      </c>
      <c r="AJ58">
        <f>Table1[[#This Row],[g kinetic trace]]* String2Single(CONCATENATE(Table1[[#This Row],[g gain hex]], "00")) + String2Single(CONCATENATE(Table1[[#This Row],[g bias hex]], "00"))</f>
        <v>1.05999755859375</v>
      </c>
      <c r="AK58">
        <f xml:space="preserve"> Table1[[#This Row],[g ptrace]]*Table1[[#This Row],[ISM]]</f>
        <v>60.41986083984375</v>
      </c>
      <c r="AL58">
        <f>'Pulse data'!M61</f>
        <v>0</v>
      </c>
      <c r="AM58">
        <f>Table1[[#This Row],[t bias]]+1</f>
        <v>1.56</v>
      </c>
      <c r="AN58">
        <f>Table1[[#This Row],[t gain]]-0.5</f>
        <v>1.06</v>
      </c>
      <c r="AO58">
        <f>Table1[[#This Row],[a kinetic trace]]* String2Single(CONCATENATE(Table1[[#This Row],[a gain hex]], "00")) + String2Single(CONCATENATE(Table1[[#This Row],[a bias hex]], "00"))</f>
        <v>1.55999755859375</v>
      </c>
      <c r="AP58">
        <f xml:space="preserve"> Table1[[#This Row],[a ptrace]]*Table1[[#This Row],[ISM]]</f>
        <v>88.91986083984375</v>
      </c>
      <c r="AQ58">
        <f>'Pulse data'!L61</f>
        <v>0</v>
      </c>
      <c r="AR58">
        <f>Table1[[#This Row],[t bias]]</f>
        <v>0.56000000000000005</v>
      </c>
      <c r="AS58">
        <f>Table1[[#This Row],[t gain]]</f>
        <v>1.56</v>
      </c>
      <c r="AT58">
        <f>Table1[[#This Row],[c kinetic trace]]* String2Single(CONCATENATE(Table1[[#This Row],[c gain hex]], "00")) + String2Single(CONCATENATE(Table1[[#This Row],[c bias hex]], "00"))</f>
        <v>0.55999755859375</v>
      </c>
      <c r="AU58">
        <f xml:space="preserve"> Table1[[#This Row],[c ptrace]]*Table1[[#This Row],[ISM]]</f>
        <v>31.91986083984375</v>
      </c>
      <c r="AV58">
        <f xml:space="preserve"> Table1[[#This Row],[t ctrace]] + Table1[[#This Row],[g ctrace]] + Table1[[#This Row],[a ctrace]] + Table1[[#This Row],[c ctrace]]</f>
        <v>213.179443359375</v>
      </c>
      <c r="AW58" s="2" t="str">
        <f>DEC2HEX(Table1[[#This Row],[row]], 3)</f>
        <v>004</v>
      </c>
      <c r="AX58" s="1" t="str">
        <f>DEC2HEX(Table1[[#This Row],[col]], 3)</f>
        <v>051</v>
      </c>
      <c r="AY58" s="1" t="str">
        <f>DEC2HEX(Table1[[#This Row],[grn fsp idx]], 2)</f>
        <v>71</v>
      </c>
      <c r="AZ58" s="1" t="str">
        <f>DEC2HEX(Table1[[#This Row],[red fsp idx]], 2)</f>
        <v>8E</v>
      </c>
      <c r="BA58" s="1" t="str">
        <f>DEC2HEX(Table1[[#This Row],[ISMI]], 2)</f>
        <v>38</v>
      </c>
      <c r="BB58" s="1">
        <f>LEN(Table1[[#This Row],[DRAM data]])</f>
        <v>64</v>
      </c>
      <c r="BC5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004051718E383F0F5C3FC7AE3F87AE3F47AE3FC7AE3F87AE3F0F5C3FC7AE0002</v>
      </c>
      <c r="BV58"/>
    </row>
    <row r="59" spans="1:74" x14ac:dyDescent="0.25">
      <c r="A59" s="1" t="str">
        <f xml:space="preserve"> LEFT(Sng2String(Table1[[#This Row],[c bias]]), 6)</f>
        <v>3F11EB</v>
      </c>
      <c r="B59" s="1" t="str">
        <f xml:space="preserve"> LEFT(Sng2String(Table1[[#This Row],[a bias]]), 6)</f>
        <v>3FC8F5</v>
      </c>
      <c r="C59" s="1" t="str">
        <f xml:space="preserve"> LEFT(Sng2String(Table1[[#This Row],[g bias]]), 6)</f>
        <v>3F88F5</v>
      </c>
      <c r="D59" s="1" t="str">
        <f xml:space="preserve"> LEFT(Sng2String(Table1[[#This Row],[t bias]]), 6)</f>
        <v>3F11EB</v>
      </c>
      <c r="E59" s="1" t="str">
        <f xml:space="preserve"> LEFT(Sng2String(Table1[[#This Row],[c gain]]), 6)</f>
        <v>3FC8F5</v>
      </c>
      <c r="F59" s="1" t="str">
        <f xml:space="preserve"> LEFT(Sng2String(Table1[[#This Row],[a gain]]), 6)</f>
        <v>3F88F5</v>
      </c>
      <c r="G59" s="1" t="str">
        <f xml:space="preserve"> LEFT(Sng2String(Table1[[#This Row],[g gain]]), 6)</f>
        <v>3F48F5</v>
      </c>
      <c r="H59" s="1" t="str">
        <f xml:space="preserve"> LEFT(Sng2String(Table1[[#This Row],[t gain]]), 6)</f>
        <v>3FC8F5</v>
      </c>
      <c r="I59" t="str">
        <f xml:space="preserve"> Sng2String(Table1[[#This Row],[c ptrace]])</f>
        <v>3F11EB00</v>
      </c>
      <c r="J59" t="str">
        <f xml:space="preserve"> Sng2String(Table1[[#This Row],[a ptrace]])</f>
        <v>3FC8F500</v>
      </c>
      <c r="K59" t="str">
        <f xml:space="preserve"> Sng2String(Table1[[#This Row],[g ptrace]])</f>
        <v>3F88F500</v>
      </c>
      <c r="L59" t="str">
        <f>Sng2String(Table1[[#This Row],[t ptrace]])</f>
        <v>3F11EB00</v>
      </c>
      <c r="M59" t="str">
        <f xml:space="preserve"> INDEX(SmallFP!$A$1:$A$256, Table1[[#This Row],[ISMI]]+1)</f>
        <v>426800</v>
      </c>
      <c r="N59" t="str">
        <f>Single2String(Table1[[#This Row],[c ctrace]])</f>
        <v>42043CF8</v>
      </c>
      <c r="O59" t="str">
        <f>Single2String(Table1[[#This Row],[a ctrace]])</f>
        <v>42B61E08</v>
      </c>
      <c r="P59" t="str">
        <f xml:space="preserve"> Single2String(Table1[[#This Row],[g ctrace]])</f>
        <v>42783C10</v>
      </c>
      <c r="Q59" t="str">
        <f xml:space="preserve"> Single2String(Table1[[#This Row],[t ctrace]])</f>
        <v>42043CF8</v>
      </c>
      <c r="R59" t="str">
        <f>Single2String(Table1[[#This Row],[grn and red ctrace]])</f>
        <v>435B3C84</v>
      </c>
      <c r="S59">
        <v>57</v>
      </c>
      <c r="T59" t="str">
        <f>DEC2HEX(Table1[[#This Row],[ZMW num]])</f>
        <v>39</v>
      </c>
      <c r="U59">
        <f>Table1[[#This Row],[ZMW num]]+1</f>
        <v>58</v>
      </c>
      <c r="V59">
        <v>4</v>
      </c>
      <c r="W59">
        <f t="shared" si="0"/>
        <v>88</v>
      </c>
      <c r="X59">
        <v>115</v>
      </c>
      <c r="Y59">
        <v>140</v>
      </c>
      <c r="Z59">
        <f>MOD(Table1[[#This Row],[ZMW num]], 2^8)</f>
        <v>57</v>
      </c>
      <c r="AA59">
        <f xml:space="preserve"> String2Single(Table1[[#This Row],[t ISIM hex]] &amp; "00")</f>
        <v>58</v>
      </c>
      <c r="AB59">
        <f>'Pulse data'!O62</f>
        <v>0</v>
      </c>
      <c r="AC59">
        <f>Table1[[#This Row],[ZMW num]]*0.01</f>
        <v>0.57000000000000006</v>
      </c>
      <c r="AD59">
        <f>1+Table1[[#This Row],[t bias]]</f>
        <v>1.57</v>
      </c>
      <c r="AE59">
        <f>Table1[[#This Row],[t kinetic trace]]* String2Single(CONCATENATE(Table1[[#This Row],[t gain hex]], "00")) + String2Single(CONCATENATE(Table1[[#This Row],[t bias hex]], "00"))</f>
        <v>0.5699920654296875</v>
      </c>
      <c r="AF59">
        <f xml:space="preserve"> Table1[[#This Row],[t ptrace]]*Table1[[#This Row],[ISM]]</f>
        <v>33.059539794921875</v>
      </c>
      <c r="AG59">
        <f>'Pulse data'!N62</f>
        <v>0</v>
      </c>
      <c r="AH59">
        <f>Table1[[#This Row],[t bias]]+0.5</f>
        <v>1.07</v>
      </c>
      <c r="AI59">
        <f>Table1[[#This Row],[t gain]]/2</f>
        <v>0.78500000000000003</v>
      </c>
      <c r="AJ59">
        <f>Table1[[#This Row],[g kinetic trace]]* String2Single(CONCATENATE(Table1[[#This Row],[g gain hex]], "00")) + String2Single(CONCATENATE(Table1[[#This Row],[g bias hex]], "00"))</f>
        <v>1.069976806640625</v>
      </c>
      <c r="AK59">
        <f xml:space="preserve"> Table1[[#This Row],[g ptrace]]*Table1[[#This Row],[ISM]]</f>
        <v>62.05865478515625</v>
      </c>
      <c r="AL59">
        <f>'Pulse data'!M62</f>
        <v>0</v>
      </c>
      <c r="AM59">
        <f>Table1[[#This Row],[t bias]]+1</f>
        <v>1.57</v>
      </c>
      <c r="AN59">
        <f>Table1[[#This Row],[t gain]]-0.5</f>
        <v>1.07</v>
      </c>
      <c r="AO59">
        <f>Table1[[#This Row],[a kinetic trace]]* String2Single(CONCATENATE(Table1[[#This Row],[a gain hex]], "00")) + String2Single(CONCATENATE(Table1[[#This Row],[a bias hex]], "00"))</f>
        <v>1.569976806640625</v>
      </c>
      <c r="AP59">
        <f xml:space="preserve"> Table1[[#This Row],[a ptrace]]*Table1[[#This Row],[ISM]]</f>
        <v>91.05865478515625</v>
      </c>
      <c r="AQ59">
        <f>'Pulse data'!L62</f>
        <v>0</v>
      </c>
      <c r="AR59">
        <f>Table1[[#This Row],[t bias]]</f>
        <v>0.57000000000000006</v>
      </c>
      <c r="AS59">
        <f>Table1[[#This Row],[t gain]]</f>
        <v>1.57</v>
      </c>
      <c r="AT59">
        <f>Table1[[#This Row],[c kinetic trace]]* String2Single(CONCATENATE(Table1[[#This Row],[c gain hex]], "00")) + String2Single(CONCATENATE(Table1[[#This Row],[c bias hex]], "00"))</f>
        <v>0.5699920654296875</v>
      </c>
      <c r="AU59">
        <f xml:space="preserve"> Table1[[#This Row],[c ptrace]]*Table1[[#This Row],[ISM]]</f>
        <v>33.059539794921875</v>
      </c>
      <c r="AV59">
        <f xml:space="preserve"> Table1[[#This Row],[t ctrace]] + Table1[[#This Row],[g ctrace]] + Table1[[#This Row],[a ctrace]] + Table1[[#This Row],[c ctrace]]</f>
        <v>219.23638916015625</v>
      </c>
      <c r="AW59" s="2" t="str">
        <f>DEC2HEX(Table1[[#This Row],[row]], 3)</f>
        <v>004</v>
      </c>
      <c r="AX59" s="1" t="str">
        <f>DEC2HEX(Table1[[#This Row],[col]], 3)</f>
        <v>058</v>
      </c>
      <c r="AY59" s="1" t="str">
        <f>DEC2HEX(Table1[[#This Row],[grn fsp idx]], 2)</f>
        <v>73</v>
      </c>
      <c r="AZ59" s="1" t="str">
        <f>DEC2HEX(Table1[[#This Row],[red fsp idx]], 2)</f>
        <v>8C</v>
      </c>
      <c r="BA59" s="1" t="str">
        <f>DEC2HEX(Table1[[#This Row],[ISMI]], 2)</f>
        <v>39</v>
      </c>
      <c r="BB59" s="1">
        <f>LEN(Table1[[#This Row],[DRAM data]])</f>
        <v>64</v>
      </c>
      <c r="BC5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004058738C393F11EB3FC8F53F88F53F48F53FC8F53F88F53F11EB3FC8F50002</v>
      </c>
      <c r="BV59"/>
    </row>
    <row r="60" spans="1:74" x14ac:dyDescent="0.25">
      <c r="A60" s="1" t="str">
        <f xml:space="preserve"> LEFT(Sng2String(Table1[[#This Row],[c bias]]), 6)</f>
        <v>3F147A</v>
      </c>
      <c r="B60" s="1" t="str">
        <f xml:space="preserve"> LEFT(Sng2String(Table1[[#This Row],[a bias]]), 6)</f>
        <v>3FCA3D</v>
      </c>
      <c r="C60" s="1" t="str">
        <f xml:space="preserve"> LEFT(Sng2String(Table1[[#This Row],[g bias]]), 6)</f>
        <v>3F8A3D</v>
      </c>
      <c r="D60" s="1" t="str">
        <f xml:space="preserve"> LEFT(Sng2String(Table1[[#This Row],[t bias]]), 6)</f>
        <v>3F147A</v>
      </c>
      <c r="E60" s="1" t="str">
        <f xml:space="preserve"> LEFT(Sng2String(Table1[[#This Row],[c gain]]), 6)</f>
        <v>3FCA3D</v>
      </c>
      <c r="F60" s="1" t="str">
        <f xml:space="preserve"> LEFT(Sng2String(Table1[[#This Row],[a gain]]), 6)</f>
        <v>3F8A3D</v>
      </c>
      <c r="G60" s="1" t="str">
        <f xml:space="preserve"> LEFT(Sng2String(Table1[[#This Row],[g gain]]), 6)</f>
        <v>3F4A3D</v>
      </c>
      <c r="H60" s="1" t="str">
        <f xml:space="preserve"> LEFT(Sng2String(Table1[[#This Row],[t gain]]), 6)</f>
        <v>3FCA3D</v>
      </c>
      <c r="I60" t="str">
        <f xml:space="preserve"> Sng2String(Table1[[#This Row],[c ptrace]])</f>
        <v>3F147A00</v>
      </c>
      <c r="J60" t="str">
        <f xml:space="preserve"> Sng2String(Table1[[#This Row],[a ptrace]])</f>
        <v>3FCA3D00</v>
      </c>
      <c r="K60" t="str">
        <f xml:space="preserve"> Sng2String(Table1[[#This Row],[g ptrace]])</f>
        <v>3F8A3D00</v>
      </c>
      <c r="L60" t="str">
        <f>Sng2String(Table1[[#This Row],[t ptrace]])</f>
        <v>3F147A00</v>
      </c>
      <c r="M60" t="str">
        <f xml:space="preserve"> INDEX(SmallFP!$A$1:$A$256, Table1[[#This Row],[ISMI]]+1)</f>
        <v>426C00</v>
      </c>
      <c r="N60" t="str">
        <f>Single2String(Table1[[#This Row],[c ctrace]])</f>
        <v>4208E078</v>
      </c>
      <c r="O60" t="str">
        <f>Single2String(Table1[[#This Row],[a ctrace]])</f>
        <v>42BA703C</v>
      </c>
      <c r="P60" t="str">
        <f xml:space="preserve"> Single2String(Table1[[#This Row],[g ctrace]])</f>
        <v>427EE078</v>
      </c>
      <c r="Q60" t="str">
        <f xml:space="preserve"> Single2String(Table1[[#This Row],[t ctrace]])</f>
        <v>4208E078</v>
      </c>
      <c r="R60" t="str">
        <f>Single2String(Table1[[#This Row],[grn and red ctrace]])</f>
        <v>43616078</v>
      </c>
      <c r="S60">
        <v>58</v>
      </c>
      <c r="T60" t="str">
        <f>DEC2HEX(Table1[[#This Row],[ZMW num]])</f>
        <v>3A</v>
      </c>
      <c r="U60">
        <f>Table1[[#This Row],[ZMW num]]+1</f>
        <v>59</v>
      </c>
      <c r="V60">
        <v>4</v>
      </c>
      <c r="W60">
        <f t="shared" si="0"/>
        <v>94</v>
      </c>
      <c r="X60">
        <v>117</v>
      </c>
      <c r="Y60">
        <v>138</v>
      </c>
      <c r="Z60">
        <f>MOD(Table1[[#This Row],[ZMW num]], 2^8)</f>
        <v>58</v>
      </c>
      <c r="AA60">
        <f xml:space="preserve"> String2Single(Table1[[#This Row],[t ISIM hex]] &amp; "00")</f>
        <v>59</v>
      </c>
      <c r="AB60">
        <f>'Pulse data'!O63</f>
        <v>0</v>
      </c>
      <c r="AC60">
        <f>Table1[[#This Row],[ZMW num]]*0.01</f>
        <v>0.57999999999999996</v>
      </c>
      <c r="AD60">
        <f>1+Table1[[#This Row],[t bias]]</f>
        <v>1.58</v>
      </c>
      <c r="AE60">
        <f>Table1[[#This Row],[t kinetic trace]]* String2Single(CONCATENATE(Table1[[#This Row],[t gain hex]], "00")) + String2Single(CONCATENATE(Table1[[#This Row],[t bias hex]], "00"))</f>
        <v>0.579986572265625</v>
      </c>
      <c r="AF60">
        <f xml:space="preserve"> Table1[[#This Row],[t ptrace]]*Table1[[#This Row],[ISM]]</f>
        <v>34.219207763671875</v>
      </c>
      <c r="AG60">
        <f>'Pulse data'!N63</f>
        <v>0</v>
      </c>
      <c r="AH60">
        <f>Table1[[#This Row],[t bias]]+0.5</f>
        <v>1.08</v>
      </c>
      <c r="AI60">
        <f>Table1[[#This Row],[t gain]]/2</f>
        <v>0.79</v>
      </c>
      <c r="AJ60">
        <f>Table1[[#This Row],[g kinetic trace]]* String2Single(CONCATENATE(Table1[[#This Row],[g gain hex]], "00")) + String2Single(CONCATENATE(Table1[[#This Row],[g bias hex]], "00"))</f>
        <v>1.079986572265625</v>
      </c>
      <c r="AK60">
        <f xml:space="preserve"> Table1[[#This Row],[g ptrace]]*Table1[[#This Row],[ISM]]</f>
        <v>63.719207763671875</v>
      </c>
      <c r="AL60">
        <f>'Pulse data'!M63</f>
        <v>0</v>
      </c>
      <c r="AM60">
        <f>Table1[[#This Row],[t bias]]+1</f>
        <v>1.58</v>
      </c>
      <c r="AN60">
        <f>Table1[[#This Row],[t gain]]-0.5</f>
        <v>1.08</v>
      </c>
      <c r="AO60">
        <f>Table1[[#This Row],[a kinetic trace]]* String2Single(CONCATENATE(Table1[[#This Row],[a gain hex]], "00")) + String2Single(CONCATENATE(Table1[[#This Row],[a bias hex]], "00"))</f>
        <v>1.579986572265625</v>
      </c>
      <c r="AP60">
        <f xml:space="preserve"> Table1[[#This Row],[a ptrace]]*Table1[[#This Row],[ISM]]</f>
        <v>93.219207763671875</v>
      </c>
      <c r="AQ60">
        <f>'Pulse data'!L63</f>
        <v>0</v>
      </c>
      <c r="AR60">
        <f>Table1[[#This Row],[t bias]]</f>
        <v>0.57999999999999996</v>
      </c>
      <c r="AS60">
        <f>Table1[[#This Row],[t gain]]</f>
        <v>1.58</v>
      </c>
      <c r="AT60">
        <f>Table1[[#This Row],[c kinetic trace]]* String2Single(CONCATENATE(Table1[[#This Row],[c gain hex]], "00")) + String2Single(CONCATENATE(Table1[[#This Row],[c bias hex]], "00"))</f>
        <v>0.579986572265625</v>
      </c>
      <c r="AU60">
        <f xml:space="preserve"> Table1[[#This Row],[c ptrace]]*Table1[[#This Row],[ISM]]</f>
        <v>34.219207763671875</v>
      </c>
      <c r="AV60">
        <f xml:space="preserve"> Table1[[#This Row],[t ctrace]] + Table1[[#This Row],[g ctrace]] + Table1[[#This Row],[a ctrace]] + Table1[[#This Row],[c ctrace]]</f>
        <v>225.3768310546875</v>
      </c>
      <c r="AW60" s="2" t="str">
        <f>DEC2HEX(Table1[[#This Row],[row]], 3)</f>
        <v>004</v>
      </c>
      <c r="AX60" s="1" t="str">
        <f>DEC2HEX(Table1[[#This Row],[col]], 3)</f>
        <v>05E</v>
      </c>
      <c r="AY60" s="1" t="str">
        <f>DEC2HEX(Table1[[#This Row],[grn fsp idx]], 2)</f>
        <v>75</v>
      </c>
      <c r="AZ60" s="1" t="str">
        <f>DEC2HEX(Table1[[#This Row],[red fsp idx]], 2)</f>
        <v>8A</v>
      </c>
      <c r="BA60" s="1" t="str">
        <f>DEC2HEX(Table1[[#This Row],[ISMI]], 2)</f>
        <v>3A</v>
      </c>
      <c r="BB60" s="1">
        <f>LEN(Table1[[#This Row],[DRAM data]])</f>
        <v>64</v>
      </c>
      <c r="BC6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00405E758A3A3F147A3FCA3D3F8A3D3F4A3D3FCA3D3F8A3D3F147A3FCA3D0002</v>
      </c>
      <c r="BV60"/>
    </row>
    <row r="61" spans="1:74" x14ac:dyDescent="0.25">
      <c r="A61" s="1" t="str">
        <f xml:space="preserve"> LEFT(Sng2String(Table1[[#This Row],[c bias]]), 6)</f>
        <v>3F170A</v>
      </c>
      <c r="B61" s="1" t="str">
        <f xml:space="preserve"> LEFT(Sng2String(Table1[[#This Row],[a bias]]), 6)</f>
        <v>3FCB85</v>
      </c>
      <c r="C61" s="1" t="str">
        <f xml:space="preserve"> LEFT(Sng2String(Table1[[#This Row],[g bias]]), 6)</f>
        <v>3F8B85</v>
      </c>
      <c r="D61" s="1" t="str">
        <f xml:space="preserve"> LEFT(Sng2String(Table1[[#This Row],[t bias]]), 6)</f>
        <v>3F170A</v>
      </c>
      <c r="E61" s="1" t="str">
        <f xml:space="preserve"> LEFT(Sng2String(Table1[[#This Row],[c gain]]), 6)</f>
        <v>3FCB85</v>
      </c>
      <c r="F61" s="1" t="str">
        <f xml:space="preserve"> LEFT(Sng2String(Table1[[#This Row],[a gain]]), 6)</f>
        <v>3F8B85</v>
      </c>
      <c r="G61" s="1" t="str">
        <f xml:space="preserve"> LEFT(Sng2String(Table1[[#This Row],[g gain]]), 6)</f>
        <v>3F4B85</v>
      </c>
      <c r="H61" s="1" t="str">
        <f xml:space="preserve"> LEFT(Sng2String(Table1[[#This Row],[t gain]]), 6)</f>
        <v>3FCB85</v>
      </c>
      <c r="I61" t="str">
        <f xml:space="preserve"> Sng2String(Table1[[#This Row],[c ptrace]])</f>
        <v>3F170A00</v>
      </c>
      <c r="J61" t="str">
        <f xml:space="preserve"> Sng2String(Table1[[#This Row],[a ptrace]])</f>
        <v>3FCB8500</v>
      </c>
      <c r="K61" t="str">
        <f xml:space="preserve"> Sng2String(Table1[[#This Row],[g ptrace]])</f>
        <v>3F8B8500</v>
      </c>
      <c r="L61" t="str">
        <f>Sng2String(Table1[[#This Row],[t ptrace]])</f>
        <v>3F170A00</v>
      </c>
      <c r="M61" t="str">
        <f xml:space="preserve"> INDEX(SmallFP!$A$1:$A$256, Table1[[#This Row],[ISMI]]+1)</f>
        <v>427000</v>
      </c>
      <c r="N61" t="str">
        <f>Single2String(Table1[[#This Row],[c ctrace]])</f>
        <v>420D9960</v>
      </c>
      <c r="O61" t="str">
        <f>Single2String(Table1[[#This Row],[a ctrace]])</f>
        <v>42BECCB0</v>
      </c>
      <c r="P61" t="str">
        <f xml:space="preserve"> Single2String(Table1[[#This Row],[g ctrace]])</f>
        <v>4282CCB0</v>
      </c>
      <c r="Q61" t="str">
        <f xml:space="preserve"> Single2String(Table1[[#This Row],[t ctrace]])</f>
        <v>420D9960</v>
      </c>
      <c r="R61" t="str">
        <f>Single2String(Table1[[#This Row],[grn and red ctrace]])</f>
        <v>43679960</v>
      </c>
      <c r="S61">
        <v>59</v>
      </c>
      <c r="T61" t="str">
        <f>DEC2HEX(Table1[[#This Row],[ZMW num]])</f>
        <v>3B</v>
      </c>
      <c r="U61">
        <f>Table1[[#This Row],[ZMW num]]+1</f>
        <v>60</v>
      </c>
      <c r="V61">
        <v>4</v>
      </c>
      <c r="W61">
        <f t="shared" si="0"/>
        <v>101</v>
      </c>
      <c r="X61">
        <v>119</v>
      </c>
      <c r="Y61">
        <v>136</v>
      </c>
      <c r="Z61">
        <f>MOD(Table1[[#This Row],[ZMW num]], 2^8)</f>
        <v>59</v>
      </c>
      <c r="AA61">
        <f xml:space="preserve"> String2Single(Table1[[#This Row],[t ISIM hex]] &amp; "00")</f>
        <v>60</v>
      </c>
      <c r="AB61">
        <f>'Pulse data'!O64</f>
        <v>0</v>
      </c>
      <c r="AC61">
        <f>Table1[[#This Row],[ZMW num]]*0.01</f>
        <v>0.59</v>
      </c>
      <c r="AD61">
        <f>1+Table1[[#This Row],[t bias]]</f>
        <v>1.5899999999999999</v>
      </c>
      <c r="AE61">
        <f>Table1[[#This Row],[t kinetic trace]]* String2Single(CONCATENATE(Table1[[#This Row],[t gain hex]], "00")) + String2Single(CONCATENATE(Table1[[#This Row],[t bias hex]], "00"))</f>
        <v>0.589996337890625</v>
      </c>
      <c r="AF61">
        <f xml:space="preserve"> Table1[[#This Row],[t ptrace]]*Table1[[#This Row],[ISM]]</f>
        <v>35.3997802734375</v>
      </c>
      <c r="AG61">
        <f>'Pulse data'!N64</f>
        <v>0</v>
      </c>
      <c r="AH61">
        <f>Table1[[#This Row],[t bias]]+0.5</f>
        <v>1.0899999999999999</v>
      </c>
      <c r="AI61">
        <f>Table1[[#This Row],[t gain]]/2</f>
        <v>0.79499999999999993</v>
      </c>
      <c r="AJ61">
        <f>Table1[[#This Row],[g kinetic trace]]* String2Single(CONCATENATE(Table1[[#This Row],[g gain hex]], "00")) + String2Single(CONCATENATE(Table1[[#This Row],[g bias hex]], "00"))</f>
        <v>1.089996337890625</v>
      </c>
      <c r="AK61">
        <f xml:space="preserve"> Table1[[#This Row],[g ptrace]]*Table1[[#This Row],[ISM]]</f>
        <v>65.3997802734375</v>
      </c>
      <c r="AL61">
        <f>'Pulse data'!M64</f>
        <v>0</v>
      </c>
      <c r="AM61">
        <f>Table1[[#This Row],[t bias]]+1</f>
        <v>1.5899999999999999</v>
      </c>
      <c r="AN61">
        <f>Table1[[#This Row],[t gain]]-0.5</f>
        <v>1.0899999999999999</v>
      </c>
      <c r="AO61">
        <f>Table1[[#This Row],[a kinetic trace]]* String2Single(CONCATENATE(Table1[[#This Row],[a gain hex]], "00")) + String2Single(CONCATENATE(Table1[[#This Row],[a bias hex]], "00"))</f>
        <v>1.589996337890625</v>
      </c>
      <c r="AP61">
        <f xml:space="preserve"> Table1[[#This Row],[a ptrace]]*Table1[[#This Row],[ISM]]</f>
        <v>95.3997802734375</v>
      </c>
      <c r="AQ61">
        <f>'Pulse data'!L64</f>
        <v>0</v>
      </c>
      <c r="AR61">
        <f>Table1[[#This Row],[t bias]]</f>
        <v>0.59</v>
      </c>
      <c r="AS61">
        <f>Table1[[#This Row],[t gain]]</f>
        <v>1.5899999999999999</v>
      </c>
      <c r="AT61">
        <f>Table1[[#This Row],[c kinetic trace]]* String2Single(CONCATENATE(Table1[[#This Row],[c gain hex]], "00")) + String2Single(CONCATENATE(Table1[[#This Row],[c bias hex]], "00"))</f>
        <v>0.589996337890625</v>
      </c>
      <c r="AU61">
        <f xml:space="preserve"> Table1[[#This Row],[c ptrace]]*Table1[[#This Row],[ISM]]</f>
        <v>35.3997802734375</v>
      </c>
      <c r="AV61">
        <f xml:space="preserve"> Table1[[#This Row],[t ctrace]] + Table1[[#This Row],[g ctrace]] + Table1[[#This Row],[a ctrace]] + Table1[[#This Row],[c ctrace]]</f>
        <v>231.59912109375</v>
      </c>
      <c r="AW61" s="2" t="str">
        <f>DEC2HEX(Table1[[#This Row],[row]], 3)</f>
        <v>004</v>
      </c>
      <c r="AX61" s="1" t="str">
        <f>DEC2HEX(Table1[[#This Row],[col]], 3)</f>
        <v>065</v>
      </c>
      <c r="AY61" s="1" t="str">
        <f>DEC2HEX(Table1[[#This Row],[grn fsp idx]], 2)</f>
        <v>77</v>
      </c>
      <c r="AZ61" s="1" t="str">
        <f>DEC2HEX(Table1[[#This Row],[red fsp idx]], 2)</f>
        <v>88</v>
      </c>
      <c r="BA61" s="1" t="str">
        <f>DEC2HEX(Table1[[#This Row],[ISMI]], 2)</f>
        <v>3B</v>
      </c>
      <c r="BB61" s="1">
        <f>LEN(Table1[[#This Row],[DRAM data]])</f>
        <v>64</v>
      </c>
      <c r="BC6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00406577883B3F170A3FCB853F8B853F4B853FCB853F8B853F170A3FCB850002</v>
      </c>
      <c r="BV61"/>
    </row>
    <row r="62" spans="1:74" x14ac:dyDescent="0.25">
      <c r="A62" s="1" t="str">
        <f xml:space="preserve"> LEFT(Sng2String(Table1[[#This Row],[c bias]]), 6)</f>
        <v>3F1999</v>
      </c>
      <c r="B62" s="1" t="str">
        <f xml:space="preserve"> LEFT(Sng2String(Table1[[#This Row],[a bias]]), 6)</f>
        <v>3FCCCC</v>
      </c>
      <c r="C62" s="1" t="str">
        <f xml:space="preserve"> LEFT(Sng2String(Table1[[#This Row],[g bias]]), 6)</f>
        <v>3F8CCC</v>
      </c>
      <c r="D62" s="1" t="str">
        <f xml:space="preserve"> LEFT(Sng2String(Table1[[#This Row],[t bias]]), 6)</f>
        <v>3F1999</v>
      </c>
      <c r="E62" s="1" t="str">
        <f xml:space="preserve"> LEFT(Sng2String(Table1[[#This Row],[c gain]]), 6)</f>
        <v>3FCCCC</v>
      </c>
      <c r="F62" s="1" t="str">
        <f xml:space="preserve"> LEFT(Sng2String(Table1[[#This Row],[a gain]]), 6)</f>
        <v>3F8CCC</v>
      </c>
      <c r="G62" s="1" t="str">
        <f xml:space="preserve"> LEFT(Sng2String(Table1[[#This Row],[g gain]]), 6)</f>
        <v>3F4CCC</v>
      </c>
      <c r="H62" s="1" t="str">
        <f xml:space="preserve"> LEFT(Sng2String(Table1[[#This Row],[t gain]]), 6)</f>
        <v>3FCCCC</v>
      </c>
      <c r="I62" t="str">
        <f xml:space="preserve"> Sng2String(Table1[[#This Row],[c ptrace]])</f>
        <v>3F199900</v>
      </c>
      <c r="J62" t="str">
        <f xml:space="preserve"> Sng2String(Table1[[#This Row],[a ptrace]])</f>
        <v>3FCCCC00</v>
      </c>
      <c r="K62" t="str">
        <f xml:space="preserve"> Sng2String(Table1[[#This Row],[g ptrace]])</f>
        <v>3F8CCC00</v>
      </c>
      <c r="L62" t="str">
        <f>Sng2String(Table1[[#This Row],[t ptrace]])</f>
        <v>3F199900</v>
      </c>
      <c r="M62" t="str">
        <f xml:space="preserve"> INDEX(SmallFP!$A$1:$A$256, Table1[[#This Row],[ISMI]]+1)</f>
        <v>427400</v>
      </c>
      <c r="N62" t="str">
        <f>Single2String(Table1[[#This Row],[c ctrace]])</f>
        <v>421265D4</v>
      </c>
      <c r="O62" t="str">
        <f>Single2String(Table1[[#This Row],[a ctrace]])</f>
        <v>42C33270</v>
      </c>
      <c r="P62" t="str">
        <f xml:space="preserve"> Single2String(Table1[[#This Row],[g ctrace]])</f>
        <v>42863270</v>
      </c>
      <c r="Q62" t="str">
        <f xml:space="preserve"> Single2String(Table1[[#This Row],[t ctrace]])</f>
        <v>421265D4</v>
      </c>
      <c r="R62" t="str">
        <f>Single2String(Table1[[#This Row],[grn and red ctrace]])</f>
        <v>436DE55A</v>
      </c>
      <c r="S62">
        <v>60</v>
      </c>
      <c r="T62" t="str">
        <f>DEC2HEX(Table1[[#This Row],[ZMW num]])</f>
        <v>3C</v>
      </c>
      <c r="U62">
        <f>Table1[[#This Row],[ZMW num]]+1</f>
        <v>61</v>
      </c>
      <c r="V62">
        <v>4</v>
      </c>
      <c r="W62">
        <f t="shared" si="0"/>
        <v>106</v>
      </c>
      <c r="X62">
        <v>121</v>
      </c>
      <c r="Y62">
        <v>134</v>
      </c>
      <c r="Z62">
        <f>MOD(Table1[[#This Row],[ZMW num]], 2^8)</f>
        <v>60</v>
      </c>
      <c r="AA62">
        <f xml:space="preserve"> String2Single(Table1[[#This Row],[t ISIM hex]] &amp; "00")</f>
        <v>61</v>
      </c>
      <c r="AB62">
        <f>'Pulse data'!O65</f>
        <v>0</v>
      </c>
      <c r="AC62">
        <f>Table1[[#This Row],[ZMW num]]*0.01</f>
        <v>0.6</v>
      </c>
      <c r="AD62">
        <f>1+Table1[[#This Row],[t bias]]</f>
        <v>1.6</v>
      </c>
      <c r="AE62">
        <f>Table1[[#This Row],[t kinetic trace]]* String2Single(CONCATENATE(Table1[[#This Row],[t gain hex]], "00")) + String2Single(CONCATENATE(Table1[[#This Row],[t bias hex]], "00"))</f>
        <v>0.5999908447265625</v>
      </c>
      <c r="AF62">
        <f xml:space="preserve"> Table1[[#This Row],[t ptrace]]*Table1[[#This Row],[ISM]]</f>
        <v>36.599441528320313</v>
      </c>
      <c r="AG62">
        <f>'Pulse data'!N65</f>
        <v>0</v>
      </c>
      <c r="AH62">
        <f>Table1[[#This Row],[t bias]]+0.5</f>
        <v>1.1000000000000001</v>
      </c>
      <c r="AI62">
        <f>Table1[[#This Row],[t gain]]/2</f>
        <v>0.8</v>
      </c>
      <c r="AJ62">
        <f>Table1[[#This Row],[g kinetic trace]]* String2Single(CONCATENATE(Table1[[#This Row],[g gain hex]], "00")) + String2Single(CONCATENATE(Table1[[#This Row],[g bias hex]], "00"))</f>
        <v>1.0999755859375</v>
      </c>
      <c r="AK62">
        <f xml:space="preserve"> Table1[[#This Row],[g ptrace]]*Table1[[#This Row],[ISM]]</f>
        <v>67.0985107421875</v>
      </c>
      <c r="AL62">
        <f>'Pulse data'!M65</f>
        <v>0</v>
      </c>
      <c r="AM62">
        <f>Table1[[#This Row],[t bias]]+1</f>
        <v>1.6</v>
      </c>
      <c r="AN62">
        <f>Table1[[#This Row],[t gain]]-0.5</f>
        <v>1.1000000000000001</v>
      </c>
      <c r="AO62">
        <f>Table1[[#This Row],[a kinetic trace]]* String2Single(CONCATENATE(Table1[[#This Row],[a gain hex]], "00")) + String2Single(CONCATENATE(Table1[[#This Row],[a bias hex]], "00"))</f>
        <v>1.5999755859375</v>
      </c>
      <c r="AP62">
        <f xml:space="preserve"> Table1[[#This Row],[a ptrace]]*Table1[[#This Row],[ISM]]</f>
        <v>97.5985107421875</v>
      </c>
      <c r="AQ62">
        <f>'Pulse data'!L65</f>
        <v>0</v>
      </c>
      <c r="AR62">
        <f>Table1[[#This Row],[t bias]]</f>
        <v>0.6</v>
      </c>
      <c r="AS62">
        <f>Table1[[#This Row],[t gain]]</f>
        <v>1.6</v>
      </c>
      <c r="AT62">
        <f>Table1[[#This Row],[c kinetic trace]]* String2Single(CONCATENATE(Table1[[#This Row],[c gain hex]], "00")) + String2Single(CONCATENATE(Table1[[#This Row],[c bias hex]], "00"))</f>
        <v>0.5999908447265625</v>
      </c>
      <c r="AU62">
        <f xml:space="preserve"> Table1[[#This Row],[c ptrace]]*Table1[[#This Row],[ISM]]</f>
        <v>36.599441528320313</v>
      </c>
      <c r="AV62">
        <f xml:space="preserve"> Table1[[#This Row],[t ctrace]] + Table1[[#This Row],[g ctrace]] + Table1[[#This Row],[a ctrace]] + Table1[[#This Row],[c ctrace]]</f>
        <v>237.89590454101562</v>
      </c>
      <c r="AW62" s="2" t="str">
        <f>DEC2HEX(Table1[[#This Row],[row]], 3)</f>
        <v>004</v>
      </c>
      <c r="AX62" s="1" t="str">
        <f>DEC2HEX(Table1[[#This Row],[col]], 3)</f>
        <v>06A</v>
      </c>
      <c r="AY62" s="1" t="str">
        <f>DEC2HEX(Table1[[#This Row],[grn fsp idx]], 2)</f>
        <v>79</v>
      </c>
      <c r="AZ62" s="1" t="str">
        <f>DEC2HEX(Table1[[#This Row],[red fsp idx]], 2)</f>
        <v>86</v>
      </c>
      <c r="BA62" s="1" t="str">
        <f>DEC2HEX(Table1[[#This Row],[ISMI]], 2)</f>
        <v>3C</v>
      </c>
      <c r="BB62" s="1">
        <f>LEN(Table1[[#This Row],[DRAM data]])</f>
        <v>64</v>
      </c>
      <c r="BC6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00406A79863C3F19993FCCCC3F8CCC3F4CCC3FCCCC3F8CCC3F19993FCCCC0002</v>
      </c>
      <c r="BV62"/>
    </row>
    <row r="63" spans="1:74" x14ac:dyDescent="0.25">
      <c r="A63" s="1" t="str">
        <f xml:space="preserve"> LEFT(Sng2String(Table1[[#This Row],[c bias]]), 6)</f>
        <v>3F1C28</v>
      </c>
      <c r="B63" s="1" t="str">
        <f xml:space="preserve"> LEFT(Sng2String(Table1[[#This Row],[a bias]]), 6)</f>
        <v>3FCE14</v>
      </c>
      <c r="C63" s="1" t="str">
        <f xml:space="preserve"> LEFT(Sng2String(Table1[[#This Row],[g bias]]), 6)</f>
        <v>3F8E14</v>
      </c>
      <c r="D63" s="1" t="str">
        <f xml:space="preserve"> LEFT(Sng2String(Table1[[#This Row],[t bias]]), 6)</f>
        <v>3F1C28</v>
      </c>
      <c r="E63" s="1" t="str">
        <f xml:space="preserve"> LEFT(Sng2String(Table1[[#This Row],[c gain]]), 6)</f>
        <v>3FCE14</v>
      </c>
      <c r="F63" s="1" t="str">
        <f xml:space="preserve"> LEFT(Sng2String(Table1[[#This Row],[a gain]]), 6)</f>
        <v>3F8E14</v>
      </c>
      <c r="G63" s="1" t="str">
        <f xml:space="preserve"> LEFT(Sng2String(Table1[[#This Row],[g gain]]), 6)</f>
        <v>3F4E14</v>
      </c>
      <c r="H63" s="1" t="str">
        <f xml:space="preserve"> LEFT(Sng2String(Table1[[#This Row],[t gain]]), 6)</f>
        <v>3FCE14</v>
      </c>
      <c r="I63" t="str">
        <f xml:space="preserve"> Sng2String(Table1[[#This Row],[c ptrace]])</f>
        <v>3F1C2800</v>
      </c>
      <c r="J63" t="str">
        <f xml:space="preserve"> Sng2String(Table1[[#This Row],[a ptrace]])</f>
        <v>3FCE1400</v>
      </c>
      <c r="K63" t="str">
        <f xml:space="preserve"> Sng2String(Table1[[#This Row],[g ptrace]])</f>
        <v>3F8E1400</v>
      </c>
      <c r="L63" t="str">
        <f>Sng2String(Table1[[#This Row],[t ptrace]])</f>
        <v>3F1C2800</v>
      </c>
      <c r="M63" t="str">
        <f xml:space="preserve"> INDEX(SmallFP!$A$1:$A$256, Table1[[#This Row],[ISMI]]+1)</f>
        <v>427800</v>
      </c>
      <c r="N63" t="str">
        <f>Single2String(Table1[[#This Row],[c ctrace]])</f>
        <v>421746C0</v>
      </c>
      <c r="O63" t="str">
        <f>Single2String(Table1[[#This Row],[a ctrace]])</f>
        <v>42C7A360</v>
      </c>
      <c r="P63" t="str">
        <f xml:space="preserve"> Single2String(Table1[[#This Row],[g ctrace]])</f>
        <v>4289A360</v>
      </c>
      <c r="Q63" t="str">
        <f xml:space="preserve"> Single2String(Table1[[#This Row],[t ctrace]])</f>
        <v>421746C0</v>
      </c>
      <c r="R63" t="str">
        <f>Single2String(Table1[[#This Row],[grn and red ctrace]])</f>
        <v>437446C0</v>
      </c>
      <c r="S63">
        <v>61</v>
      </c>
      <c r="T63" t="str">
        <f>DEC2HEX(Table1[[#This Row],[ZMW num]])</f>
        <v>3D</v>
      </c>
      <c r="U63">
        <f>Table1[[#This Row],[ZMW num]]+1</f>
        <v>62</v>
      </c>
      <c r="V63">
        <v>4</v>
      </c>
      <c r="W63">
        <f t="shared" si="0"/>
        <v>111</v>
      </c>
      <c r="X63">
        <v>123</v>
      </c>
      <c r="Y63">
        <v>132</v>
      </c>
      <c r="Z63">
        <f>MOD(Table1[[#This Row],[ZMW num]], 2^8)</f>
        <v>61</v>
      </c>
      <c r="AA63">
        <f xml:space="preserve"> String2Single(Table1[[#This Row],[t ISIM hex]] &amp; "00")</f>
        <v>62</v>
      </c>
      <c r="AB63">
        <f>'Pulse data'!O66</f>
        <v>0</v>
      </c>
      <c r="AC63">
        <f>Table1[[#This Row],[ZMW num]]*0.01</f>
        <v>0.61</v>
      </c>
      <c r="AD63">
        <f>1+Table1[[#This Row],[t bias]]</f>
        <v>1.6099999999999999</v>
      </c>
      <c r="AE63">
        <f>Table1[[#This Row],[t kinetic trace]]* String2Single(CONCATENATE(Table1[[#This Row],[t gain hex]], "00")) + String2Single(CONCATENATE(Table1[[#This Row],[t bias hex]], "00"))</f>
        <v>0.6099853515625</v>
      </c>
      <c r="AF63">
        <f xml:space="preserve"> Table1[[#This Row],[t ptrace]]*Table1[[#This Row],[ISM]]</f>
        <v>37.819091796875</v>
      </c>
      <c r="AG63">
        <f>'Pulse data'!N66</f>
        <v>0</v>
      </c>
      <c r="AH63">
        <f>Table1[[#This Row],[t bias]]+0.5</f>
        <v>1.1099999999999999</v>
      </c>
      <c r="AI63">
        <f>Table1[[#This Row],[t gain]]/2</f>
        <v>0.80499999999999994</v>
      </c>
      <c r="AJ63">
        <f>Table1[[#This Row],[g kinetic trace]]* String2Single(CONCATENATE(Table1[[#This Row],[g gain hex]], "00")) + String2Single(CONCATENATE(Table1[[#This Row],[g bias hex]], "00"))</f>
        <v>1.1099853515625</v>
      </c>
      <c r="AK63">
        <f xml:space="preserve"> Table1[[#This Row],[g ptrace]]*Table1[[#This Row],[ISM]]</f>
        <v>68.819091796875</v>
      </c>
      <c r="AL63">
        <f>'Pulse data'!M66</f>
        <v>0</v>
      </c>
      <c r="AM63">
        <f>Table1[[#This Row],[t bias]]+1</f>
        <v>1.6099999999999999</v>
      </c>
      <c r="AN63">
        <f>Table1[[#This Row],[t gain]]-0.5</f>
        <v>1.1099999999999999</v>
      </c>
      <c r="AO63">
        <f>Table1[[#This Row],[a kinetic trace]]* String2Single(CONCATENATE(Table1[[#This Row],[a gain hex]], "00")) + String2Single(CONCATENATE(Table1[[#This Row],[a bias hex]], "00"))</f>
        <v>1.6099853515625</v>
      </c>
      <c r="AP63">
        <f xml:space="preserve"> Table1[[#This Row],[a ptrace]]*Table1[[#This Row],[ISM]]</f>
        <v>99.819091796875</v>
      </c>
      <c r="AQ63">
        <f>'Pulse data'!L66</f>
        <v>0</v>
      </c>
      <c r="AR63">
        <f>Table1[[#This Row],[t bias]]</f>
        <v>0.61</v>
      </c>
      <c r="AS63">
        <f>Table1[[#This Row],[t gain]]</f>
        <v>1.6099999999999999</v>
      </c>
      <c r="AT63">
        <f>Table1[[#This Row],[c kinetic trace]]* String2Single(CONCATENATE(Table1[[#This Row],[c gain hex]], "00")) + String2Single(CONCATENATE(Table1[[#This Row],[c bias hex]], "00"))</f>
        <v>0.6099853515625</v>
      </c>
      <c r="AU63">
        <f xml:space="preserve"> Table1[[#This Row],[c ptrace]]*Table1[[#This Row],[ISM]]</f>
        <v>37.819091796875</v>
      </c>
      <c r="AV63">
        <f xml:space="preserve"> Table1[[#This Row],[t ctrace]] + Table1[[#This Row],[g ctrace]] + Table1[[#This Row],[a ctrace]] + Table1[[#This Row],[c ctrace]]</f>
        <v>244.2763671875</v>
      </c>
      <c r="AW63" s="2" t="str">
        <f>DEC2HEX(Table1[[#This Row],[row]], 3)</f>
        <v>004</v>
      </c>
      <c r="AX63" s="1" t="str">
        <f>DEC2HEX(Table1[[#This Row],[col]], 3)</f>
        <v>06F</v>
      </c>
      <c r="AY63" s="1" t="str">
        <f>DEC2HEX(Table1[[#This Row],[grn fsp idx]], 2)</f>
        <v>7B</v>
      </c>
      <c r="AZ63" s="1" t="str">
        <f>DEC2HEX(Table1[[#This Row],[red fsp idx]], 2)</f>
        <v>84</v>
      </c>
      <c r="BA63" s="1" t="str">
        <f>DEC2HEX(Table1[[#This Row],[ISMI]], 2)</f>
        <v>3D</v>
      </c>
      <c r="BB63" s="1">
        <f>LEN(Table1[[#This Row],[DRAM data]])</f>
        <v>64</v>
      </c>
      <c r="BC6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00406F7B843D3F1C283FCE143F8E143F4E143FCE143F8E143F1C283FCE140002</v>
      </c>
      <c r="BV63"/>
    </row>
    <row r="64" spans="1:74" x14ac:dyDescent="0.25">
      <c r="A64" s="1" t="str">
        <f xml:space="preserve"> LEFT(Sng2String(Table1[[#This Row],[c bias]]), 6)</f>
        <v>3F1EB8</v>
      </c>
      <c r="B64" s="1" t="str">
        <f xml:space="preserve"> LEFT(Sng2String(Table1[[#This Row],[a bias]]), 6)</f>
        <v>3FCF5C</v>
      </c>
      <c r="C64" s="1" t="str">
        <f xml:space="preserve"> LEFT(Sng2String(Table1[[#This Row],[g bias]]), 6)</f>
        <v>3F8F5C</v>
      </c>
      <c r="D64" s="1" t="str">
        <f xml:space="preserve"> LEFT(Sng2String(Table1[[#This Row],[t bias]]), 6)</f>
        <v>3F1EB8</v>
      </c>
      <c r="E64" s="1" t="str">
        <f xml:space="preserve"> LEFT(Sng2String(Table1[[#This Row],[c gain]]), 6)</f>
        <v>3FCF5C</v>
      </c>
      <c r="F64" s="1" t="str">
        <f xml:space="preserve"> LEFT(Sng2String(Table1[[#This Row],[a gain]]), 6)</f>
        <v>3F8F5C</v>
      </c>
      <c r="G64" s="1" t="str">
        <f xml:space="preserve"> LEFT(Sng2String(Table1[[#This Row],[g gain]]), 6)</f>
        <v>3F4F5C</v>
      </c>
      <c r="H64" s="1" t="str">
        <f xml:space="preserve"> LEFT(Sng2String(Table1[[#This Row],[t gain]]), 6)</f>
        <v>3FCF5C</v>
      </c>
      <c r="I64" t="str">
        <f xml:space="preserve"> Sng2String(Table1[[#This Row],[c ptrace]])</f>
        <v>3F1EB800</v>
      </c>
      <c r="J64" t="str">
        <f xml:space="preserve"> Sng2String(Table1[[#This Row],[a ptrace]])</f>
        <v>3FCF5C00</v>
      </c>
      <c r="K64" t="str">
        <f xml:space="preserve"> Sng2String(Table1[[#This Row],[g ptrace]])</f>
        <v>3F8F5C00</v>
      </c>
      <c r="L64" t="str">
        <f>Sng2String(Table1[[#This Row],[t ptrace]])</f>
        <v>3F1EB800</v>
      </c>
      <c r="M64" t="str">
        <f xml:space="preserve"> INDEX(SmallFP!$A$1:$A$256, Table1[[#This Row],[ISMI]]+1)</f>
        <v>427C00</v>
      </c>
      <c r="N64" t="str">
        <f>Single2String(Table1[[#This Row],[c ctrace]])</f>
        <v>421C3D20</v>
      </c>
      <c r="O64" t="str">
        <f>Single2String(Table1[[#This Row],[a ctrace]])</f>
        <v>42CC1E90</v>
      </c>
      <c r="P64" t="str">
        <f xml:space="preserve"> Single2String(Table1[[#This Row],[g ctrace]])</f>
        <v>428D1E90</v>
      </c>
      <c r="Q64" t="str">
        <f xml:space="preserve"> Single2String(Table1[[#This Row],[t ctrace]])</f>
        <v>421C3D20</v>
      </c>
      <c r="R64" t="str">
        <f>Single2String(Table1[[#This Row],[grn and red ctrace]])</f>
        <v>437ABD20</v>
      </c>
      <c r="S64">
        <v>62</v>
      </c>
      <c r="T64" t="str">
        <f>DEC2HEX(Table1[[#This Row],[ZMW num]])</f>
        <v>3E</v>
      </c>
      <c r="U64">
        <f>Table1[[#This Row],[ZMW num]]+1</f>
        <v>63</v>
      </c>
      <c r="V64">
        <v>4</v>
      </c>
      <c r="W64">
        <f t="shared" si="0"/>
        <v>119</v>
      </c>
      <c r="X64">
        <v>125</v>
      </c>
      <c r="Y64">
        <v>130</v>
      </c>
      <c r="Z64">
        <f>MOD(Table1[[#This Row],[ZMW num]], 2^8)</f>
        <v>62</v>
      </c>
      <c r="AA64">
        <f xml:space="preserve"> String2Single(Table1[[#This Row],[t ISIM hex]] &amp; "00")</f>
        <v>63</v>
      </c>
      <c r="AB64">
        <f>'Pulse data'!O67</f>
        <v>0</v>
      </c>
      <c r="AC64">
        <f>Table1[[#This Row],[ZMW num]]*0.01</f>
        <v>0.62</v>
      </c>
      <c r="AD64">
        <f>1+Table1[[#This Row],[t bias]]</f>
        <v>1.62</v>
      </c>
      <c r="AE64">
        <f>Table1[[#This Row],[t kinetic trace]]* String2Single(CONCATENATE(Table1[[#This Row],[t gain hex]], "00")) + String2Single(CONCATENATE(Table1[[#This Row],[t bias hex]], "00"))</f>
        <v>0.6199951171875</v>
      </c>
      <c r="AF64">
        <f xml:space="preserve"> Table1[[#This Row],[t ptrace]]*Table1[[#This Row],[ISM]]</f>
        <v>39.0596923828125</v>
      </c>
      <c r="AG64">
        <f>'Pulse data'!N67</f>
        <v>0</v>
      </c>
      <c r="AH64">
        <f>Table1[[#This Row],[t bias]]+0.5</f>
        <v>1.1200000000000001</v>
      </c>
      <c r="AI64">
        <f>Table1[[#This Row],[t gain]]/2</f>
        <v>0.81</v>
      </c>
      <c r="AJ64">
        <f>Table1[[#This Row],[g kinetic trace]]* String2Single(CONCATENATE(Table1[[#This Row],[g gain hex]], "00")) + String2Single(CONCATENATE(Table1[[#This Row],[g bias hex]], "00"))</f>
        <v>1.1199951171875</v>
      </c>
      <c r="AK64">
        <f xml:space="preserve"> Table1[[#This Row],[g ptrace]]*Table1[[#This Row],[ISM]]</f>
        <v>70.5596923828125</v>
      </c>
      <c r="AL64">
        <f>'Pulse data'!M67</f>
        <v>0</v>
      </c>
      <c r="AM64">
        <f>Table1[[#This Row],[t bias]]+1</f>
        <v>1.62</v>
      </c>
      <c r="AN64">
        <f>Table1[[#This Row],[t gain]]-0.5</f>
        <v>1.1200000000000001</v>
      </c>
      <c r="AO64">
        <f>Table1[[#This Row],[a kinetic trace]]* String2Single(CONCATENATE(Table1[[#This Row],[a gain hex]], "00")) + String2Single(CONCATENATE(Table1[[#This Row],[a bias hex]], "00"))</f>
        <v>1.6199951171875</v>
      </c>
      <c r="AP64">
        <f xml:space="preserve"> Table1[[#This Row],[a ptrace]]*Table1[[#This Row],[ISM]]</f>
        <v>102.0596923828125</v>
      </c>
      <c r="AQ64">
        <f>'Pulse data'!L67</f>
        <v>0</v>
      </c>
      <c r="AR64">
        <f>Table1[[#This Row],[t bias]]</f>
        <v>0.62</v>
      </c>
      <c r="AS64">
        <f>Table1[[#This Row],[t gain]]</f>
        <v>1.62</v>
      </c>
      <c r="AT64">
        <f>Table1[[#This Row],[c kinetic trace]]* String2Single(CONCATENATE(Table1[[#This Row],[c gain hex]], "00")) + String2Single(CONCATENATE(Table1[[#This Row],[c bias hex]], "00"))</f>
        <v>0.6199951171875</v>
      </c>
      <c r="AU64">
        <f xml:space="preserve"> Table1[[#This Row],[c ptrace]]*Table1[[#This Row],[ISM]]</f>
        <v>39.0596923828125</v>
      </c>
      <c r="AV64">
        <f xml:space="preserve"> Table1[[#This Row],[t ctrace]] + Table1[[#This Row],[g ctrace]] + Table1[[#This Row],[a ctrace]] + Table1[[#This Row],[c ctrace]]</f>
        <v>250.73876953125</v>
      </c>
      <c r="AW64" s="2" t="str">
        <f>DEC2HEX(Table1[[#This Row],[row]], 3)</f>
        <v>004</v>
      </c>
      <c r="AX64" s="1" t="str">
        <f>DEC2HEX(Table1[[#This Row],[col]], 3)</f>
        <v>077</v>
      </c>
      <c r="AY64" s="1" t="str">
        <f>DEC2HEX(Table1[[#This Row],[grn fsp idx]], 2)</f>
        <v>7D</v>
      </c>
      <c r="AZ64" s="1" t="str">
        <f>DEC2HEX(Table1[[#This Row],[red fsp idx]], 2)</f>
        <v>82</v>
      </c>
      <c r="BA64" s="1" t="str">
        <f>DEC2HEX(Table1[[#This Row],[ISMI]], 2)</f>
        <v>3E</v>
      </c>
      <c r="BB64" s="1">
        <f>LEN(Table1[[#This Row],[DRAM data]])</f>
        <v>64</v>
      </c>
      <c r="BC6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0040777D823E3F1EB83FCF5C3F8F5C3F4F5C3FCF5C3F8F5C3F1EB83FCF5C0002</v>
      </c>
      <c r="BV64"/>
    </row>
    <row r="65" spans="1:74" x14ac:dyDescent="0.25">
      <c r="A65" s="1" t="str">
        <f xml:space="preserve"> LEFT(Sng2String(Table1[[#This Row],[c bias]]), 6)</f>
        <v>3F2147</v>
      </c>
      <c r="B65" s="1" t="str">
        <f xml:space="preserve"> LEFT(Sng2String(Table1[[#This Row],[a bias]]), 6)</f>
        <v>3FD0A3</v>
      </c>
      <c r="C65" s="1" t="str">
        <f xml:space="preserve"> LEFT(Sng2String(Table1[[#This Row],[g bias]]), 6)</f>
        <v>3F90A3</v>
      </c>
      <c r="D65" s="1" t="str">
        <f xml:space="preserve"> LEFT(Sng2String(Table1[[#This Row],[t bias]]), 6)</f>
        <v>3F2147</v>
      </c>
      <c r="E65" s="1" t="str">
        <f xml:space="preserve"> LEFT(Sng2String(Table1[[#This Row],[c gain]]), 6)</f>
        <v>3FD0A3</v>
      </c>
      <c r="F65" s="1" t="str">
        <f xml:space="preserve"> LEFT(Sng2String(Table1[[#This Row],[a gain]]), 6)</f>
        <v>3F90A3</v>
      </c>
      <c r="G65" s="1" t="str">
        <f xml:space="preserve"> LEFT(Sng2String(Table1[[#This Row],[g gain]]), 6)</f>
        <v>3F50A3</v>
      </c>
      <c r="H65" s="1" t="str">
        <f xml:space="preserve"> LEFT(Sng2String(Table1[[#This Row],[t gain]]), 6)</f>
        <v>3FD0A3</v>
      </c>
      <c r="I65" t="str">
        <f xml:space="preserve"> Sng2String(Table1[[#This Row],[c ptrace]])</f>
        <v>3F214700</v>
      </c>
      <c r="J65" t="str">
        <f xml:space="preserve"> Sng2String(Table1[[#This Row],[a ptrace]])</f>
        <v>3FD0A300</v>
      </c>
      <c r="K65" t="str">
        <f xml:space="preserve"> Sng2String(Table1[[#This Row],[g ptrace]])</f>
        <v>3F90A300</v>
      </c>
      <c r="L65" t="str">
        <f>Sng2String(Table1[[#This Row],[t ptrace]])</f>
        <v>3F214700</v>
      </c>
      <c r="M65" t="str">
        <f xml:space="preserve"> INDEX(SmallFP!$A$1:$A$256, Table1[[#This Row],[ISMI]]+1)</f>
        <v>428000</v>
      </c>
      <c r="N65" t="str">
        <f>Single2String(Table1[[#This Row],[c ctrace]])</f>
        <v>42214700</v>
      </c>
      <c r="O65" t="str">
        <f>Single2String(Table1[[#This Row],[a ctrace]])</f>
        <v>42D0A300</v>
      </c>
      <c r="P65" t="str">
        <f xml:space="preserve"> Single2String(Table1[[#This Row],[g ctrace]])</f>
        <v>4290A300</v>
      </c>
      <c r="Q65" t="str">
        <f xml:space="preserve"> Single2String(Table1[[#This Row],[t ctrace]])</f>
        <v>42214700</v>
      </c>
      <c r="R65" t="str">
        <f>Single2String(Table1[[#This Row],[grn and red ctrace]])</f>
        <v>4380A340</v>
      </c>
      <c r="S65">
        <v>63</v>
      </c>
      <c r="T65" t="str">
        <f>DEC2HEX(Table1[[#This Row],[ZMW num]])</f>
        <v>3F</v>
      </c>
      <c r="U65">
        <f>Table1[[#This Row],[ZMW num]]+1</f>
        <v>64</v>
      </c>
      <c r="V65">
        <v>4</v>
      </c>
      <c r="W65">
        <f t="shared" si="0"/>
        <v>125</v>
      </c>
      <c r="X65">
        <v>127</v>
      </c>
      <c r="Y65">
        <v>128</v>
      </c>
      <c r="Z65">
        <f>MOD(Table1[[#This Row],[ZMW num]], 2^8)</f>
        <v>63</v>
      </c>
      <c r="AA65">
        <f xml:space="preserve"> String2Single(Table1[[#This Row],[t ISIM hex]] &amp; "00")</f>
        <v>64</v>
      </c>
      <c r="AB65">
        <f>'Pulse data'!O68</f>
        <v>0</v>
      </c>
      <c r="AC65">
        <f>Table1[[#This Row],[ZMW num]]*0.01</f>
        <v>0.63</v>
      </c>
      <c r="AD65">
        <f>1+Table1[[#This Row],[t bias]]</f>
        <v>1.63</v>
      </c>
      <c r="AE65">
        <f>Table1[[#This Row],[t kinetic trace]]* String2Single(CONCATENATE(Table1[[#This Row],[t gain hex]], "00")) + String2Single(CONCATENATE(Table1[[#This Row],[t bias hex]], "00"))</f>
        <v>0.6299896240234375</v>
      </c>
      <c r="AF65">
        <f xml:space="preserve"> Table1[[#This Row],[t ptrace]]*Table1[[#This Row],[ISM]]</f>
        <v>40.3193359375</v>
      </c>
      <c r="AG65">
        <f>'Pulse data'!N68</f>
        <v>0</v>
      </c>
      <c r="AH65">
        <f>Table1[[#This Row],[t bias]]+0.5</f>
        <v>1.1299999999999999</v>
      </c>
      <c r="AI65">
        <f>Table1[[#This Row],[t gain]]/2</f>
        <v>0.81499999999999995</v>
      </c>
      <c r="AJ65">
        <f>Table1[[#This Row],[g kinetic trace]]* String2Single(CONCATENATE(Table1[[#This Row],[g gain hex]], "00")) + String2Single(CONCATENATE(Table1[[#This Row],[g bias hex]], "00"))</f>
        <v>1.129974365234375</v>
      </c>
      <c r="AK65">
        <f xml:space="preserve"> Table1[[#This Row],[g ptrace]]*Table1[[#This Row],[ISM]]</f>
        <v>72.318359375</v>
      </c>
      <c r="AL65">
        <f>'Pulse data'!M68</f>
        <v>0</v>
      </c>
      <c r="AM65">
        <f>Table1[[#This Row],[t bias]]+1</f>
        <v>1.63</v>
      </c>
      <c r="AN65">
        <f>Table1[[#This Row],[t gain]]-0.5</f>
        <v>1.1299999999999999</v>
      </c>
      <c r="AO65">
        <f>Table1[[#This Row],[a kinetic trace]]* String2Single(CONCATENATE(Table1[[#This Row],[a gain hex]], "00")) + String2Single(CONCATENATE(Table1[[#This Row],[a bias hex]], "00"))</f>
        <v>1.629974365234375</v>
      </c>
      <c r="AP65">
        <f xml:space="preserve"> Table1[[#This Row],[a ptrace]]*Table1[[#This Row],[ISM]]</f>
        <v>104.318359375</v>
      </c>
      <c r="AQ65">
        <f>'Pulse data'!L68</f>
        <v>0</v>
      </c>
      <c r="AR65">
        <f>Table1[[#This Row],[t bias]]</f>
        <v>0.63</v>
      </c>
      <c r="AS65">
        <f>Table1[[#This Row],[t gain]]</f>
        <v>1.63</v>
      </c>
      <c r="AT65">
        <f>Table1[[#This Row],[c kinetic trace]]* String2Single(CONCATENATE(Table1[[#This Row],[c gain hex]], "00")) + String2Single(CONCATENATE(Table1[[#This Row],[c bias hex]], "00"))</f>
        <v>0.6299896240234375</v>
      </c>
      <c r="AU65">
        <f xml:space="preserve"> Table1[[#This Row],[c ptrace]]*Table1[[#This Row],[ISM]]</f>
        <v>40.3193359375</v>
      </c>
      <c r="AV65">
        <f xml:space="preserve"> Table1[[#This Row],[t ctrace]] + Table1[[#This Row],[g ctrace]] + Table1[[#This Row],[a ctrace]] + Table1[[#This Row],[c ctrace]]</f>
        <v>257.275390625</v>
      </c>
      <c r="AW65" s="2" t="str">
        <f>DEC2HEX(Table1[[#This Row],[row]], 3)</f>
        <v>004</v>
      </c>
      <c r="AX65" s="1" t="str">
        <f>DEC2HEX(Table1[[#This Row],[col]], 3)</f>
        <v>07D</v>
      </c>
      <c r="AY65" s="1" t="str">
        <f>DEC2HEX(Table1[[#This Row],[grn fsp idx]], 2)</f>
        <v>7F</v>
      </c>
      <c r="AZ65" s="1" t="str">
        <f>DEC2HEX(Table1[[#This Row],[red fsp idx]], 2)</f>
        <v>80</v>
      </c>
      <c r="BA65" s="1" t="str">
        <f>DEC2HEX(Table1[[#This Row],[ISMI]], 2)</f>
        <v>3F</v>
      </c>
      <c r="BB65" s="1">
        <f>LEN(Table1[[#This Row],[DRAM data]])</f>
        <v>64</v>
      </c>
      <c r="BC6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00407D7F803F3F21473FD0A33F90A33F50A33FD0A33F90A33F21473FD0A30002</v>
      </c>
      <c r="BV65"/>
    </row>
    <row r="66" spans="1:74" x14ac:dyDescent="0.25">
      <c r="A66" s="1" t="str">
        <f xml:space="preserve"> LEFT(Sng2String(Table1[[#This Row],[c bias]]), 6)</f>
        <v>3F23D7</v>
      </c>
      <c r="B66" s="1" t="str">
        <f xml:space="preserve"> LEFT(Sng2String(Table1[[#This Row],[a bias]]), 6)</f>
        <v>3FD1EB</v>
      </c>
      <c r="C66" s="1" t="str">
        <f xml:space="preserve"> LEFT(Sng2String(Table1[[#This Row],[g bias]]), 6)</f>
        <v>3F91EB</v>
      </c>
      <c r="D66" s="1" t="str">
        <f xml:space="preserve"> LEFT(Sng2String(Table1[[#This Row],[t bias]]), 6)</f>
        <v>3F23D7</v>
      </c>
      <c r="E66" s="1" t="str">
        <f xml:space="preserve"> LEFT(Sng2String(Table1[[#This Row],[c gain]]), 6)</f>
        <v>3FD1EB</v>
      </c>
      <c r="F66" s="1" t="str">
        <f xml:space="preserve"> LEFT(Sng2String(Table1[[#This Row],[a gain]]), 6)</f>
        <v>3F91EB</v>
      </c>
      <c r="G66" s="1" t="str">
        <f xml:space="preserve"> LEFT(Sng2String(Table1[[#This Row],[g gain]]), 6)</f>
        <v>3F51EB</v>
      </c>
      <c r="H66" s="1" t="str">
        <f xml:space="preserve"> LEFT(Sng2String(Table1[[#This Row],[t gain]]), 6)</f>
        <v>3FD1EB</v>
      </c>
      <c r="I66" t="str">
        <f xml:space="preserve"> Sng2String(Table1[[#This Row],[c ptrace]])</f>
        <v>3F23D700</v>
      </c>
      <c r="J66" t="str">
        <f xml:space="preserve"> Sng2String(Table1[[#This Row],[a ptrace]])</f>
        <v>3FD1EB00</v>
      </c>
      <c r="K66" t="str">
        <f xml:space="preserve"> Sng2String(Table1[[#This Row],[g ptrace]])</f>
        <v>3F91EB00</v>
      </c>
      <c r="L66" t="str">
        <f>Sng2String(Table1[[#This Row],[t ptrace]])</f>
        <v>3F23D700</v>
      </c>
      <c r="M66" t="str">
        <f xml:space="preserve"> INDEX(SmallFP!$A$1:$A$256, Table1[[#This Row],[ISMI]]+1)</f>
        <v>428200</v>
      </c>
      <c r="N66" t="str">
        <f>Single2String(Table1[[#This Row],[c ctrace]])</f>
        <v>4226665C</v>
      </c>
      <c r="O66" t="str">
        <f>Single2String(Table1[[#This Row],[a ctrace]])</f>
        <v>42D532AC</v>
      </c>
      <c r="P66" t="str">
        <f xml:space="preserve"> Single2String(Table1[[#This Row],[g ctrace]])</f>
        <v>429432AC</v>
      </c>
      <c r="Q66" t="str">
        <f xml:space="preserve"> Single2String(Table1[[#This Row],[t ctrace]])</f>
        <v>4226665C</v>
      </c>
      <c r="R66" t="str">
        <f>Single2String(Table1[[#This Row],[grn and red ctrace]])</f>
        <v>4383F2ED</v>
      </c>
      <c r="S66">
        <v>64</v>
      </c>
      <c r="T66" t="str">
        <f>DEC2HEX(Table1[[#This Row],[ZMW num]])</f>
        <v>40</v>
      </c>
      <c r="U66">
        <f>Table1[[#This Row],[ZMW num]]+1</f>
        <v>65</v>
      </c>
      <c r="V66">
        <v>6</v>
      </c>
      <c r="W66">
        <f>W2</f>
        <v>3</v>
      </c>
      <c r="X66">
        <v>129</v>
      </c>
      <c r="Y66">
        <v>126</v>
      </c>
      <c r="Z66">
        <f>MOD(Table1[[#This Row],[ZMW num]], 2^8)</f>
        <v>64</v>
      </c>
      <c r="AA66">
        <f xml:space="preserve"> String2Single(Table1[[#This Row],[t ISIM hex]] &amp; "00")</f>
        <v>65</v>
      </c>
      <c r="AB66">
        <f>'Pulse data'!O69</f>
        <v>0</v>
      </c>
      <c r="AC66">
        <f>Table1[[#This Row],[ZMW num]]*0.01</f>
        <v>0.64</v>
      </c>
      <c r="AD66">
        <f>1+Table1[[#This Row],[t bias]]</f>
        <v>1.6400000000000001</v>
      </c>
      <c r="AE66">
        <f>Table1[[#This Row],[t kinetic trace]]* String2Single(CONCATENATE(Table1[[#This Row],[t gain hex]], "00")) + String2Single(CONCATENATE(Table1[[#This Row],[t bias hex]], "00"))</f>
        <v>0.6399993896484375</v>
      </c>
      <c r="AF66">
        <f xml:space="preserve"> Table1[[#This Row],[t ptrace]]*Table1[[#This Row],[ISM]]</f>
        <v>41.599960327148438</v>
      </c>
      <c r="AG66">
        <f>'Pulse data'!N69</f>
        <v>0</v>
      </c>
      <c r="AH66">
        <f>Table1[[#This Row],[t bias]]+0.5</f>
        <v>1.1400000000000001</v>
      </c>
      <c r="AI66">
        <f>Table1[[#This Row],[t gain]]/2</f>
        <v>0.82000000000000006</v>
      </c>
      <c r="AJ66">
        <f>Table1[[#This Row],[g kinetic trace]]* String2Single(CONCATENATE(Table1[[#This Row],[g gain hex]], "00")) + String2Single(CONCATENATE(Table1[[#This Row],[g bias hex]], "00"))</f>
        <v>1.139984130859375</v>
      </c>
      <c r="AK66">
        <f xml:space="preserve"> Table1[[#This Row],[g ptrace]]*Table1[[#This Row],[ISM]]</f>
        <v>74.098968505859375</v>
      </c>
      <c r="AL66">
        <f>'Pulse data'!M69</f>
        <v>0</v>
      </c>
      <c r="AM66">
        <f>Table1[[#This Row],[t bias]]+1</f>
        <v>1.6400000000000001</v>
      </c>
      <c r="AN66">
        <f>Table1[[#This Row],[t gain]]-0.5</f>
        <v>1.1400000000000001</v>
      </c>
      <c r="AO66">
        <f>Table1[[#This Row],[a kinetic trace]]* String2Single(CONCATENATE(Table1[[#This Row],[a gain hex]], "00")) + String2Single(CONCATENATE(Table1[[#This Row],[a bias hex]], "00"))</f>
        <v>1.639984130859375</v>
      </c>
      <c r="AP66">
        <f xml:space="preserve"> Table1[[#This Row],[a ptrace]]*Table1[[#This Row],[ISM]]</f>
        <v>106.59896850585937</v>
      </c>
      <c r="AQ66">
        <f>'Pulse data'!L69</f>
        <v>0</v>
      </c>
      <c r="AR66">
        <f>Table1[[#This Row],[t bias]]</f>
        <v>0.64</v>
      </c>
      <c r="AS66">
        <f>Table1[[#This Row],[t gain]]</f>
        <v>1.6400000000000001</v>
      </c>
      <c r="AT66">
        <f>Table1[[#This Row],[c kinetic trace]]* String2Single(CONCATENATE(Table1[[#This Row],[c gain hex]], "00")) + String2Single(CONCATENATE(Table1[[#This Row],[c bias hex]], "00"))</f>
        <v>0.6399993896484375</v>
      </c>
      <c r="AU66">
        <f xml:space="preserve"> Table1[[#This Row],[c ptrace]]*Table1[[#This Row],[ISM]]</f>
        <v>41.599960327148438</v>
      </c>
      <c r="AV66">
        <f xml:space="preserve"> Table1[[#This Row],[t ctrace]] + Table1[[#This Row],[g ctrace]] + Table1[[#This Row],[a ctrace]] + Table1[[#This Row],[c ctrace]]</f>
        <v>263.89785766601562</v>
      </c>
      <c r="AW66" s="2" t="str">
        <f>DEC2HEX(Table1[[#This Row],[row]], 3)</f>
        <v>006</v>
      </c>
      <c r="AX66" s="1" t="str">
        <f>DEC2HEX(Table1[[#This Row],[col]], 3)</f>
        <v>003</v>
      </c>
      <c r="AY66" s="1" t="str">
        <f>DEC2HEX(Table1[[#This Row],[grn fsp idx]], 2)</f>
        <v>81</v>
      </c>
      <c r="AZ66" s="1" t="str">
        <f>DEC2HEX(Table1[[#This Row],[red fsp idx]], 2)</f>
        <v>7E</v>
      </c>
      <c r="BA66" s="1" t="str">
        <f>DEC2HEX(Table1[[#This Row],[ISMI]], 2)</f>
        <v>40</v>
      </c>
      <c r="BB66" s="1">
        <f>LEN(Table1[[#This Row],[DRAM data]])</f>
        <v>64</v>
      </c>
      <c r="BC6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006003817E403F23D73FD1EB3F91EB3F51EB3FD1EB3F91EB3F23D73FD1EB0002</v>
      </c>
      <c r="BV66"/>
    </row>
    <row r="67" spans="1:74" x14ac:dyDescent="0.25">
      <c r="A67" s="1" t="str">
        <f xml:space="preserve"> LEFT(Sng2String(Table1[[#This Row],[c bias]]), 6)</f>
        <v>3F2666</v>
      </c>
      <c r="B67" s="1" t="str">
        <f xml:space="preserve"> LEFT(Sng2String(Table1[[#This Row],[a bias]]), 6)</f>
        <v>3FD333</v>
      </c>
      <c r="C67" s="1" t="str">
        <f xml:space="preserve"> LEFT(Sng2String(Table1[[#This Row],[g bias]]), 6)</f>
        <v>3F9333</v>
      </c>
      <c r="D67" s="1" t="str">
        <f xml:space="preserve"> LEFT(Sng2String(Table1[[#This Row],[t bias]]), 6)</f>
        <v>3F2666</v>
      </c>
      <c r="E67" s="1" t="str">
        <f xml:space="preserve"> LEFT(Sng2String(Table1[[#This Row],[c gain]]), 6)</f>
        <v>3FD333</v>
      </c>
      <c r="F67" s="1" t="str">
        <f xml:space="preserve"> LEFT(Sng2String(Table1[[#This Row],[a gain]]), 6)</f>
        <v>3F9333</v>
      </c>
      <c r="G67" s="1" t="str">
        <f xml:space="preserve"> LEFT(Sng2String(Table1[[#This Row],[g gain]]), 6)</f>
        <v>3F5333</v>
      </c>
      <c r="H67" s="1" t="str">
        <f xml:space="preserve"> LEFT(Sng2String(Table1[[#This Row],[t gain]]), 6)</f>
        <v>3FD333</v>
      </c>
      <c r="I67" t="str">
        <f xml:space="preserve"> Sng2String(Table1[[#This Row],[c ptrace]])</f>
        <v>3F266600</v>
      </c>
      <c r="J67" t="str">
        <f xml:space="preserve"> Sng2String(Table1[[#This Row],[a ptrace]])</f>
        <v>3FD33300</v>
      </c>
      <c r="K67" t="str">
        <f xml:space="preserve"> Sng2String(Table1[[#This Row],[g ptrace]])</f>
        <v>3F933300</v>
      </c>
      <c r="L67" t="str">
        <f>Sng2String(Table1[[#This Row],[t ptrace]])</f>
        <v>3F266600</v>
      </c>
      <c r="M67" t="str">
        <f xml:space="preserve"> INDEX(SmallFP!$A$1:$A$256, Table1[[#This Row],[ISMI]]+1)</f>
        <v>428400</v>
      </c>
      <c r="N67" t="str">
        <f>Single2String(Table1[[#This Row],[c ctrace]])</f>
        <v>422B9930</v>
      </c>
      <c r="O67" t="str">
        <f>Single2String(Table1[[#This Row],[a ctrace]])</f>
        <v>42D9CC98</v>
      </c>
      <c r="P67" t="str">
        <f xml:space="preserve"> Single2String(Table1[[#This Row],[g ctrace]])</f>
        <v>4297CC98</v>
      </c>
      <c r="Q67" t="str">
        <f xml:space="preserve"> Single2String(Table1[[#This Row],[t ctrace]])</f>
        <v>422B9930</v>
      </c>
      <c r="R67" t="str">
        <f>Single2String(Table1[[#This Row],[grn and red ctrace]])</f>
        <v>43874C98</v>
      </c>
      <c r="S67">
        <v>65</v>
      </c>
      <c r="T67" t="str">
        <f>DEC2HEX(Table1[[#This Row],[ZMW num]])</f>
        <v>41</v>
      </c>
      <c r="U67">
        <f>Table1[[#This Row],[ZMW num]]+1</f>
        <v>66</v>
      </c>
      <c r="V67">
        <v>6</v>
      </c>
      <c r="W67">
        <f t="shared" ref="W67:W97" si="1">W3</f>
        <v>5</v>
      </c>
      <c r="X67">
        <v>131</v>
      </c>
      <c r="Y67">
        <v>124</v>
      </c>
      <c r="Z67">
        <f>MOD(Table1[[#This Row],[ZMW num]], 2^8)</f>
        <v>65</v>
      </c>
      <c r="AA67">
        <f xml:space="preserve"> String2Single(Table1[[#This Row],[t ISIM hex]] &amp; "00")</f>
        <v>66</v>
      </c>
      <c r="AB67">
        <f>'Pulse data'!O70</f>
        <v>0</v>
      </c>
      <c r="AC67">
        <f>Table1[[#This Row],[ZMW num]]*0.01</f>
        <v>0.65</v>
      </c>
      <c r="AD67">
        <f>1+Table1[[#This Row],[t bias]]</f>
        <v>1.65</v>
      </c>
      <c r="AE67">
        <f>Table1[[#This Row],[t kinetic trace]]* String2Single(CONCATENATE(Table1[[#This Row],[t gain hex]], "00")) + String2Single(CONCATENATE(Table1[[#This Row],[t bias hex]], "00"))</f>
        <v>0.649993896484375</v>
      </c>
      <c r="AF67">
        <f xml:space="preserve"> Table1[[#This Row],[t ptrace]]*Table1[[#This Row],[ISM]]</f>
        <v>42.89959716796875</v>
      </c>
      <c r="AG67">
        <f>'Pulse data'!N70</f>
        <v>0</v>
      </c>
      <c r="AH67">
        <f>Table1[[#This Row],[t bias]]+0.5</f>
        <v>1.1499999999999999</v>
      </c>
      <c r="AI67">
        <f>Table1[[#This Row],[t gain]]/2</f>
        <v>0.82499999999999996</v>
      </c>
      <c r="AJ67">
        <f>Table1[[#This Row],[g kinetic trace]]* String2Single(CONCATENATE(Table1[[#This Row],[g gain hex]], "00")) + String2Single(CONCATENATE(Table1[[#This Row],[g bias hex]], "00"))</f>
        <v>1.149993896484375</v>
      </c>
      <c r="AK67">
        <f xml:space="preserve"> Table1[[#This Row],[g ptrace]]*Table1[[#This Row],[ISM]]</f>
        <v>75.89959716796875</v>
      </c>
      <c r="AL67">
        <f>'Pulse data'!M70</f>
        <v>0</v>
      </c>
      <c r="AM67">
        <f>Table1[[#This Row],[t bias]]+1</f>
        <v>1.65</v>
      </c>
      <c r="AN67">
        <f>Table1[[#This Row],[t gain]]-0.5</f>
        <v>1.1499999999999999</v>
      </c>
      <c r="AO67">
        <f>Table1[[#This Row],[a kinetic trace]]* String2Single(CONCATENATE(Table1[[#This Row],[a gain hex]], "00")) + String2Single(CONCATENATE(Table1[[#This Row],[a bias hex]], "00"))</f>
        <v>1.649993896484375</v>
      </c>
      <c r="AP67">
        <f xml:space="preserve"> Table1[[#This Row],[a ptrace]]*Table1[[#This Row],[ISM]]</f>
        <v>108.89959716796875</v>
      </c>
      <c r="AQ67">
        <f>'Pulse data'!L70</f>
        <v>0</v>
      </c>
      <c r="AR67">
        <f>Table1[[#This Row],[t bias]]</f>
        <v>0.65</v>
      </c>
      <c r="AS67">
        <f>Table1[[#This Row],[t gain]]</f>
        <v>1.65</v>
      </c>
      <c r="AT67">
        <f>Table1[[#This Row],[c kinetic trace]]* String2Single(CONCATENATE(Table1[[#This Row],[c gain hex]], "00")) + String2Single(CONCATENATE(Table1[[#This Row],[c bias hex]], "00"))</f>
        <v>0.649993896484375</v>
      </c>
      <c r="AU67">
        <f xml:space="preserve"> Table1[[#This Row],[c ptrace]]*Table1[[#This Row],[ISM]]</f>
        <v>42.89959716796875</v>
      </c>
      <c r="AV67">
        <f xml:space="preserve"> Table1[[#This Row],[t ctrace]] + Table1[[#This Row],[g ctrace]] + Table1[[#This Row],[a ctrace]] + Table1[[#This Row],[c ctrace]]</f>
        <v>270.598388671875</v>
      </c>
      <c r="AW67" s="2" t="str">
        <f>DEC2HEX(Table1[[#This Row],[row]], 3)</f>
        <v>006</v>
      </c>
      <c r="AX67" s="1" t="str">
        <f>DEC2HEX(Table1[[#This Row],[col]], 3)</f>
        <v>005</v>
      </c>
      <c r="AY67" s="1" t="str">
        <f>DEC2HEX(Table1[[#This Row],[grn fsp idx]], 2)</f>
        <v>83</v>
      </c>
      <c r="AZ67" s="1" t="str">
        <f>DEC2HEX(Table1[[#This Row],[red fsp idx]], 2)</f>
        <v>7C</v>
      </c>
      <c r="BA67" s="1" t="str">
        <f>DEC2HEX(Table1[[#This Row],[ISMI]], 2)</f>
        <v>41</v>
      </c>
      <c r="BB67" s="1">
        <f>LEN(Table1[[#This Row],[DRAM data]])</f>
        <v>64</v>
      </c>
      <c r="BC6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006005837C413F26663FD3333F93333F53333FD3333F93333F26663FD3330002</v>
      </c>
      <c r="BV67"/>
    </row>
    <row r="68" spans="1:74" x14ac:dyDescent="0.25">
      <c r="A68" s="1" t="str">
        <f xml:space="preserve"> LEFT(Sng2String(Table1[[#This Row],[c bias]]), 6)</f>
        <v>3F28F5</v>
      </c>
      <c r="B68" s="1" t="str">
        <f xml:space="preserve"> LEFT(Sng2String(Table1[[#This Row],[a bias]]), 6)</f>
        <v>3FD47A</v>
      </c>
      <c r="C68" s="1" t="str">
        <f xml:space="preserve"> LEFT(Sng2String(Table1[[#This Row],[g bias]]), 6)</f>
        <v>3F947A</v>
      </c>
      <c r="D68" s="1" t="str">
        <f xml:space="preserve"> LEFT(Sng2String(Table1[[#This Row],[t bias]]), 6)</f>
        <v>3F28F5</v>
      </c>
      <c r="E68" s="1" t="str">
        <f xml:space="preserve"> LEFT(Sng2String(Table1[[#This Row],[c gain]]), 6)</f>
        <v>3FD47A</v>
      </c>
      <c r="F68" s="1" t="str">
        <f xml:space="preserve"> LEFT(Sng2String(Table1[[#This Row],[a gain]]), 6)</f>
        <v>3F947A</v>
      </c>
      <c r="G68" s="1" t="str">
        <f xml:space="preserve"> LEFT(Sng2String(Table1[[#This Row],[g gain]]), 6)</f>
        <v>3F547A</v>
      </c>
      <c r="H68" s="1" t="str">
        <f xml:space="preserve"> LEFT(Sng2String(Table1[[#This Row],[t gain]]), 6)</f>
        <v>3FD47A</v>
      </c>
      <c r="I68" t="str">
        <f xml:space="preserve"> Sng2String(Table1[[#This Row],[c ptrace]])</f>
        <v>3F28F500</v>
      </c>
      <c r="J68" t="str">
        <f xml:space="preserve"> Sng2String(Table1[[#This Row],[a ptrace]])</f>
        <v>3FD47A00</v>
      </c>
      <c r="K68" t="str">
        <f xml:space="preserve"> Sng2String(Table1[[#This Row],[g ptrace]])</f>
        <v>3F947A00</v>
      </c>
      <c r="L68" t="str">
        <f>Sng2String(Table1[[#This Row],[t ptrace]])</f>
        <v>3F28F500</v>
      </c>
      <c r="M68" t="str">
        <f xml:space="preserve"> INDEX(SmallFP!$A$1:$A$256, Table1[[#This Row],[ISMI]]+1)</f>
        <v>428600</v>
      </c>
      <c r="N68" t="str">
        <f>Single2String(Table1[[#This Row],[c ctrace]])</f>
        <v>4230E07C</v>
      </c>
      <c r="O68" t="str">
        <f>Single2String(Table1[[#This Row],[a ctrace]])</f>
        <v>42DE6FB8</v>
      </c>
      <c r="P68" t="str">
        <f xml:space="preserve"> Single2String(Table1[[#This Row],[g ctrace]])</f>
        <v>429B6FB8</v>
      </c>
      <c r="Q68" t="str">
        <f xml:space="preserve"> Single2String(Table1[[#This Row],[t ctrace]])</f>
        <v>4230E07C</v>
      </c>
      <c r="R68" t="str">
        <f>Single2String(Table1[[#This Row],[grn and red ctrace]])</f>
        <v>438AAFFB</v>
      </c>
      <c r="S68">
        <v>66</v>
      </c>
      <c r="T68" t="str">
        <f>DEC2HEX(Table1[[#This Row],[ZMW num]])</f>
        <v>42</v>
      </c>
      <c r="U68">
        <f>Table1[[#This Row],[ZMW num]]+1</f>
        <v>67</v>
      </c>
      <c r="V68">
        <v>6</v>
      </c>
      <c r="W68">
        <f t="shared" si="1"/>
        <v>8</v>
      </c>
      <c r="X68">
        <v>133</v>
      </c>
      <c r="Y68">
        <v>122</v>
      </c>
      <c r="Z68">
        <f>MOD(Table1[[#This Row],[ZMW num]], 2^8)</f>
        <v>66</v>
      </c>
      <c r="AA68">
        <f xml:space="preserve"> String2Single(Table1[[#This Row],[t ISIM hex]] &amp; "00")</f>
        <v>67</v>
      </c>
      <c r="AB68">
        <f>'Pulse data'!O71</f>
        <v>0</v>
      </c>
      <c r="AC68">
        <f>Table1[[#This Row],[ZMW num]]*0.01</f>
        <v>0.66</v>
      </c>
      <c r="AD68">
        <f>1+Table1[[#This Row],[t bias]]</f>
        <v>1.6600000000000001</v>
      </c>
      <c r="AE68">
        <f>Table1[[#This Row],[t kinetic trace]]* String2Single(CONCATENATE(Table1[[#This Row],[t gain hex]], "00")) + String2Single(CONCATENATE(Table1[[#This Row],[t bias hex]], "00"))</f>
        <v>0.6599884033203125</v>
      </c>
      <c r="AF68">
        <f xml:space="preserve"> Table1[[#This Row],[t ptrace]]*Table1[[#This Row],[ISM]]</f>
        <v>44.219223022460938</v>
      </c>
      <c r="AG68">
        <f>'Pulse data'!N71</f>
        <v>0</v>
      </c>
      <c r="AH68">
        <f>Table1[[#This Row],[t bias]]+0.5</f>
        <v>1.1600000000000001</v>
      </c>
      <c r="AI68">
        <f>Table1[[#This Row],[t gain]]/2</f>
        <v>0.83000000000000007</v>
      </c>
      <c r="AJ68">
        <f>Table1[[#This Row],[g kinetic trace]]* String2Single(CONCATENATE(Table1[[#This Row],[g gain hex]], "00")) + String2Single(CONCATENATE(Table1[[#This Row],[g bias hex]], "00"))</f>
        <v>1.15997314453125</v>
      </c>
      <c r="AK68">
        <f xml:space="preserve"> Table1[[#This Row],[g ptrace]]*Table1[[#This Row],[ISM]]</f>
        <v>77.71820068359375</v>
      </c>
      <c r="AL68">
        <f>'Pulse data'!M71</f>
        <v>0</v>
      </c>
      <c r="AM68">
        <f>Table1[[#This Row],[t bias]]+1</f>
        <v>1.6600000000000001</v>
      </c>
      <c r="AN68">
        <f>Table1[[#This Row],[t gain]]-0.5</f>
        <v>1.1600000000000001</v>
      </c>
      <c r="AO68">
        <f>Table1[[#This Row],[a kinetic trace]]* String2Single(CONCATENATE(Table1[[#This Row],[a gain hex]], "00")) + String2Single(CONCATENATE(Table1[[#This Row],[a bias hex]], "00"))</f>
        <v>1.65997314453125</v>
      </c>
      <c r="AP68">
        <f xml:space="preserve"> Table1[[#This Row],[a ptrace]]*Table1[[#This Row],[ISM]]</f>
        <v>111.21820068359375</v>
      </c>
      <c r="AQ68">
        <f>'Pulse data'!L71</f>
        <v>0</v>
      </c>
      <c r="AR68">
        <f>Table1[[#This Row],[t bias]]</f>
        <v>0.66</v>
      </c>
      <c r="AS68">
        <f>Table1[[#This Row],[t gain]]</f>
        <v>1.6600000000000001</v>
      </c>
      <c r="AT68">
        <f>Table1[[#This Row],[c kinetic trace]]* String2Single(CONCATENATE(Table1[[#This Row],[c gain hex]], "00")) + String2Single(CONCATENATE(Table1[[#This Row],[c bias hex]], "00"))</f>
        <v>0.6599884033203125</v>
      </c>
      <c r="AU68">
        <f xml:space="preserve"> Table1[[#This Row],[c ptrace]]*Table1[[#This Row],[ISM]]</f>
        <v>44.219223022460938</v>
      </c>
      <c r="AV68">
        <f xml:space="preserve"> Table1[[#This Row],[t ctrace]] + Table1[[#This Row],[g ctrace]] + Table1[[#This Row],[a ctrace]] + Table1[[#This Row],[c ctrace]]</f>
        <v>277.37484741210937</v>
      </c>
      <c r="AW68" s="2" t="str">
        <f>DEC2HEX(Table1[[#This Row],[row]], 3)</f>
        <v>006</v>
      </c>
      <c r="AX68" s="1" t="str">
        <f>DEC2HEX(Table1[[#This Row],[col]], 3)</f>
        <v>008</v>
      </c>
      <c r="AY68" s="1" t="str">
        <f>DEC2HEX(Table1[[#This Row],[grn fsp idx]], 2)</f>
        <v>85</v>
      </c>
      <c r="AZ68" s="1" t="str">
        <f>DEC2HEX(Table1[[#This Row],[red fsp idx]], 2)</f>
        <v>7A</v>
      </c>
      <c r="BA68" s="1" t="str">
        <f>DEC2HEX(Table1[[#This Row],[ISMI]], 2)</f>
        <v>42</v>
      </c>
      <c r="BB68" s="1">
        <f>LEN(Table1[[#This Row],[DRAM data]])</f>
        <v>64</v>
      </c>
      <c r="BC6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006008857A423F28F53FD47A3F947A3F547A3FD47A3F947A3F28F53FD47A0002</v>
      </c>
      <c r="BV68"/>
    </row>
    <row r="69" spans="1:74" x14ac:dyDescent="0.25">
      <c r="A69" s="1" t="str">
        <f xml:space="preserve"> LEFT(Sng2String(Table1[[#This Row],[c bias]]), 6)</f>
        <v>3F2B85</v>
      </c>
      <c r="B69" s="1" t="str">
        <f xml:space="preserve"> LEFT(Sng2String(Table1[[#This Row],[a bias]]), 6)</f>
        <v>3FD5C2</v>
      </c>
      <c r="C69" s="1" t="str">
        <f xml:space="preserve"> LEFT(Sng2String(Table1[[#This Row],[g bias]]), 6)</f>
        <v>3F95C2</v>
      </c>
      <c r="D69" s="1" t="str">
        <f xml:space="preserve"> LEFT(Sng2String(Table1[[#This Row],[t bias]]), 6)</f>
        <v>3F2B85</v>
      </c>
      <c r="E69" s="1" t="str">
        <f xml:space="preserve"> LEFT(Sng2String(Table1[[#This Row],[c gain]]), 6)</f>
        <v>3FD5C2</v>
      </c>
      <c r="F69" s="1" t="str">
        <f xml:space="preserve"> LEFT(Sng2String(Table1[[#This Row],[a gain]]), 6)</f>
        <v>3F95C2</v>
      </c>
      <c r="G69" s="1" t="str">
        <f xml:space="preserve"> LEFT(Sng2String(Table1[[#This Row],[g gain]]), 6)</f>
        <v>3F55C2</v>
      </c>
      <c r="H69" s="1" t="str">
        <f xml:space="preserve"> LEFT(Sng2String(Table1[[#This Row],[t gain]]), 6)</f>
        <v>3FD5C2</v>
      </c>
      <c r="I69" t="str">
        <f xml:space="preserve"> Sng2String(Table1[[#This Row],[c ptrace]])</f>
        <v>3F2B8500</v>
      </c>
      <c r="J69" t="str">
        <f xml:space="preserve"> Sng2String(Table1[[#This Row],[a ptrace]])</f>
        <v>3FD5C200</v>
      </c>
      <c r="K69" t="str">
        <f xml:space="preserve"> Sng2String(Table1[[#This Row],[g ptrace]])</f>
        <v>3F95C200</v>
      </c>
      <c r="L69" t="str">
        <f>Sng2String(Table1[[#This Row],[t ptrace]])</f>
        <v>3F2B8500</v>
      </c>
      <c r="M69" t="str">
        <f xml:space="preserve"> INDEX(SmallFP!$A$1:$A$256, Table1[[#This Row],[ISMI]]+1)</f>
        <v>428800</v>
      </c>
      <c r="N69" t="str">
        <f>Single2String(Table1[[#This Row],[c ctrace]])</f>
        <v>42363D50</v>
      </c>
      <c r="O69" t="str">
        <f>Single2String(Table1[[#This Row],[a ctrace]])</f>
        <v>42E31E20</v>
      </c>
      <c r="P69" t="str">
        <f xml:space="preserve"> Single2String(Table1[[#This Row],[g ctrace]])</f>
        <v>429F1E20</v>
      </c>
      <c r="Q69" t="str">
        <f xml:space="preserve"> Single2String(Table1[[#This Row],[t ctrace]])</f>
        <v>42363D50</v>
      </c>
      <c r="R69" t="str">
        <f>Single2String(Table1[[#This Row],[grn and red ctrace]])</f>
        <v>438E1E64</v>
      </c>
      <c r="S69">
        <v>67</v>
      </c>
      <c r="T69" t="str">
        <f>DEC2HEX(Table1[[#This Row],[ZMW num]])</f>
        <v>43</v>
      </c>
      <c r="U69">
        <f>Table1[[#This Row],[ZMW num]]+1</f>
        <v>68</v>
      </c>
      <c r="V69">
        <v>6</v>
      </c>
      <c r="W69">
        <f t="shared" si="1"/>
        <v>10</v>
      </c>
      <c r="X69">
        <v>135</v>
      </c>
      <c r="Y69">
        <v>120</v>
      </c>
      <c r="Z69">
        <f>MOD(Table1[[#This Row],[ZMW num]], 2^8)</f>
        <v>67</v>
      </c>
      <c r="AA69">
        <f xml:space="preserve"> String2Single(Table1[[#This Row],[t ISIM hex]] &amp; "00")</f>
        <v>68</v>
      </c>
      <c r="AB69">
        <f>'Pulse data'!O72</f>
        <v>0</v>
      </c>
      <c r="AC69">
        <f>Table1[[#This Row],[ZMW num]]*0.01</f>
        <v>0.67</v>
      </c>
      <c r="AD69">
        <f>1+Table1[[#This Row],[t bias]]</f>
        <v>1.67</v>
      </c>
      <c r="AE69">
        <f>Table1[[#This Row],[t kinetic trace]]* String2Single(CONCATENATE(Table1[[#This Row],[t gain hex]], "00")) + String2Single(CONCATENATE(Table1[[#This Row],[t bias hex]], "00"))</f>
        <v>0.6699981689453125</v>
      </c>
      <c r="AF69">
        <f xml:space="preserve"> Table1[[#This Row],[t ptrace]]*Table1[[#This Row],[ISM]]</f>
        <v>45.55987548828125</v>
      </c>
      <c r="AG69">
        <f>'Pulse data'!N72</f>
        <v>0</v>
      </c>
      <c r="AH69">
        <f>Table1[[#This Row],[t bias]]+0.5</f>
        <v>1.17</v>
      </c>
      <c r="AI69">
        <f>Table1[[#This Row],[t gain]]/2</f>
        <v>0.83499999999999996</v>
      </c>
      <c r="AJ69">
        <f>Table1[[#This Row],[g kinetic trace]]* String2Single(CONCATENATE(Table1[[#This Row],[g gain hex]], "00")) + String2Single(CONCATENATE(Table1[[#This Row],[g bias hex]], "00"))</f>
        <v>1.16998291015625</v>
      </c>
      <c r="AK69">
        <f xml:space="preserve"> Table1[[#This Row],[g ptrace]]*Table1[[#This Row],[ISM]]</f>
        <v>79.558837890625</v>
      </c>
      <c r="AL69">
        <f>'Pulse data'!M72</f>
        <v>0</v>
      </c>
      <c r="AM69">
        <f>Table1[[#This Row],[t bias]]+1</f>
        <v>1.67</v>
      </c>
      <c r="AN69">
        <f>Table1[[#This Row],[t gain]]-0.5</f>
        <v>1.17</v>
      </c>
      <c r="AO69">
        <f>Table1[[#This Row],[a kinetic trace]]* String2Single(CONCATENATE(Table1[[#This Row],[a gain hex]], "00")) + String2Single(CONCATENATE(Table1[[#This Row],[a bias hex]], "00"))</f>
        <v>1.66998291015625</v>
      </c>
      <c r="AP69">
        <f xml:space="preserve"> Table1[[#This Row],[a ptrace]]*Table1[[#This Row],[ISM]]</f>
        <v>113.558837890625</v>
      </c>
      <c r="AQ69">
        <f>'Pulse data'!L72</f>
        <v>0</v>
      </c>
      <c r="AR69">
        <f>Table1[[#This Row],[t bias]]</f>
        <v>0.67</v>
      </c>
      <c r="AS69">
        <f>Table1[[#This Row],[t gain]]</f>
        <v>1.67</v>
      </c>
      <c r="AT69">
        <f>Table1[[#This Row],[c kinetic trace]]* String2Single(CONCATENATE(Table1[[#This Row],[c gain hex]], "00")) + String2Single(CONCATENATE(Table1[[#This Row],[c bias hex]], "00"))</f>
        <v>0.6699981689453125</v>
      </c>
      <c r="AU69">
        <f xml:space="preserve"> Table1[[#This Row],[c ptrace]]*Table1[[#This Row],[ISM]]</f>
        <v>45.55987548828125</v>
      </c>
      <c r="AV69">
        <f xml:space="preserve"> Table1[[#This Row],[t ctrace]] + Table1[[#This Row],[g ctrace]] + Table1[[#This Row],[a ctrace]] + Table1[[#This Row],[c ctrace]]</f>
        <v>284.2374267578125</v>
      </c>
      <c r="AW69" s="2" t="str">
        <f>DEC2HEX(Table1[[#This Row],[row]], 3)</f>
        <v>006</v>
      </c>
      <c r="AX69" s="1" t="str">
        <f>DEC2HEX(Table1[[#This Row],[col]], 3)</f>
        <v>00A</v>
      </c>
      <c r="AY69" s="1" t="str">
        <f>DEC2HEX(Table1[[#This Row],[grn fsp idx]], 2)</f>
        <v>87</v>
      </c>
      <c r="AZ69" s="1" t="str">
        <f>DEC2HEX(Table1[[#This Row],[red fsp idx]], 2)</f>
        <v>78</v>
      </c>
      <c r="BA69" s="1" t="str">
        <f>DEC2HEX(Table1[[#This Row],[ISMI]], 2)</f>
        <v>43</v>
      </c>
      <c r="BB69" s="1">
        <f>LEN(Table1[[#This Row],[DRAM data]])</f>
        <v>64</v>
      </c>
      <c r="BC6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00600A8778433F2B853FD5C23F95C23F55C23FD5C23F95C23F2B853FD5C20002</v>
      </c>
      <c r="BV69"/>
    </row>
    <row r="70" spans="1:74" x14ac:dyDescent="0.25">
      <c r="A70" s="1" t="str">
        <f xml:space="preserve"> LEFT(Sng2String(Table1[[#This Row],[c bias]]), 6)</f>
        <v>3F2E14</v>
      </c>
      <c r="B70" s="1" t="str">
        <f xml:space="preserve"> LEFT(Sng2String(Table1[[#This Row],[a bias]]), 6)</f>
        <v>3FD70A</v>
      </c>
      <c r="C70" s="1" t="str">
        <f xml:space="preserve"> LEFT(Sng2String(Table1[[#This Row],[g bias]]), 6)</f>
        <v>3F970A</v>
      </c>
      <c r="D70" s="1" t="str">
        <f xml:space="preserve"> LEFT(Sng2String(Table1[[#This Row],[t bias]]), 6)</f>
        <v>3F2E14</v>
      </c>
      <c r="E70" s="1" t="str">
        <f xml:space="preserve"> LEFT(Sng2String(Table1[[#This Row],[c gain]]), 6)</f>
        <v>3FD70A</v>
      </c>
      <c r="F70" s="1" t="str">
        <f xml:space="preserve"> LEFT(Sng2String(Table1[[#This Row],[a gain]]), 6)</f>
        <v>3F970A</v>
      </c>
      <c r="G70" s="1" t="str">
        <f xml:space="preserve"> LEFT(Sng2String(Table1[[#This Row],[g gain]]), 6)</f>
        <v>3F570A</v>
      </c>
      <c r="H70" s="1" t="str">
        <f xml:space="preserve"> LEFT(Sng2String(Table1[[#This Row],[t gain]]), 6)</f>
        <v>3FD70A</v>
      </c>
      <c r="I70" t="str">
        <f xml:space="preserve"> Sng2String(Table1[[#This Row],[c ptrace]])</f>
        <v>3F2E1400</v>
      </c>
      <c r="J70" t="str">
        <f xml:space="preserve"> Sng2String(Table1[[#This Row],[a ptrace]])</f>
        <v>3FD70A00</v>
      </c>
      <c r="K70" t="str">
        <f xml:space="preserve"> Sng2String(Table1[[#This Row],[g ptrace]])</f>
        <v>3F970A00</v>
      </c>
      <c r="L70" t="str">
        <f>Sng2String(Table1[[#This Row],[t ptrace]])</f>
        <v>3F2E1400</v>
      </c>
      <c r="M70" t="str">
        <f xml:space="preserve"> INDEX(SmallFP!$A$1:$A$256, Table1[[#This Row],[ISMI]]+1)</f>
        <v>428A00</v>
      </c>
      <c r="N70" t="str">
        <f>Single2String(Table1[[#This Row],[c ctrace]])</f>
        <v>423BAD90</v>
      </c>
      <c r="O70" t="str">
        <f>Single2String(Table1[[#This Row],[a ctrace]])</f>
        <v>42E7D6C8</v>
      </c>
      <c r="P70" t="str">
        <f xml:space="preserve"> Single2String(Table1[[#This Row],[g ctrace]])</f>
        <v>42A2D6C8</v>
      </c>
      <c r="Q70" t="str">
        <f xml:space="preserve"> Single2String(Table1[[#This Row],[t ctrace]])</f>
        <v>423BAD90</v>
      </c>
      <c r="R70" t="str">
        <f>Single2String(Table1[[#This Row],[grn and red ctrace]])</f>
        <v>439196C8</v>
      </c>
      <c r="S70">
        <v>68</v>
      </c>
      <c r="T70" t="str">
        <f>DEC2HEX(Table1[[#This Row],[ZMW num]])</f>
        <v>44</v>
      </c>
      <c r="U70">
        <f>Table1[[#This Row],[ZMW num]]+1</f>
        <v>69</v>
      </c>
      <c r="V70">
        <v>6</v>
      </c>
      <c r="W70">
        <f t="shared" si="1"/>
        <v>14</v>
      </c>
      <c r="X70">
        <v>137</v>
      </c>
      <c r="Y70">
        <v>118</v>
      </c>
      <c r="Z70">
        <f>MOD(Table1[[#This Row],[ZMW num]], 2^8)</f>
        <v>68</v>
      </c>
      <c r="AA70">
        <f xml:space="preserve"> String2Single(Table1[[#This Row],[t ISIM hex]] &amp; "00")</f>
        <v>69</v>
      </c>
      <c r="AB70">
        <f>'Pulse data'!O73</f>
        <v>0</v>
      </c>
      <c r="AC70">
        <f>Table1[[#This Row],[ZMW num]]*0.01</f>
        <v>0.68</v>
      </c>
      <c r="AD70">
        <f>1+Table1[[#This Row],[t bias]]</f>
        <v>1.6800000000000002</v>
      </c>
      <c r="AE70">
        <f>Table1[[#This Row],[t kinetic trace]]* String2Single(CONCATENATE(Table1[[#This Row],[t gain hex]], "00")) + String2Single(CONCATENATE(Table1[[#This Row],[t bias hex]], "00"))</f>
        <v>0.67999267578125</v>
      </c>
      <c r="AF70">
        <f xml:space="preserve"> Table1[[#This Row],[t ptrace]]*Table1[[#This Row],[ISM]]</f>
        <v>46.91949462890625</v>
      </c>
      <c r="AG70">
        <f>'Pulse data'!N73</f>
        <v>0</v>
      </c>
      <c r="AH70">
        <f>Table1[[#This Row],[t bias]]+0.5</f>
        <v>1.1800000000000002</v>
      </c>
      <c r="AI70">
        <f>Table1[[#This Row],[t gain]]/2</f>
        <v>0.84000000000000008</v>
      </c>
      <c r="AJ70">
        <f>Table1[[#This Row],[g kinetic trace]]* String2Single(CONCATENATE(Table1[[#This Row],[g gain hex]], "00")) + String2Single(CONCATENATE(Table1[[#This Row],[g bias hex]], "00"))</f>
        <v>1.17999267578125</v>
      </c>
      <c r="AK70">
        <f xml:space="preserve"> Table1[[#This Row],[g ptrace]]*Table1[[#This Row],[ISM]]</f>
        <v>81.41949462890625</v>
      </c>
      <c r="AL70">
        <f>'Pulse data'!M73</f>
        <v>0</v>
      </c>
      <c r="AM70">
        <f>Table1[[#This Row],[t bias]]+1</f>
        <v>1.6800000000000002</v>
      </c>
      <c r="AN70">
        <f>Table1[[#This Row],[t gain]]-0.5</f>
        <v>1.1800000000000002</v>
      </c>
      <c r="AO70">
        <f>Table1[[#This Row],[a kinetic trace]]* String2Single(CONCATENATE(Table1[[#This Row],[a gain hex]], "00")) + String2Single(CONCATENATE(Table1[[#This Row],[a bias hex]], "00"))</f>
        <v>1.67999267578125</v>
      </c>
      <c r="AP70">
        <f xml:space="preserve"> Table1[[#This Row],[a ptrace]]*Table1[[#This Row],[ISM]]</f>
        <v>115.91949462890625</v>
      </c>
      <c r="AQ70">
        <f>'Pulse data'!L73</f>
        <v>0</v>
      </c>
      <c r="AR70">
        <f>Table1[[#This Row],[t bias]]</f>
        <v>0.68</v>
      </c>
      <c r="AS70">
        <f>Table1[[#This Row],[t gain]]</f>
        <v>1.6800000000000002</v>
      </c>
      <c r="AT70">
        <f>Table1[[#This Row],[c kinetic trace]]* String2Single(CONCATENATE(Table1[[#This Row],[c gain hex]], "00")) + String2Single(CONCATENATE(Table1[[#This Row],[c bias hex]], "00"))</f>
        <v>0.67999267578125</v>
      </c>
      <c r="AU70">
        <f xml:space="preserve"> Table1[[#This Row],[c ptrace]]*Table1[[#This Row],[ISM]]</f>
        <v>46.91949462890625</v>
      </c>
      <c r="AV70">
        <f xml:space="preserve"> Table1[[#This Row],[t ctrace]] + Table1[[#This Row],[g ctrace]] + Table1[[#This Row],[a ctrace]] + Table1[[#This Row],[c ctrace]]</f>
        <v>291.177978515625</v>
      </c>
      <c r="AW70" s="2" t="str">
        <f>DEC2HEX(Table1[[#This Row],[row]], 3)</f>
        <v>006</v>
      </c>
      <c r="AX70" s="1" t="str">
        <f>DEC2HEX(Table1[[#This Row],[col]], 3)</f>
        <v>00E</v>
      </c>
      <c r="AY70" s="1" t="str">
        <f>DEC2HEX(Table1[[#This Row],[grn fsp idx]], 2)</f>
        <v>89</v>
      </c>
      <c r="AZ70" s="1" t="str">
        <f>DEC2HEX(Table1[[#This Row],[red fsp idx]], 2)</f>
        <v>76</v>
      </c>
      <c r="BA70" s="1" t="str">
        <f>DEC2HEX(Table1[[#This Row],[ISMI]], 2)</f>
        <v>44</v>
      </c>
      <c r="BB70" s="1">
        <f>LEN(Table1[[#This Row],[DRAM data]])</f>
        <v>64</v>
      </c>
      <c r="BC7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00600E8976443F2E143FD70A3F970A3F570A3FD70A3F970A3F2E143FD70A0002</v>
      </c>
      <c r="BV70"/>
    </row>
    <row r="71" spans="1:74" x14ac:dyDescent="0.25">
      <c r="A71" s="1" t="str">
        <f xml:space="preserve"> LEFT(Sng2String(Table1[[#This Row],[c bias]]), 6)</f>
        <v>3F30A3</v>
      </c>
      <c r="B71" s="1" t="str">
        <f xml:space="preserve"> LEFT(Sng2String(Table1[[#This Row],[a bias]]), 6)</f>
        <v>3FD851</v>
      </c>
      <c r="C71" s="1" t="str">
        <f xml:space="preserve"> LEFT(Sng2String(Table1[[#This Row],[g bias]]), 6)</f>
        <v>3F9851</v>
      </c>
      <c r="D71" s="1" t="str">
        <f xml:space="preserve"> LEFT(Sng2String(Table1[[#This Row],[t bias]]), 6)</f>
        <v>3F30A3</v>
      </c>
      <c r="E71" s="1" t="str">
        <f xml:space="preserve"> LEFT(Sng2String(Table1[[#This Row],[c gain]]), 6)</f>
        <v>3FD851</v>
      </c>
      <c r="F71" s="1" t="str">
        <f xml:space="preserve"> LEFT(Sng2String(Table1[[#This Row],[a gain]]), 6)</f>
        <v>3F9851</v>
      </c>
      <c r="G71" s="1" t="str">
        <f xml:space="preserve"> LEFT(Sng2String(Table1[[#This Row],[g gain]]), 6)</f>
        <v>3F5851</v>
      </c>
      <c r="H71" s="1" t="str">
        <f xml:space="preserve"> LEFT(Sng2String(Table1[[#This Row],[t gain]]), 6)</f>
        <v>3FD851</v>
      </c>
      <c r="I71" t="str">
        <f xml:space="preserve"> Sng2String(Table1[[#This Row],[c ptrace]])</f>
        <v>3F30A300</v>
      </c>
      <c r="J71" t="str">
        <f xml:space="preserve"> Sng2String(Table1[[#This Row],[a ptrace]])</f>
        <v>3FD85100</v>
      </c>
      <c r="K71" t="str">
        <f xml:space="preserve"> Sng2String(Table1[[#This Row],[g ptrace]])</f>
        <v>3F985100</v>
      </c>
      <c r="L71" t="str">
        <f>Sng2String(Table1[[#This Row],[t ptrace]])</f>
        <v>3F30A300</v>
      </c>
      <c r="M71" t="str">
        <f xml:space="preserve"> INDEX(SmallFP!$A$1:$A$256, Table1[[#This Row],[ISMI]]+1)</f>
        <v>428C00</v>
      </c>
      <c r="N71" t="str">
        <f>Single2String(Table1[[#This Row],[c ctrace]])</f>
        <v>42413248</v>
      </c>
      <c r="O71" t="str">
        <f>Single2String(Table1[[#This Row],[a ctrace]])</f>
        <v>42EC9898</v>
      </c>
      <c r="P71" t="str">
        <f xml:space="preserve"> Single2String(Table1[[#This Row],[g ctrace]])</f>
        <v>42A69898</v>
      </c>
      <c r="Q71" t="str">
        <f xml:space="preserve"> Single2String(Table1[[#This Row],[t ctrace]])</f>
        <v>42413248</v>
      </c>
      <c r="R71" t="str">
        <f>Single2String(Table1[[#This Row],[grn and red ctrace]])</f>
        <v>439518DE</v>
      </c>
      <c r="S71">
        <v>69</v>
      </c>
      <c r="T71" t="str">
        <f>DEC2HEX(Table1[[#This Row],[ZMW num]])</f>
        <v>45</v>
      </c>
      <c r="U71">
        <f>Table1[[#This Row],[ZMW num]]+1</f>
        <v>70</v>
      </c>
      <c r="V71">
        <v>6</v>
      </c>
      <c r="W71">
        <f t="shared" si="1"/>
        <v>15</v>
      </c>
      <c r="X71">
        <v>139</v>
      </c>
      <c r="Y71">
        <v>116</v>
      </c>
      <c r="Z71">
        <f>MOD(Table1[[#This Row],[ZMW num]], 2^8)</f>
        <v>69</v>
      </c>
      <c r="AA71">
        <f xml:space="preserve"> String2Single(Table1[[#This Row],[t ISIM hex]] &amp; "00")</f>
        <v>70</v>
      </c>
      <c r="AB71">
        <f>'Pulse data'!O74</f>
        <v>0</v>
      </c>
      <c r="AC71">
        <f>Table1[[#This Row],[ZMW num]]*0.01</f>
        <v>0.69000000000000006</v>
      </c>
      <c r="AD71">
        <f>1+Table1[[#This Row],[t bias]]</f>
        <v>1.69</v>
      </c>
      <c r="AE71">
        <f>Table1[[#This Row],[t kinetic trace]]* String2Single(CONCATENATE(Table1[[#This Row],[t gain hex]], "00")) + String2Single(CONCATENATE(Table1[[#This Row],[t bias hex]], "00"))</f>
        <v>0.6899871826171875</v>
      </c>
      <c r="AF71">
        <f xml:space="preserve"> Table1[[#This Row],[t ptrace]]*Table1[[#This Row],[ISM]]</f>
        <v>48.299102783203125</v>
      </c>
      <c r="AG71">
        <f>'Pulse data'!N74</f>
        <v>0</v>
      </c>
      <c r="AH71">
        <f>Table1[[#This Row],[t bias]]+0.5</f>
        <v>1.19</v>
      </c>
      <c r="AI71">
        <f>Table1[[#This Row],[t gain]]/2</f>
        <v>0.84499999999999997</v>
      </c>
      <c r="AJ71">
        <f>Table1[[#This Row],[g kinetic trace]]* String2Single(CONCATENATE(Table1[[#This Row],[g gain hex]], "00")) + String2Single(CONCATENATE(Table1[[#This Row],[g bias hex]], "00"))</f>
        <v>1.189971923828125</v>
      </c>
      <c r="AK71">
        <f xml:space="preserve"> Table1[[#This Row],[g ptrace]]*Table1[[#This Row],[ISM]]</f>
        <v>83.29803466796875</v>
      </c>
      <c r="AL71">
        <f>'Pulse data'!M74</f>
        <v>0</v>
      </c>
      <c r="AM71">
        <f>Table1[[#This Row],[t bias]]+1</f>
        <v>1.69</v>
      </c>
      <c r="AN71">
        <f>Table1[[#This Row],[t gain]]-0.5</f>
        <v>1.19</v>
      </c>
      <c r="AO71">
        <f>Table1[[#This Row],[a kinetic trace]]* String2Single(CONCATENATE(Table1[[#This Row],[a gain hex]], "00")) + String2Single(CONCATENATE(Table1[[#This Row],[a bias hex]], "00"))</f>
        <v>1.689971923828125</v>
      </c>
      <c r="AP71">
        <f xml:space="preserve"> Table1[[#This Row],[a ptrace]]*Table1[[#This Row],[ISM]]</f>
        <v>118.29803466796875</v>
      </c>
      <c r="AQ71">
        <f>'Pulse data'!L74</f>
        <v>0</v>
      </c>
      <c r="AR71">
        <f>Table1[[#This Row],[t bias]]</f>
        <v>0.69000000000000006</v>
      </c>
      <c r="AS71">
        <f>Table1[[#This Row],[t gain]]</f>
        <v>1.69</v>
      </c>
      <c r="AT71">
        <f>Table1[[#This Row],[c kinetic trace]]* String2Single(CONCATENATE(Table1[[#This Row],[c gain hex]], "00")) + String2Single(CONCATENATE(Table1[[#This Row],[c bias hex]], "00"))</f>
        <v>0.6899871826171875</v>
      </c>
      <c r="AU71">
        <f xml:space="preserve"> Table1[[#This Row],[c ptrace]]*Table1[[#This Row],[ISM]]</f>
        <v>48.299102783203125</v>
      </c>
      <c r="AV71">
        <f xml:space="preserve"> Table1[[#This Row],[t ctrace]] + Table1[[#This Row],[g ctrace]] + Table1[[#This Row],[a ctrace]] + Table1[[#This Row],[c ctrace]]</f>
        <v>298.19427490234375</v>
      </c>
      <c r="AW71" s="2" t="str">
        <f>DEC2HEX(Table1[[#This Row],[row]], 3)</f>
        <v>006</v>
      </c>
      <c r="AX71" s="1" t="str">
        <f>DEC2HEX(Table1[[#This Row],[col]], 3)</f>
        <v>00F</v>
      </c>
      <c r="AY71" s="1" t="str">
        <f>DEC2HEX(Table1[[#This Row],[grn fsp idx]], 2)</f>
        <v>8B</v>
      </c>
      <c r="AZ71" s="1" t="str">
        <f>DEC2HEX(Table1[[#This Row],[red fsp idx]], 2)</f>
        <v>74</v>
      </c>
      <c r="BA71" s="1" t="str">
        <f>DEC2HEX(Table1[[#This Row],[ISMI]], 2)</f>
        <v>45</v>
      </c>
      <c r="BB71" s="1">
        <f>LEN(Table1[[#This Row],[DRAM data]])</f>
        <v>64</v>
      </c>
      <c r="BC7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00600F8B74453F30A33FD8513F98513F58513FD8513F98513F30A33FD8510002</v>
      </c>
      <c r="BV71"/>
    </row>
    <row r="72" spans="1:74" x14ac:dyDescent="0.25">
      <c r="A72" s="1" t="str">
        <f xml:space="preserve"> LEFT(Sng2String(Table1[[#This Row],[c bias]]), 6)</f>
        <v>3F3333</v>
      </c>
      <c r="B72" s="1" t="str">
        <f xml:space="preserve"> LEFT(Sng2String(Table1[[#This Row],[a bias]]), 6)</f>
        <v>3FD999</v>
      </c>
      <c r="C72" s="1" t="str">
        <f xml:space="preserve"> LEFT(Sng2String(Table1[[#This Row],[g bias]]), 6)</f>
        <v>3F9999</v>
      </c>
      <c r="D72" s="1" t="str">
        <f xml:space="preserve"> LEFT(Sng2String(Table1[[#This Row],[t bias]]), 6)</f>
        <v>3F3333</v>
      </c>
      <c r="E72" s="1" t="str">
        <f xml:space="preserve"> LEFT(Sng2String(Table1[[#This Row],[c gain]]), 6)</f>
        <v>3FD999</v>
      </c>
      <c r="F72" s="1" t="str">
        <f xml:space="preserve"> LEFT(Sng2String(Table1[[#This Row],[a gain]]), 6)</f>
        <v>3F9999</v>
      </c>
      <c r="G72" s="1" t="str">
        <f xml:space="preserve"> LEFT(Sng2String(Table1[[#This Row],[g gain]]), 6)</f>
        <v>3F5999</v>
      </c>
      <c r="H72" s="1" t="str">
        <f xml:space="preserve"> LEFT(Sng2String(Table1[[#This Row],[t gain]]), 6)</f>
        <v>3FD999</v>
      </c>
      <c r="I72" t="str">
        <f xml:space="preserve"> Sng2String(Table1[[#This Row],[c ptrace]])</f>
        <v>3F333300</v>
      </c>
      <c r="J72" t="str">
        <f xml:space="preserve"> Sng2String(Table1[[#This Row],[a ptrace]])</f>
        <v>3FD99900</v>
      </c>
      <c r="K72" t="str">
        <f xml:space="preserve"> Sng2String(Table1[[#This Row],[g ptrace]])</f>
        <v>3F999900</v>
      </c>
      <c r="L72" t="str">
        <f>Sng2String(Table1[[#This Row],[t ptrace]])</f>
        <v>3F333300</v>
      </c>
      <c r="M72" t="str">
        <f xml:space="preserve"> INDEX(SmallFP!$A$1:$A$256, Table1[[#This Row],[ISMI]]+1)</f>
        <v>428E00</v>
      </c>
      <c r="N72" t="str">
        <f>Single2String(Table1[[#This Row],[c ctrace]])</f>
        <v>4246CC94</v>
      </c>
      <c r="O72" t="str">
        <f>Single2String(Table1[[#This Row],[a ctrace]])</f>
        <v>42F165BC</v>
      </c>
      <c r="P72" t="str">
        <f xml:space="preserve"> Single2String(Table1[[#This Row],[g ctrace]])</f>
        <v>42AA65BC</v>
      </c>
      <c r="Q72" t="str">
        <f xml:space="preserve"> Single2String(Table1[[#This Row],[t ctrace]])</f>
        <v>4246CC94</v>
      </c>
      <c r="R72" t="str">
        <f>Single2String(Table1[[#This Row],[grn and red ctrace]])</f>
        <v>4398A603</v>
      </c>
      <c r="S72">
        <v>70</v>
      </c>
      <c r="T72" t="str">
        <f>DEC2HEX(Table1[[#This Row],[ZMW num]])</f>
        <v>46</v>
      </c>
      <c r="U72">
        <f>Table1[[#This Row],[ZMW num]]+1</f>
        <v>71</v>
      </c>
      <c r="V72">
        <v>6</v>
      </c>
      <c r="W72">
        <f t="shared" si="1"/>
        <v>18</v>
      </c>
      <c r="X72">
        <v>141</v>
      </c>
      <c r="Y72">
        <v>114</v>
      </c>
      <c r="Z72">
        <f>MOD(Table1[[#This Row],[ZMW num]], 2^8)</f>
        <v>70</v>
      </c>
      <c r="AA72">
        <f xml:space="preserve"> String2Single(Table1[[#This Row],[t ISIM hex]] &amp; "00")</f>
        <v>71</v>
      </c>
      <c r="AB72">
        <f>'Pulse data'!O75</f>
        <v>0</v>
      </c>
      <c r="AC72">
        <f>Table1[[#This Row],[ZMW num]]*0.01</f>
        <v>0.70000000000000007</v>
      </c>
      <c r="AD72">
        <f>1+Table1[[#This Row],[t bias]]</f>
        <v>1.7000000000000002</v>
      </c>
      <c r="AE72">
        <f>Table1[[#This Row],[t kinetic trace]]* String2Single(CONCATENATE(Table1[[#This Row],[t gain hex]], "00")) + String2Single(CONCATENATE(Table1[[#This Row],[t bias hex]], "00"))</f>
        <v>0.6999969482421875</v>
      </c>
      <c r="AF72">
        <f xml:space="preserve"> Table1[[#This Row],[t ptrace]]*Table1[[#This Row],[ISM]]</f>
        <v>49.699783325195313</v>
      </c>
      <c r="AG72">
        <f>'Pulse data'!N75</f>
        <v>0</v>
      </c>
      <c r="AH72">
        <f>Table1[[#This Row],[t bias]]+0.5</f>
        <v>1.2000000000000002</v>
      </c>
      <c r="AI72">
        <f>Table1[[#This Row],[t gain]]/2</f>
        <v>0.85000000000000009</v>
      </c>
      <c r="AJ72">
        <f>Table1[[#This Row],[g kinetic trace]]* String2Single(CONCATENATE(Table1[[#This Row],[g gain hex]], "00")) + String2Single(CONCATENATE(Table1[[#This Row],[g bias hex]], "00"))</f>
        <v>1.199981689453125</v>
      </c>
      <c r="AK72">
        <f xml:space="preserve"> Table1[[#This Row],[g ptrace]]*Table1[[#This Row],[ISM]]</f>
        <v>85.198699951171875</v>
      </c>
      <c r="AL72">
        <f>'Pulse data'!M75</f>
        <v>0</v>
      </c>
      <c r="AM72">
        <f>Table1[[#This Row],[t bias]]+1</f>
        <v>1.7000000000000002</v>
      </c>
      <c r="AN72">
        <f>Table1[[#This Row],[t gain]]-0.5</f>
        <v>1.2000000000000002</v>
      </c>
      <c r="AO72">
        <f>Table1[[#This Row],[a kinetic trace]]* String2Single(CONCATENATE(Table1[[#This Row],[a gain hex]], "00")) + String2Single(CONCATENATE(Table1[[#This Row],[a bias hex]], "00"))</f>
        <v>1.699981689453125</v>
      </c>
      <c r="AP72">
        <f xml:space="preserve"> Table1[[#This Row],[a ptrace]]*Table1[[#This Row],[ISM]]</f>
        <v>120.69869995117187</v>
      </c>
      <c r="AQ72">
        <f>'Pulse data'!L75</f>
        <v>0</v>
      </c>
      <c r="AR72">
        <f>Table1[[#This Row],[t bias]]</f>
        <v>0.70000000000000007</v>
      </c>
      <c r="AS72">
        <f>Table1[[#This Row],[t gain]]</f>
        <v>1.7000000000000002</v>
      </c>
      <c r="AT72">
        <f>Table1[[#This Row],[c kinetic trace]]* String2Single(CONCATENATE(Table1[[#This Row],[c gain hex]], "00")) + String2Single(CONCATENATE(Table1[[#This Row],[c bias hex]], "00"))</f>
        <v>0.6999969482421875</v>
      </c>
      <c r="AU72">
        <f xml:space="preserve"> Table1[[#This Row],[c ptrace]]*Table1[[#This Row],[ISM]]</f>
        <v>49.699783325195313</v>
      </c>
      <c r="AV72">
        <f xml:space="preserve"> Table1[[#This Row],[t ctrace]] + Table1[[#This Row],[g ctrace]] + Table1[[#This Row],[a ctrace]] + Table1[[#This Row],[c ctrace]]</f>
        <v>305.29696655273437</v>
      </c>
      <c r="AW72" s="2" t="str">
        <f>DEC2HEX(Table1[[#This Row],[row]], 3)</f>
        <v>006</v>
      </c>
      <c r="AX72" s="1" t="str">
        <f>DEC2HEX(Table1[[#This Row],[col]], 3)</f>
        <v>012</v>
      </c>
      <c r="AY72" s="1" t="str">
        <f>DEC2HEX(Table1[[#This Row],[grn fsp idx]], 2)</f>
        <v>8D</v>
      </c>
      <c r="AZ72" s="1" t="str">
        <f>DEC2HEX(Table1[[#This Row],[red fsp idx]], 2)</f>
        <v>72</v>
      </c>
      <c r="BA72" s="1" t="str">
        <f>DEC2HEX(Table1[[#This Row],[ISMI]], 2)</f>
        <v>46</v>
      </c>
      <c r="BB72" s="1">
        <f>LEN(Table1[[#This Row],[DRAM data]])</f>
        <v>64</v>
      </c>
      <c r="BC7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0060128D72463F33333FD9993F99993F59993FD9993F99993F33333FD9990002</v>
      </c>
      <c r="BV72"/>
    </row>
    <row r="73" spans="1:74" x14ac:dyDescent="0.25">
      <c r="A73" s="1" t="str">
        <f xml:space="preserve"> LEFT(Sng2String(Table1[[#This Row],[c bias]]), 6)</f>
        <v>3F35C2</v>
      </c>
      <c r="B73" s="1" t="str">
        <f xml:space="preserve"> LEFT(Sng2String(Table1[[#This Row],[a bias]]), 6)</f>
        <v>3FDAE1</v>
      </c>
      <c r="C73" s="1" t="str">
        <f xml:space="preserve"> LEFT(Sng2String(Table1[[#This Row],[g bias]]), 6)</f>
        <v>3F9AE1</v>
      </c>
      <c r="D73" s="1" t="str">
        <f xml:space="preserve"> LEFT(Sng2String(Table1[[#This Row],[t bias]]), 6)</f>
        <v>3F35C2</v>
      </c>
      <c r="E73" s="1" t="str">
        <f xml:space="preserve"> LEFT(Sng2String(Table1[[#This Row],[c gain]]), 6)</f>
        <v>3FDAE1</v>
      </c>
      <c r="F73" s="1" t="str">
        <f xml:space="preserve"> LEFT(Sng2String(Table1[[#This Row],[a gain]]), 6)</f>
        <v>3F9AE1</v>
      </c>
      <c r="G73" s="1" t="str">
        <f xml:space="preserve"> LEFT(Sng2String(Table1[[#This Row],[g gain]]), 6)</f>
        <v>3F5AE1</v>
      </c>
      <c r="H73" s="1" t="str">
        <f xml:space="preserve"> LEFT(Sng2String(Table1[[#This Row],[t gain]]), 6)</f>
        <v>3FDAE1</v>
      </c>
      <c r="I73" t="str">
        <f xml:space="preserve"> Sng2String(Table1[[#This Row],[c ptrace]])</f>
        <v>3F35C200</v>
      </c>
      <c r="J73" t="str">
        <f xml:space="preserve"> Sng2String(Table1[[#This Row],[a ptrace]])</f>
        <v>3FDAE100</v>
      </c>
      <c r="K73" t="str">
        <f xml:space="preserve"> Sng2String(Table1[[#This Row],[g ptrace]])</f>
        <v>3F9AE100</v>
      </c>
      <c r="L73" t="str">
        <f>Sng2String(Table1[[#This Row],[t ptrace]])</f>
        <v>3F35C200</v>
      </c>
      <c r="M73" t="str">
        <f xml:space="preserve"> INDEX(SmallFP!$A$1:$A$256, Table1[[#This Row],[ISMI]]+1)</f>
        <v>429000</v>
      </c>
      <c r="N73" t="str">
        <f>Single2String(Table1[[#This Row],[c ctrace]])</f>
        <v>424C7A40</v>
      </c>
      <c r="O73" t="str">
        <f>Single2String(Table1[[#This Row],[a ctrace]])</f>
        <v>42F63D20</v>
      </c>
      <c r="P73" t="str">
        <f xml:space="preserve"> Single2String(Table1[[#This Row],[g ctrace]])</f>
        <v>42AE3D20</v>
      </c>
      <c r="Q73" t="str">
        <f xml:space="preserve"> Single2String(Table1[[#This Row],[t ctrace]])</f>
        <v>424C7A40</v>
      </c>
      <c r="R73" t="str">
        <f>Single2String(Table1[[#This Row],[grn and red ctrace]])</f>
        <v>439C3D20</v>
      </c>
      <c r="S73">
        <v>71</v>
      </c>
      <c r="T73" t="str">
        <f>DEC2HEX(Table1[[#This Row],[ZMW num]])</f>
        <v>47</v>
      </c>
      <c r="U73">
        <f>Table1[[#This Row],[ZMW num]]+1</f>
        <v>72</v>
      </c>
      <c r="V73">
        <v>6</v>
      </c>
      <c r="W73">
        <f t="shared" si="1"/>
        <v>21</v>
      </c>
      <c r="X73">
        <v>143</v>
      </c>
      <c r="Y73">
        <v>112</v>
      </c>
      <c r="Z73">
        <f>MOD(Table1[[#This Row],[ZMW num]], 2^8)</f>
        <v>71</v>
      </c>
      <c r="AA73">
        <f xml:space="preserve"> String2Single(Table1[[#This Row],[t ISIM hex]] &amp; "00")</f>
        <v>72</v>
      </c>
      <c r="AB73">
        <f>'Pulse data'!O76</f>
        <v>0</v>
      </c>
      <c r="AC73">
        <f>Table1[[#This Row],[ZMW num]]*0.01</f>
        <v>0.71</v>
      </c>
      <c r="AD73">
        <f>1+Table1[[#This Row],[t bias]]</f>
        <v>1.71</v>
      </c>
      <c r="AE73">
        <f>Table1[[#This Row],[t kinetic trace]]* String2Single(CONCATENATE(Table1[[#This Row],[t gain hex]], "00")) + String2Single(CONCATENATE(Table1[[#This Row],[t bias hex]], "00"))</f>
        <v>0.709991455078125</v>
      </c>
      <c r="AF73">
        <f xml:space="preserve"> Table1[[#This Row],[t ptrace]]*Table1[[#This Row],[ISM]]</f>
        <v>51.119384765625</v>
      </c>
      <c r="AG73">
        <f>'Pulse data'!N76</f>
        <v>0</v>
      </c>
      <c r="AH73">
        <f>Table1[[#This Row],[t bias]]+0.5</f>
        <v>1.21</v>
      </c>
      <c r="AI73">
        <f>Table1[[#This Row],[t gain]]/2</f>
        <v>0.85499999999999998</v>
      </c>
      <c r="AJ73">
        <f>Table1[[#This Row],[g kinetic trace]]* String2Single(CONCATENATE(Table1[[#This Row],[g gain hex]], "00")) + String2Single(CONCATENATE(Table1[[#This Row],[g bias hex]], "00"))</f>
        <v>1.209991455078125</v>
      </c>
      <c r="AK73">
        <f xml:space="preserve"> Table1[[#This Row],[g ptrace]]*Table1[[#This Row],[ISM]]</f>
        <v>87.119384765625</v>
      </c>
      <c r="AL73">
        <f>'Pulse data'!M76</f>
        <v>0</v>
      </c>
      <c r="AM73">
        <f>Table1[[#This Row],[t bias]]+1</f>
        <v>1.71</v>
      </c>
      <c r="AN73">
        <f>Table1[[#This Row],[t gain]]-0.5</f>
        <v>1.21</v>
      </c>
      <c r="AO73">
        <f>Table1[[#This Row],[a kinetic trace]]* String2Single(CONCATENATE(Table1[[#This Row],[a gain hex]], "00")) + String2Single(CONCATENATE(Table1[[#This Row],[a bias hex]], "00"))</f>
        <v>1.709991455078125</v>
      </c>
      <c r="AP73">
        <f xml:space="preserve"> Table1[[#This Row],[a ptrace]]*Table1[[#This Row],[ISM]]</f>
        <v>123.119384765625</v>
      </c>
      <c r="AQ73">
        <f>'Pulse data'!L76</f>
        <v>0</v>
      </c>
      <c r="AR73">
        <f>Table1[[#This Row],[t bias]]</f>
        <v>0.71</v>
      </c>
      <c r="AS73">
        <f>Table1[[#This Row],[t gain]]</f>
        <v>1.71</v>
      </c>
      <c r="AT73">
        <f>Table1[[#This Row],[c kinetic trace]]* String2Single(CONCATENATE(Table1[[#This Row],[c gain hex]], "00")) + String2Single(CONCATENATE(Table1[[#This Row],[c bias hex]], "00"))</f>
        <v>0.709991455078125</v>
      </c>
      <c r="AU73">
        <f xml:space="preserve"> Table1[[#This Row],[c ptrace]]*Table1[[#This Row],[ISM]]</f>
        <v>51.119384765625</v>
      </c>
      <c r="AV73">
        <f xml:space="preserve"> Table1[[#This Row],[t ctrace]] + Table1[[#This Row],[g ctrace]] + Table1[[#This Row],[a ctrace]] + Table1[[#This Row],[c ctrace]]</f>
        <v>312.4775390625</v>
      </c>
      <c r="AW73" s="2" t="str">
        <f>DEC2HEX(Table1[[#This Row],[row]], 3)</f>
        <v>006</v>
      </c>
      <c r="AX73" s="1" t="str">
        <f>DEC2HEX(Table1[[#This Row],[col]], 3)</f>
        <v>015</v>
      </c>
      <c r="AY73" s="1" t="str">
        <f>DEC2HEX(Table1[[#This Row],[grn fsp idx]], 2)</f>
        <v>8F</v>
      </c>
      <c r="AZ73" s="1" t="str">
        <f>DEC2HEX(Table1[[#This Row],[red fsp idx]], 2)</f>
        <v>70</v>
      </c>
      <c r="BA73" s="1" t="str">
        <f>DEC2HEX(Table1[[#This Row],[ISMI]], 2)</f>
        <v>47</v>
      </c>
      <c r="BB73" s="1">
        <f>LEN(Table1[[#This Row],[DRAM data]])</f>
        <v>64</v>
      </c>
      <c r="BC7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0060158F70473F35C23FDAE13F9AE13F5AE13FDAE13F9AE13F35C23FDAE10002</v>
      </c>
      <c r="BV73"/>
    </row>
    <row r="74" spans="1:74" x14ac:dyDescent="0.25">
      <c r="A74" s="1" t="str">
        <f xml:space="preserve"> LEFT(Sng2String(Table1[[#This Row],[c bias]]), 6)</f>
        <v>3F3851</v>
      </c>
      <c r="B74" s="1" t="str">
        <f xml:space="preserve"> LEFT(Sng2String(Table1[[#This Row],[a bias]]), 6)</f>
        <v>3FDC28</v>
      </c>
      <c r="C74" s="1" t="str">
        <f xml:space="preserve"> LEFT(Sng2String(Table1[[#This Row],[g bias]]), 6)</f>
        <v>3F9C28</v>
      </c>
      <c r="D74" s="1" t="str">
        <f xml:space="preserve"> LEFT(Sng2String(Table1[[#This Row],[t bias]]), 6)</f>
        <v>3F3851</v>
      </c>
      <c r="E74" s="1" t="str">
        <f xml:space="preserve"> LEFT(Sng2String(Table1[[#This Row],[c gain]]), 6)</f>
        <v>3FDC28</v>
      </c>
      <c r="F74" s="1" t="str">
        <f xml:space="preserve"> LEFT(Sng2String(Table1[[#This Row],[a gain]]), 6)</f>
        <v>3F9C28</v>
      </c>
      <c r="G74" s="1" t="str">
        <f xml:space="preserve"> LEFT(Sng2String(Table1[[#This Row],[g gain]]), 6)</f>
        <v>3F5C28</v>
      </c>
      <c r="H74" s="1" t="str">
        <f xml:space="preserve"> LEFT(Sng2String(Table1[[#This Row],[t gain]]), 6)</f>
        <v>3FDC28</v>
      </c>
      <c r="I74" t="str">
        <f xml:space="preserve"> Sng2String(Table1[[#This Row],[c ptrace]])</f>
        <v>3F385100</v>
      </c>
      <c r="J74" t="str">
        <f xml:space="preserve"> Sng2String(Table1[[#This Row],[a ptrace]])</f>
        <v>3FDC2800</v>
      </c>
      <c r="K74" t="str">
        <f xml:space="preserve"> Sng2String(Table1[[#This Row],[g ptrace]])</f>
        <v>3F9C2800</v>
      </c>
      <c r="L74" t="str">
        <f>Sng2String(Table1[[#This Row],[t ptrace]])</f>
        <v>3F385100</v>
      </c>
      <c r="M74" t="str">
        <f xml:space="preserve"> INDEX(SmallFP!$A$1:$A$256, Table1[[#This Row],[ISMI]]+1)</f>
        <v>429200</v>
      </c>
      <c r="N74" t="str">
        <f>Single2String(Table1[[#This Row],[c ctrace]])</f>
        <v>42523C64</v>
      </c>
      <c r="O74" t="str">
        <f>Single2String(Table1[[#This Row],[a ctrace]])</f>
        <v>42FB1DA0</v>
      </c>
      <c r="P74" t="str">
        <f xml:space="preserve"> Single2String(Table1[[#This Row],[g ctrace]])</f>
        <v>42B21DA0</v>
      </c>
      <c r="Q74" t="str">
        <f xml:space="preserve"> Single2String(Table1[[#This Row],[t ctrace]])</f>
        <v>42523C64</v>
      </c>
      <c r="R74" t="str">
        <f>Single2String(Table1[[#This Row],[grn and red ctrace]])</f>
        <v>439FDDE9</v>
      </c>
      <c r="S74">
        <v>72</v>
      </c>
      <c r="T74" t="str">
        <f>DEC2HEX(Table1[[#This Row],[ZMW num]])</f>
        <v>48</v>
      </c>
      <c r="U74">
        <f>Table1[[#This Row],[ZMW num]]+1</f>
        <v>73</v>
      </c>
      <c r="V74">
        <v>6</v>
      </c>
      <c r="W74">
        <f t="shared" si="1"/>
        <v>24</v>
      </c>
      <c r="X74">
        <v>145</v>
      </c>
      <c r="Y74">
        <v>110</v>
      </c>
      <c r="Z74">
        <f>MOD(Table1[[#This Row],[ZMW num]], 2^8)</f>
        <v>72</v>
      </c>
      <c r="AA74">
        <f xml:space="preserve"> String2Single(Table1[[#This Row],[t ISIM hex]] &amp; "00")</f>
        <v>73</v>
      </c>
      <c r="AB74">
        <f>'Pulse data'!O77</f>
        <v>0</v>
      </c>
      <c r="AC74">
        <f>Table1[[#This Row],[ZMW num]]*0.01</f>
        <v>0.72</v>
      </c>
      <c r="AD74">
        <f>1+Table1[[#This Row],[t bias]]</f>
        <v>1.72</v>
      </c>
      <c r="AE74">
        <f>Table1[[#This Row],[t kinetic trace]]* String2Single(CONCATENATE(Table1[[#This Row],[t gain hex]], "00")) + String2Single(CONCATENATE(Table1[[#This Row],[t bias hex]], "00"))</f>
        <v>0.7199859619140625</v>
      </c>
      <c r="AF74">
        <f xml:space="preserve"> Table1[[#This Row],[t ptrace]]*Table1[[#This Row],[ISM]]</f>
        <v>52.558975219726563</v>
      </c>
      <c r="AG74">
        <f>'Pulse data'!N77</f>
        <v>0</v>
      </c>
      <c r="AH74">
        <f>Table1[[#This Row],[t bias]]+0.5</f>
        <v>1.22</v>
      </c>
      <c r="AI74">
        <f>Table1[[#This Row],[t gain]]/2</f>
        <v>0.86</v>
      </c>
      <c r="AJ74">
        <f>Table1[[#This Row],[g kinetic trace]]* String2Single(CONCATENATE(Table1[[#This Row],[g gain hex]], "00")) + String2Single(CONCATENATE(Table1[[#This Row],[g bias hex]], "00"))</f>
        <v>1.219970703125</v>
      </c>
      <c r="AK74">
        <f xml:space="preserve"> Table1[[#This Row],[g ptrace]]*Table1[[#This Row],[ISM]]</f>
        <v>89.057861328125</v>
      </c>
      <c r="AL74">
        <f>'Pulse data'!M77</f>
        <v>0</v>
      </c>
      <c r="AM74">
        <f>Table1[[#This Row],[t bias]]+1</f>
        <v>1.72</v>
      </c>
      <c r="AN74">
        <f>Table1[[#This Row],[t gain]]-0.5</f>
        <v>1.22</v>
      </c>
      <c r="AO74">
        <f>Table1[[#This Row],[a kinetic trace]]* String2Single(CONCATENATE(Table1[[#This Row],[a gain hex]], "00")) + String2Single(CONCATENATE(Table1[[#This Row],[a bias hex]], "00"))</f>
        <v>1.719970703125</v>
      </c>
      <c r="AP74">
        <f xml:space="preserve"> Table1[[#This Row],[a ptrace]]*Table1[[#This Row],[ISM]]</f>
        <v>125.557861328125</v>
      </c>
      <c r="AQ74">
        <f>'Pulse data'!L77</f>
        <v>0</v>
      </c>
      <c r="AR74">
        <f>Table1[[#This Row],[t bias]]</f>
        <v>0.72</v>
      </c>
      <c r="AS74">
        <f>Table1[[#This Row],[t gain]]</f>
        <v>1.72</v>
      </c>
      <c r="AT74">
        <f>Table1[[#This Row],[c kinetic trace]]* String2Single(CONCATENATE(Table1[[#This Row],[c gain hex]], "00")) + String2Single(CONCATENATE(Table1[[#This Row],[c bias hex]], "00"))</f>
        <v>0.7199859619140625</v>
      </c>
      <c r="AU74">
        <f xml:space="preserve"> Table1[[#This Row],[c ptrace]]*Table1[[#This Row],[ISM]]</f>
        <v>52.558975219726563</v>
      </c>
      <c r="AV74">
        <f xml:space="preserve"> Table1[[#This Row],[t ctrace]] + Table1[[#This Row],[g ctrace]] + Table1[[#This Row],[a ctrace]] + Table1[[#This Row],[c ctrace]]</f>
        <v>319.73367309570312</v>
      </c>
      <c r="AW74" s="2" t="str">
        <f>DEC2HEX(Table1[[#This Row],[row]], 3)</f>
        <v>006</v>
      </c>
      <c r="AX74" s="1" t="str">
        <f>DEC2HEX(Table1[[#This Row],[col]], 3)</f>
        <v>018</v>
      </c>
      <c r="AY74" s="1" t="str">
        <f>DEC2HEX(Table1[[#This Row],[grn fsp idx]], 2)</f>
        <v>91</v>
      </c>
      <c r="AZ74" s="1" t="str">
        <f>DEC2HEX(Table1[[#This Row],[red fsp idx]], 2)</f>
        <v>6E</v>
      </c>
      <c r="BA74" s="1" t="str">
        <f>DEC2HEX(Table1[[#This Row],[ISMI]], 2)</f>
        <v>48</v>
      </c>
      <c r="BB74" s="1">
        <f>LEN(Table1[[#This Row],[DRAM data]])</f>
        <v>64</v>
      </c>
      <c r="BC7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006018916E483F38513FDC283F9C283F5C283FDC283F9C283F38513FDC280002</v>
      </c>
      <c r="BV74"/>
    </row>
    <row r="75" spans="1:74" x14ac:dyDescent="0.25">
      <c r="A75" s="1" t="str">
        <f xml:space="preserve"> LEFT(Sng2String(Table1[[#This Row],[c bias]]), 6)</f>
        <v>3F3AE1</v>
      </c>
      <c r="B75" s="1" t="str">
        <f xml:space="preserve"> LEFT(Sng2String(Table1[[#This Row],[a bias]]), 6)</f>
        <v>3FDD70</v>
      </c>
      <c r="C75" s="1" t="str">
        <f xml:space="preserve"> LEFT(Sng2String(Table1[[#This Row],[g bias]]), 6)</f>
        <v>3F9D70</v>
      </c>
      <c r="D75" s="1" t="str">
        <f xml:space="preserve"> LEFT(Sng2String(Table1[[#This Row],[t bias]]), 6)</f>
        <v>3F3AE1</v>
      </c>
      <c r="E75" s="1" t="str">
        <f xml:space="preserve"> LEFT(Sng2String(Table1[[#This Row],[c gain]]), 6)</f>
        <v>3FDD70</v>
      </c>
      <c r="F75" s="1" t="str">
        <f xml:space="preserve"> LEFT(Sng2String(Table1[[#This Row],[a gain]]), 6)</f>
        <v>3F9D70</v>
      </c>
      <c r="G75" s="1" t="str">
        <f xml:space="preserve"> LEFT(Sng2String(Table1[[#This Row],[g gain]]), 6)</f>
        <v>3F5D70</v>
      </c>
      <c r="H75" s="1" t="str">
        <f xml:space="preserve"> LEFT(Sng2String(Table1[[#This Row],[t gain]]), 6)</f>
        <v>3FDD70</v>
      </c>
      <c r="I75" t="str">
        <f xml:space="preserve"> Sng2String(Table1[[#This Row],[c ptrace]])</f>
        <v>3F3AE100</v>
      </c>
      <c r="J75" t="str">
        <f xml:space="preserve"> Sng2String(Table1[[#This Row],[a ptrace]])</f>
        <v>3FDD7000</v>
      </c>
      <c r="K75" t="str">
        <f xml:space="preserve"> Sng2String(Table1[[#This Row],[g ptrace]])</f>
        <v>3F9D7000</v>
      </c>
      <c r="L75" t="str">
        <f>Sng2String(Table1[[#This Row],[t ptrace]])</f>
        <v>3F3AE100</v>
      </c>
      <c r="M75" t="str">
        <f xml:space="preserve"> INDEX(SmallFP!$A$1:$A$256, Table1[[#This Row],[ISMI]]+1)</f>
        <v>429400</v>
      </c>
      <c r="N75" t="str">
        <f>Single2String(Table1[[#This Row],[c ctrace]])</f>
        <v>42581428</v>
      </c>
      <c r="O75" t="str">
        <f>Single2String(Table1[[#This Row],[a ctrace]])</f>
        <v>430004C0</v>
      </c>
      <c r="P75" t="str">
        <f xml:space="preserve"> Single2String(Table1[[#This Row],[g ctrace]])</f>
        <v>42B60980</v>
      </c>
      <c r="Q75" t="str">
        <f xml:space="preserve"> Single2String(Table1[[#This Row],[t ctrace]])</f>
        <v>42581428</v>
      </c>
      <c r="R75" t="str">
        <f>Single2String(Table1[[#This Row],[grn and red ctrace]])</f>
        <v>43A389CA</v>
      </c>
      <c r="S75">
        <v>73</v>
      </c>
      <c r="T75" t="str">
        <f>DEC2HEX(Table1[[#This Row],[ZMW num]])</f>
        <v>49</v>
      </c>
      <c r="U75">
        <f>Table1[[#This Row],[ZMW num]]+1</f>
        <v>74</v>
      </c>
      <c r="V75">
        <v>6</v>
      </c>
      <c r="W75">
        <f t="shared" si="1"/>
        <v>28</v>
      </c>
      <c r="X75">
        <v>147</v>
      </c>
      <c r="Y75">
        <v>108</v>
      </c>
      <c r="Z75">
        <f>MOD(Table1[[#This Row],[ZMW num]], 2^8)</f>
        <v>73</v>
      </c>
      <c r="AA75">
        <f xml:space="preserve"> String2Single(Table1[[#This Row],[t ISIM hex]] &amp; "00")</f>
        <v>74</v>
      </c>
      <c r="AB75">
        <f>'Pulse data'!O78</f>
        <v>0</v>
      </c>
      <c r="AC75">
        <f>Table1[[#This Row],[ZMW num]]*0.01</f>
        <v>0.73</v>
      </c>
      <c r="AD75">
        <f>1+Table1[[#This Row],[t bias]]</f>
        <v>1.73</v>
      </c>
      <c r="AE75">
        <f>Table1[[#This Row],[t kinetic trace]]* String2Single(CONCATENATE(Table1[[#This Row],[t gain hex]], "00")) + String2Single(CONCATENATE(Table1[[#This Row],[t bias hex]], "00"))</f>
        <v>0.7299957275390625</v>
      </c>
      <c r="AF75">
        <f xml:space="preserve"> Table1[[#This Row],[t ptrace]]*Table1[[#This Row],[ISM]]</f>
        <v>54.019683837890625</v>
      </c>
      <c r="AG75">
        <f>'Pulse data'!N78</f>
        <v>0</v>
      </c>
      <c r="AH75">
        <f>Table1[[#This Row],[t bias]]+0.5</f>
        <v>1.23</v>
      </c>
      <c r="AI75">
        <f>Table1[[#This Row],[t gain]]/2</f>
        <v>0.86499999999999999</v>
      </c>
      <c r="AJ75">
        <f>Table1[[#This Row],[g kinetic trace]]* String2Single(CONCATENATE(Table1[[#This Row],[g gain hex]], "00")) + String2Single(CONCATENATE(Table1[[#This Row],[g bias hex]], "00"))</f>
        <v>1.22998046875</v>
      </c>
      <c r="AK75">
        <f xml:space="preserve"> Table1[[#This Row],[g ptrace]]*Table1[[#This Row],[ISM]]</f>
        <v>91.0185546875</v>
      </c>
      <c r="AL75">
        <f>'Pulse data'!M78</f>
        <v>0</v>
      </c>
      <c r="AM75">
        <f>Table1[[#This Row],[t bias]]+1</f>
        <v>1.73</v>
      </c>
      <c r="AN75">
        <f>Table1[[#This Row],[t gain]]-0.5</f>
        <v>1.23</v>
      </c>
      <c r="AO75">
        <f>Table1[[#This Row],[a kinetic trace]]* String2Single(CONCATENATE(Table1[[#This Row],[a gain hex]], "00")) + String2Single(CONCATENATE(Table1[[#This Row],[a bias hex]], "00"))</f>
        <v>1.72998046875</v>
      </c>
      <c r="AP75">
        <f xml:space="preserve"> Table1[[#This Row],[a ptrace]]*Table1[[#This Row],[ISM]]</f>
        <v>128.0185546875</v>
      </c>
      <c r="AQ75">
        <f>'Pulse data'!L78</f>
        <v>0</v>
      </c>
      <c r="AR75">
        <f>Table1[[#This Row],[t bias]]</f>
        <v>0.73</v>
      </c>
      <c r="AS75">
        <f>Table1[[#This Row],[t gain]]</f>
        <v>1.73</v>
      </c>
      <c r="AT75">
        <f>Table1[[#This Row],[c kinetic trace]]* String2Single(CONCATENATE(Table1[[#This Row],[c gain hex]], "00")) + String2Single(CONCATENATE(Table1[[#This Row],[c bias hex]], "00"))</f>
        <v>0.7299957275390625</v>
      </c>
      <c r="AU75">
        <f xml:space="preserve"> Table1[[#This Row],[c ptrace]]*Table1[[#This Row],[ISM]]</f>
        <v>54.019683837890625</v>
      </c>
      <c r="AV75">
        <f xml:space="preserve"> Table1[[#This Row],[t ctrace]] + Table1[[#This Row],[g ctrace]] + Table1[[#This Row],[a ctrace]] + Table1[[#This Row],[c ctrace]]</f>
        <v>327.07647705078125</v>
      </c>
      <c r="AW75" s="2" t="str">
        <f>DEC2HEX(Table1[[#This Row],[row]], 3)</f>
        <v>006</v>
      </c>
      <c r="AX75" s="1" t="str">
        <f>DEC2HEX(Table1[[#This Row],[col]], 3)</f>
        <v>01C</v>
      </c>
      <c r="AY75" s="1" t="str">
        <f>DEC2HEX(Table1[[#This Row],[grn fsp idx]], 2)</f>
        <v>93</v>
      </c>
      <c r="AZ75" s="1" t="str">
        <f>DEC2HEX(Table1[[#This Row],[red fsp idx]], 2)</f>
        <v>6C</v>
      </c>
      <c r="BA75" s="1" t="str">
        <f>DEC2HEX(Table1[[#This Row],[ISMI]], 2)</f>
        <v>49</v>
      </c>
      <c r="BB75" s="1">
        <f>LEN(Table1[[#This Row],[DRAM data]])</f>
        <v>64</v>
      </c>
      <c r="BC7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00601C936C493F3AE13FDD703F9D703F5D703FDD703F9D703F3AE13FDD700002</v>
      </c>
      <c r="BV75"/>
    </row>
    <row r="76" spans="1:74" x14ac:dyDescent="0.25">
      <c r="A76" s="1" t="str">
        <f xml:space="preserve"> LEFT(Sng2String(Table1[[#This Row],[c bias]]), 6)</f>
        <v>3F3D70</v>
      </c>
      <c r="B76" s="1" t="str">
        <f xml:space="preserve"> LEFT(Sng2String(Table1[[#This Row],[a bias]]), 6)</f>
        <v>3FDEB8</v>
      </c>
      <c r="C76" s="1" t="str">
        <f xml:space="preserve"> LEFT(Sng2String(Table1[[#This Row],[g bias]]), 6)</f>
        <v>3F9EB8</v>
      </c>
      <c r="D76" s="1" t="str">
        <f xml:space="preserve"> LEFT(Sng2String(Table1[[#This Row],[t bias]]), 6)</f>
        <v>3F3D70</v>
      </c>
      <c r="E76" s="1" t="str">
        <f xml:space="preserve"> LEFT(Sng2String(Table1[[#This Row],[c gain]]), 6)</f>
        <v>3FDEB8</v>
      </c>
      <c r="F76" s="1" t="str">
        <f xml:space="preserve"> LEFT(Sng2String(Table1[[#This Row],[a gain]]), 6)</f>
        <v>3F9EB8</v>
      </c>
      <c r="G76" s="1" t="str">
        <f xml:space="preserve"> LEFT(Sng2String(Table1[[#This Row],[g gain]]), 6)</f>
        <v>3F5EB8</v>
      </c>
      <c r="H76" s="1" t="str">
        <f xml:space="preserve"> LEFT(Sng2String(Table1[[#This Row],[t gain]]), 6)</f>
        <v>3FDEB8</v>
      </c>
      <c r="I76" t="str">
        <f xml:space="preserve"> Sng2String(Table1[[#This Row],[c ptrace]])</f>
        <v>3F3D7000</v>
      </c>
      <c r="J76" t="str">
        <f xml:space="preserve"> Sng2String(Table1[[#This Row],[a ptrace]])</f>
        <v>3FDEB800</v>
      </c>
      <c r="K76" t="str">
        <f xml:space="preserve"> Sng2String(Table1[[#This Row],[g ptrace]])</f>
        <v>3F9EB800</v>
      </c>
      <c r="L76" t="str">
        <f>Sng2String(Table1[[#This Row],[t ptrace]])</f>
        <v>3F3D7000</v>
      </c>
      <c r="M76" t="str">
        <f xml:space="preserve"> INDEX(SmallFP!$A$1:$A$256, Table1[[#This Row],[ISMI]]+1)</f>
        <v>429600</v>
      </c>
      <c r="N76" t="str">
        <f>Single2String(Table1[[#This Row],[c ctrace]])</f>
        <v>425DFF40</v>
      </c>
      <c r="O76" t="str">
        <f>Single2String(Table1[[#This Row],[a ctrace]])</f>
        <v>43027FD0</v>
      </c>
      <c r="P76" t="str">
        <f xml:space="preserve"> Single2String(Table1[[#This Row],[g ctrace]])</f>
        <v>42B9FFA0</v>
      </c>
      <c r="Q76" t="str">
        <f xml:space="preserve"> Single2String(Table1[[#This Row],[t ctrace]])</f>
        <v>425DFF40</v>
      </c>
      <c r="R76" t="str">
        <f>Single2String(Table1[[#This Row],[grn and red ctrace]])</f>
        <v>43A73FA0</v>
      </c>
      <c r="S76">
        <v>74</v>
      </c>
      <c r="T76" t="str">
        <f>DEC2HEX(Table1[[#This Row],[ZMW num]])</f>
        <v>4A</v>
      </c>
      <c r="U76">
        <f>Table1[[#This Row],[ZMW num]]+1</f>
        <v>75</v>
      </c>
      <c r="V76">
        <v>6</v>
      </c>
      <c r="W76">
        <f t="shared" si="1"/>
        <v>32</v>
      </c>
      <c r="X76">
        <v>149</v>
      </c>
      <c r="Y76">
        <v>106</v>
      </c>
      <c r="Z76">
        <f>MOD(Table1[[#This Row],[ZMW num]], 2^8)</f>
        <v>74</v>
      </c>
      <c r="AA76">
        <f xml:space="preserve"> String2Single(Table1[[#This Row],[t ISIM hex]] &amp; "00")</f>
        <v>75</v>
      </c>
      <c r="AB76">
        <f>'Pulse data'!O79</f>
        <v>0</v>
      </c>
      <c r="AC76">
        <f>Table1[[#This Row],[ZMW num]]*0.01</f>
        <v>0.74</v>
      </c>
      <c r="AD76">
        <f>1+Table1[[#This Row],[t bias]]</f>
        <v>1.74</v>
      </c>
      <c r="AE76">
        <f>Table1[[#This Row],[t kinetic trace]]* String2Single(CONCATENATE(Table1[[#This Row],[t gain hex]], "00")) + String2Single(CONCATENATE(Table1[[#This Row],[t bias hex]], "00"))</f>
        <v>0.739990234375</v>
      </c>
      <c r="AF76">
        <f xml:space="preserve"> Table1[[#This Row],[t ptrace]]*Table1[[#This Row],[ISM]]</f>
        <v>55.499267578125</v>
      </c>
      <c r="AG76">
        <f>'Pulse data'!N79</f>
        <v>0</v>
      </c>
      <c r="AH76">
        <f>Table1[[#This Row],[t bias]]+0.5</f>
        <v>1.24</v>
      </c>
      <c r="AI76">
        <f>Table1[[#This Row],[t gain]]/2</f>
        <v>0.87</v>
      </c>
      <c r="AJ76">
        <f>Table1[[#This Row],[g kinetic trace]]* String2Single(CONCATENATE(Table1[[#This Row],[g gain hex]], "00")) + String2Single(CONCATENATE(Table1[[#This Row],[g bias hex]], "00"))</f>
        <v>1.239990234375</v>
      </c>
      <c r="AK76">
        <f xml:space="preserve"> Table1[[#This Row],[g ptrace]]*Table1[[#This Row],[ISM]]</f>
        <v>92.999267578125</v>
      </c>
      <c r="AL76">
        <f>'Pulse data'!M79</f>
        <v>0</v>
      </c>
      <c r="AM76">
        <f>Table1[[#This Row],[t bias]]+1</f>
        <v>1.74</v>
      </c>
      <c r="AN76">
        <f>Table1[[#This Row],[t gain]]-0.5</f>
        <v>1.24</v>
      </c>
      <c r="AO76">
        <f>Table1[[#This Row],[a kinetic trace]]* String2Single(CONCATENATE(Table1[[#This Row],[a gain hex]], "00")) + String2Single(CONCATENATE(Table1[[#This Row],[a bias hex]], "00"))</f>
        <v>1.739990234375</v>
      </c>
      <c r="AP76">
        <f xml:space="preserve"> Table1[[#This Row],[a ptrace]]*Table1[[#This Row],[ISM]]</f>
        <v>130.499267578125</v>
      </c>
      <c r="AQ76">
        <f>'Pulse data'!L79</f>
        <v>0</v>
      </c>
      <c r="AR76">
        <f>Table1[[#This Row],[t bias]]</f>
        <v>0.74</v>
      </c>
      <c r="AS76">
        <f>Table1[[#This Row],[t gain]]</f>
        <v>1.74</v>
      </c>
      <c r="AT76">
        <f>Table1[[#This Row],[c kinetic trace]]* String2Single(CONCATENATE(Table1[[#This Row],[c gain hex]], "00")) + String2Single(CONCATENATE(Table1[[#This Row],[c bias hex]], "00"))</f>
        <v>0.739990234375</v>
      </c>
      <c r="AU76">
        <f xml:space="preserve"> Table1[[#This Row],[c ptrace]]*Table1[[#This Row],[ISM]]</f>
        <v>55.499267578125</v>
      </c>
      <c r="AV76">
        <f xml:space="preserve"> Table1[[#This Row],[t ctrace]] + Table1[[#This Row],[g ctrace]] + Table1[[#This Row],[a ctrace]] + Table1[[#This Row],[c ctrace]]</f>
        <v>334.4970703125</v>
      </c>
      <c r="AW76" s="2" t="str">
        <f>DEC2HEX(Table1[[#This Row],[row]], 3)</f>
        <v>006</v>
      </c>
      <c r="AX76" s="1" t="str">
        <f>DEC2HEX(Table1[[#This Row],[col]], 3)</f>
        <v>020</v>
      </c>
      <c r="AY76" s="1" t="str">
        <f>DEC2HEX(Table1[[#This Row],[grn fsp idx]], 2)</f>
        <v>95</v>
      </c>
      <c r="AZ76" s="1" t="str">
        <f>DEC2HEX(Table1[[#This Row],[red fsp idx]], 2)</f>
        <v>6A</v>
      </c>
      <c r="BA76" s="1" t="str">
        <f>DEC2HEX(Table1[[#This Row],[ISMI]], 2)</f>
        <v>4A</v>
      </c>
      <c r="BB76" s="1">
        <f>LEN(Table1[[#This Row],[DRAM data]])</f>
        <v>64</v>
      </c>
      <c r="BC7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006020956A4A3F3D703FDEB83F9EB83F5EB83FDEB83F9EB83F3D703FDEB80002</v>
      </c>
      <c r="BV76"/>
    </row>
    <row r="77" spans="1:74" x14ac:dyDescent="0.25">
      <c r="A77" s="1" t="str">
        <f xml:space="preserve"> LEFT(Sng2String(Table1[[#This Row],[c bias]]), 6)</f>
        <v>3F4000</v>
      </c>
      <c r="B77" s="1" t="str">
        <f xml:space="preserve"> LEFT(Sng2String(Table1[[#This Row],[a bias]]), 6)</f>
        <v>3FE000</v>
      </c>
      <c r="C77" s="1" t="str">
        <f xml:space="preserve"> LEFT(Sng2String(Table1[[#This Row],[g bias]]), 6)</f>
        <v>3FA000</v>
      </c>
      <c r="D77" s="1" t="str">
        <f xml:space="preserve"> LEFT(Sng2String(Table1[[#This Row],[t bias]]), 6)</f>
        <v>3F4000</v>
      </c>
      <c r="E77" s="1" t="str">
        <f xml:space="preserve"> LEFT(Sng2String(Table1[[#This Row],[c gain]]), 6)</f>
        <v>3FE000</v>
      </c>
      <c r="F77" s="1" t="str">
        <f xml:space="preserve"> LEFT(Sng2String(Table1[[#This Row],[a gain]]), 6)</f>
        <v>3FA000</v>
      </c>
      <c r="G77" s="1" t="str">
        <f xml:space="preserve"> LEFT(Sng2String(Table1[[#This Row],[g gain]]), 6)</f>
        <v>3F6000</v>
      </c>
      <c r="H77" s="1" t="str">
        <f xml:space="preserve"> LEFT(Sng2String(Table1[[#This Row],[t gain]]), 6)</f>
        <v>3FE000</v>
      </c>
      <c r="I77" t="str">
        <f xml:space="preserve"> Sng2String(Table1[[#This Row],[c ptrace]])</f>
        <v>3F400000</v>
      </c>
      <c r="J77" t="str">
        <f xml:space="preserve"> Sng2String(Table1[[#This Row],[a ptrace]])</f>
        <v>3FE00000</v>
      </c>
      <c r="K77" t="str">
        <f xml:space="preserve"> Sng2String(Table1[[#This Row],[g ptrace]])</f>
        <v>3FA00000</v>
      </c>
      <c r="L77" t="str">
        <f>Sng2String(Table1[[#This Row],[t ptrace]])</f>
        <v>3F400000</v>
      </c>
      <c r="M77" t="str">
        <f xml:space="preserve"> INDEX(SmallFP!$A$1:$A$256, Table1[[#This Row],[ISMI]]+1)</f>
        <v>429800</v>
      </c>
      <c r="N77" t="str">
        <f>Single2String(Table1[[#This Row],[c ctrace]])</f>
        <v>42640000</v>
      </c>
      <c r="O77" t="str">
        <f>Single2String(Table1[[#This Row],[a ctrace]])</f>
        <v>43050000</v>
      </c>
      <c r="P77" t="str">
        <f xml:space="preserve"> Single2String(Table1[[#This Row],[g ctrace]])</f>
        <v>42BE0000</v>
      </c>
      <c r="Q77" t="str">
        <f xml:space="preserve"> Single2String(Table1[[#This Row],[t ctrace]])</f>
        <v>42640000</v>
      </c>
      <c r="R77" t="str">
        <f>Single2String(Table1[[#This Row],[grn and red ctrace]])</f>
        <v>43AB0000</v>
      </c>
      <c r="S77">
        <v>75</v>
      </c>
      <c r="T77" t="str">
        <f>DEC2HEX(Table1[[#This Row],[ZMW num]])</f>
        <v>4B</v>
      </c>
      <c r="U77">
        <f>Table1[[#This Row],[ZMW num]]+1</f>
        <v>76</v>
      </c>
      <c r="V77">
        <v>6</v>
      </c>
      <c r="W77">
        <f t="shared" si="1"/>
        <v>35</v>
      </c>
      <c r="X77">
        <v>151</v>
      </c>
      <c r="Y77">
        <v>104</v>
      </c>
      <c r="Z77">
        <f>MOD(Table1[[#This Row],[ZMW num]], 2^8)</f>
        <v>75</v>
      </c>
      <c r="AA77">
        <f xml:space="preserve"> String2Single(Table1[[#This Row],[t ISIM hex]] &amp; "00")</f>
        <v>76</v>
      </c>
      <c r="AB77">
        <f>'Pulse data'!O80</f>
        <v>0</v>
      </c>
      <c r="AC77">
        <f>Table1[[#This Row],[ZMW num]]*0.01</f>
        <v>0.75</v>
      </c>
      <c r="AD77">
        <f>1+Table1[[#This Row],[t bias]]</f>
        <v>1.75</v>
      </c>
      <c r="AE77">
        <f>Table1[[#This Row],[t kinetic trace]]* String2Single(CONCATENATE(Table1[[#This Row],[t gain hex]], "00")) + String2Single(CONCATENATE(Table1[[#This Row],[t bias hex]], "00"))</f>
        <v>0.75</v>
      </c>
      <c r="AF77">
        <f xml:space="preserve"> Table1[[#This Row],[t ptrace]]*Table1[[#This Row],[ISM]]</f>
        <v>57</v>
      </c>
      <c r="AG77">
        <f>'Pulse data'!N80</f>
        <v>0</v>
      </c>
      <c r="AH77">
        <f>Table1[[#This Row],[t bias]]+0.5</f>
        <v>1.25</v>
      </c>
      <c r="AI77">
        <f>Table1[[#This Row],[t gain]]/2</f>
        <v>0.875</v>
      </c>
      <c r="AJ77">
        <f>Table1[[#This Row],[g kinetic trace]]* String2Single(CONCATENATE(Table1[[#This Row],[g gain hex]], "00")) + String2Single(CONCATENATE(Table1[[#This Row],[g bias hex]], "00"))</f>
        <v>1.25</v>
      </c>
      <c r="AK77">
        <f xml:space="preserve"> Table1[[#This Row],[g ptrace]]*Table1[[#This Row],[ISM]]</f>
        <v>95</v>
      </c>
      <c r="AL77">
        <f>'Pulse data'!M80</f>
        <v>0</v>
      </c>
      <c r="AM77">
        <f>Table1[[#This Row],[t bias]]+1</f>
        <v>1.75</v>
      </c>
      <c r="AN77">
        <f>Table1[[#This Row],[t gain]]-0.5</f>
        <v>1.25</v>
      </c>
      <c r="AO77">
        <f>Table1[[#This Row],[a kinetic trace]]* String2Single(CONCATENATE(Table1[[#This Row],[a gain hex]], "00")) + String2Single(CONCATENATE(Table1[[#This Row],[a bias hex]], "00"))</f>
        <v>1.75</v>
      </c>
      <c r="AP77">
        <f xml:space="preserve"> Table1[[#This Row],[a ptrace]]*Table1[[#This Row],[ISM]]</f>
        <v>133</v>
      </c>
      <c r="AQ77">
        <f>'Pulse data'!L80</f>
        <v>0</v>
      </c>
      <c r="AR77">
        <f>Table1[[#This Row],[t bias]]</f>
        <v>0.75</v>
      </c>
      <c r="AS77">
        <f>Table1[[#This Row],[t gain]]</f>
        <v>1.75</v>
      </c>
      <c r="AT77">
        <f>Table1[[#This Row],[c kinetic trace]]* String2Single(CONCATENATE(Table1[[#This Row],[c gain hex]], "00")) + String2Single(CONCATENATE(Table1[[#This Row],[c bias hex]], "00"))</f>
        <v>0.75</v>
      </c>
      <c r="AU77">
        <f xml:space="preserve"> Table1[[#This Row],[c ptrace]]*Table1[[#This Row],[ISM]]</f>
        <v>57</v>
      </c>
      <c r="AV77">
        <f xml:space="preserve"> Table1[[#This Row],[t ctrace]] + Table1[[#This Row],[g ctrace]] + Table1[[#This Row],[a ctrace]] + Table1[[#This Row],[c ctrace]]</f>
        <v>342</v>
      </c>
      <c r="AW77" s="2" t="str">
        <f>DEC2HEX(Table1[[#This Row],[row]], 3)</f>
        <v>006</v>
      </c>
      <c r="AX77" s="1" t="str">
        <f>DEC2HEX(Table1[[#This Row],[col]], 3)</f>
        <v>023</v>
      </c>
      <c r="AY77" s="1" t="str">
        <f>DEC2HEX(Table1[[#This Row],[grn fsp idx]], 2)</f>
        <v>97</v>
      </c>
      <c r="AZ77" s="1" t="str">
        <f>DEC2HEX(Table1[[#This Row],[red fsp idx]], 2)</f>
        <v>68</v>
      </c>
      <c r="BA77" s="1" t="str">
        <f>DEC2HEX(Table1[[#This Row],[ISMI]], 2)</f>
        <v>4B</v>
      </c>
      <c r="BB77" s="1">
        <f>LEN(Table1[[#This Row],[DRAM data]])</f>
        <v>64</v>
      </c>
      <c r="BC7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00602397684B3F40003FE0003FA0003F60003FE0003FA0003F40003FE0000002</v>
      </c>
      <c r="BV77"/>
    </row>
    <row r="78" spans="1:74" x14ac:dyDescent="0.25">
      <c r="A78" s="1" t="str">
        <f xml:space="preserve"> LEFT(Sng2String(Table1[[#This Row],[c bias]]), 6)</f>
        <v>3F428F</v>
      </c>
      <c r="B78" s="1" t="str">
        <f xml:space="preserve"> LEFT(Sng2String(Table1[[#This Row],[a bias]]), 6)</f>
        <v>3FE147</v>
      </c>
      <c r="C78" s="1" t="str">
        <f xml:space="preserve"> LEFT(Sng2String(Table1[[#This Row],[g bias]]), 6)</f>
        <v>3FA147</v>
      </c>
      <c r="D78" s="1" t="str">
        <f xml:space="preserve"> LEFT(Sng2String(Table1[[#This Row],[t bias]]), 6)</f>
        <v>3F428F</v>
      </c>
      <c r="E78" s="1" t="str">
        <f xml:space="preserve"> LEFT(Sng2String(Table1[[#This Row],[c gain]]), 6)</f>
        <v>3FE147</v>
      </c>
      <c r="F78" s="1" t="str">
        <f xml:space="preserve"> LEFT(Sng2String(Table1[[#This Row],[a gain]]), 6)</f>
        <v>3FA147</v>
      </c>
      <c r="G78" s="1" t="str">
        <f xml:space="preserve"> LEFT(Sng2String(Table1[[#This Row],[g gain]]), 6)</f>
        <v>3F6147</v>
      </c>
      <c r="H78" s="1" t="str">
        <f xml:space="preserve"> LEFT(Sng2String(Table1[[#This Row],[t gain]]), 6)</f>
        <v>3FE147</v>
      </c>
      <c r="I78" t="str">
        <f xml:space="preserve"> Sng2String(Table1[[#This Row],[c ptrace]])</f>
        <v>3F428F00</v>
      </c>
      <c r="J78" t="str">
        <f xml:space="preserve"> Sng2String(Table1[[#This Row],[a ptrace]])</f>
        <v>3FE14700</v>
      </c>
      <c r="K78" t="str">
        <f xml:space="preserve"> Sng2String(Table1[[#This Row],[g ptrace]])</f>
        <v>3FA14700</v>
      </c>
      <c r="L78" t="str">
        <f>Sng2String(Table1[[#This Row],[t ptrace]])</f>
        <v>3F428F00</v>
      </c>
      <c r="M78" t="str">
        <f xml:space="preserve"> INDEX(SmallFP!$A$1:$A$256, Table1[[#This Row],[ISMI]]+1)</f>
        <v>429A00</v>
      </c>
      <c r="N78" t="str">
        <f>Single2String(Table1[[#This Row],[c ctrace]])</f>
        <v>426A140C</v>
      </c>
      <c r="O78" t="str">
        <f>Single2String(Table1[[#This Row],[a ctrace]])</f>
        <v>430784B6</v>
      </c>
      <c r="P78" t="str">
        <f xml:space="preserve"> Single2String(Table1[[#This Row],[g ctrace]])</f>
        <v>42C2096C</v>
      </c>
      <c r="Q78" t="str">
        <f xml:space="preserve"> Single2String(Table1[[#This Row],[t ctrace]])</f>
        <v>426A140C</v>
      </c>
      <c r="R78" t="str">
        <f>Single2String(Table1[[#This Row],[grn and red ctrace]])</f>
        <v>43AEC9B9</v>
      </c>
      <c r="S78">
        <v>76</v>
      </c>
      <c r="T78" t="str">
        <f>DEC2HEX(Table1[[#This Row],[ZMW num]])</f>
        <v>4C</v>
      </c>
      <c r="U78">
        <f>Table1[[#This Row],[ZMW num]]+1</f>
        <v>77</v>
      </c>
      <c r="V78">
        <v>6</v>
      </c>
      <c r="W78">
        <f t="shared" si="1"/>
        <v>40</v>
      </c>
      <c r="X78">
        <v>153</v>
      </c>
      <c r="Y78">
        <v>102</v>
      </c>
      <c r="Z78">
        <f>MOD(Table1[[#This Row],[ZMW num]], 2^8)</f>
        <v>76</v>
      </c>
      <c r="AA78">
        <f xml:space="preserve"> String2Single(Table1[[#This Row],[t ISIM hex]] &amp; "00")</f>
        <v>77</v>
      </c>
      <c r="AB78">
        <f>'Pulse data'!O81</f>
        <v>0</v>
      </c>
      <c r="AC78">
        <f>Table1[[#This Row],[ZMW num]]*0.01</f>
        <v>0.76</v>
      </c>
      <c r="AD78">
        <f>1+Table1[[#This Row],[t bias]]</f>
        <v>1.76</v>
      </c>
      <c r="AE78">
        <f>Table1[[#This Row],[t kinetic trace]]* String2Single(CONCATENATE(Table1[[#This Row],[t gain hex]], "00")) + String2Single(CONCATENATE(Table1[[#This Row],[t bias hex]], "00"))</f>
        <v>0.7599945068359375</v>
      </c>
      <c r="AF78">
        <f xml:space="preserve"> Table1[[#This Row],[t ptrace]]*Table1[[#This Row],[ISM]]</f>
        <v>58.519577026367188</v>
      </c>
      <c r="AG78">
        <f>'Pulse data'!N81</f>
        <v>0</v>
      </c>
      <c r="AH78">
        <f>Table1[[#This Row],[t bias]]+0.5</f>
        <v>1.26</v>
      </c>
      <c r="AI78">
        <f>Table1[[#This Row],[t gain]]/2</f>
        <v>0.88</v>
      </c>
      <c r="AJ78">
        <f>Table1[[#This Row],[g kinetic trace]]* String2Single(CONCATENATE(Table1[[#This Row],[g gain hex]], "00")) + String2Single(CONCATENATE(Table1[[#This Row],[g bias hex]], "00"))</f>
        <v>1.259979248046875</v>
      </c>
      <c r="AK78">
        <f xml:space="preserve"> Table1[[#This Row],[g ptrace]]*Table1[[#This Row],[ISM]]</f>
        <v>97.018402099609375</v>
      </c>
      <c r="AL78">
        <f>'Pulse data'!M81</f>
        <v>0</v>
      </c>
      <c r="AM78">
        <f>Table1[[#This Row],[t bias]]+1</f>
        <v>1.76</v>
      </c>
      <c r="AN78">
        <f>Table1[[#This Row],[t gain]]-0.5</f>
        <v>1.26</v>
      </c>
      <c r="AO78">
        <f>Table1[[#This Row],[a kinetic trace]]* String2Single(CONCATENATE(Table1[[#This Row],[a gain hex]], "00")) + String2Single(CONCATENATE(Table1[[#This Row],[a bias hex]], "00"))</f>
        <v>1.759979248046875</v>
      </c>
      <c r="AP78">
        <f xml:space="preserve"> Table1[[#This Row],[a ptrace]]*Table1[[#This Row],[ISM]]</f>
        <v>135.51840209960937</v>
      </c>
      <c r="AQ78">
        <f>'Pulse data'!L81</f>
        <v>0</v>
      </c>
      <c r="AR78">
        <f>Table1[[#This Row],[t bias]]</f>
        <v>0.76</v>
      </c>
      <c r="AS78">
        <f>Table1[[#This Row],[t gain]]</f>
        <v>1.76</v>
      </c>
      <c r="AT78">
        <f>Table1[[#This Row],[c kinetic trace]]* String2Single(CONCATENATE(Table1[[#This Row],[c gain hex]], "00")) + String2Single(CONCATENATE(Table1[[#This Row],[c bias hex]], "00"))</f>
        <v>0.7599945068359375</v>
      </c>
      <c r="AU78">
        <f xml:space="preserve"> Table1[[#This Row],[c ptrace]]*Table1[[#This Row],[ISM]]</f>
        <v>58.519577026367188</v>
      </c>
      <c r="AV78">
        <f xml:space="preserve"> Table1[[#This Row],[t ctrace]] + Table1[[#This Row],[g ctrace]] + Table1[[#This Row],[a ctrace]] + Table1[[#This Row],[c ctrace]]</f>
        <v>349.57595825195312</v>
      </c>
      <c r="AW78" s="2" t="str">
        <f>DEC2HEX(Table1[[#This Row],[row]], 3)</f>
        <v>006</v>
      </c>
      <c r="AX78" s="1" t="str">
        <f>DEC2HEX(Table1[[#This Row],[col]], 3)</f>
        <v>028</v>
      </c>
      <c r="AY78" s="1" t="str">
        <f>DEC2HEX(Table1[[#This Row],[grn fsp idx]], 2)</f>
        <v>99</v>
      </c>
      <c r="AZ78" s="1" t="str">
        <f>DEC2HEX(Table1[[#This Row],[red fsp idx]], 2)</f>
        <v>66</v>
      </c>
      <c r="BA78" s="1" t="str">
        <f>DEC2HEX(Table1[[#This Row],[ISMI]], 2)</f>
        <v>4C</v>
      </c>
      <c r="BB78" s="1">
        <f>LEN(Table1[[#This Row],[DRAM data]])</f>
        <v>64</v>
      </c>
      <c r="BC7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00602899664C3F428F3FE1473FA1473F61473FE1473FA1473F428F3FE1470002</v>
      </c>
      <c r="BV78"/>
    </row>
    <row r="79" spans="1:74" x14ac:dyDescent="0.25">
      <c r="A79" s="1" t="str">
        <f xml:space="preserve"> LEFT(Sng2String(Table1[[#This Row],[c bias]]), 6)</f>
        <v>3F451E</v>
      </c>
      <c r="B79" s="1" t="str">
        <f xml:space="preserve"> LEFT(Sng2String(Table1[[#This Row],[a bias]]), 6)</f>
        <v>3FE28F</v>
      </c>
      <c r="C79" s="1" t="str">
        <f xml:space="preserve"> LEFT(Sng2String(Table1[[#This Row],[g bias]]), 6)</f>
        <v>3FA28F</v>
      </c>
      <c r="D79" s="1" t="str">
        <f xml:space="preserve"> LEFT(Sng2String(Table1[[#This Row],[t bias]]), 6)</f>
        <v>3F451E</v>
      </c>
      <c r="E79" s="1" t="str">
        <f xml:space="preserve"> LEFT(Sng2String(Table1[[#This Row],[c gain]]), 6)</f>
        <v>3FE28F</v>
      </c>
      <c r="F79" s="1" t="str">
        <f xml:space="preserve"> LEFT(Sng2String(Table1[[#This Row],[a gain]]), 6)</f>
        <v>3FA28F</v>
      </c>
      <c r="G79" s="1" t="str">
        <f xml:space="preserve"> LEFT(Sng2String(Table1[[#This Row],[g gain]]), 6)</f>
        <v>3F628F</v>
      </c>
      <c r="H79" s="1" t="str">
        <f xml:space="preserve"> LEFT(Sng2String(Table1[[#This Row],[t gain]]), 6)</f>
        <v>3FE28F</v>
      </c>
      <c r="I79" t="str">
        <f xml:space="preserve"> Sng2String(Table1[[#This Row],[c ptrace]])</f>
        <v>3F451E00</v>
      </c>
      <c r="J79" t="str">
        <f xml:space="preserve"> Sng2String(Table1[[#This Row],[a ptrace]])</f>
        <v>3FE28F00</v>
      </c>
      <c r="K79" t="str">
        <f xml:space="preserve"> Sng2String(Table1[[#This Row],[g ptrace]])</f>
        <v>3FA28F00</v>
      </c>
      <c r="L79" t="str">
        <f>Sng2String(Table1[[#This Row],[t ptrace]])</f>
        <v>3F451E00</v>
      </c>
      <c r="M79" t="str">
        <f xml:space="preserve"> INDEX(SmallFP!$A$1:$A$256, Table1[[#This Row],[ISMI]]+1)</f>
        <v>429C00</v>
      </c>
      <c r="N79" t="str">
        <f>Single2String(Table1[[#This Row],[c ctrace]])</f>
        <v>42703C90</v>
      </c>
      <c r="O79" t="str">
        <f>Single2String(Table1[[#This Row],[a ctrace]])</f>
        <v>430A0F24</v>
      </c>
      <c r="P79" t="str">
        <f xml:space="preserve"> Single2String(Table1[[#This Row],[g ctrace]])</f>
        <v>42C61E48</v>
      </c>
      <c r="Q79" t="str">
        <f xml:space="preserve"> Single2String(Table1[[#This Row],[t ctrace]])</f>
        <v>42703C90</v>
      </c>
      <c r="R79" t="str">
        <f>Single2String(Table1[[#This Row],[grn and red ctrace]])</f>
        <v>43B29E48</v>
      </c>
      <c r="S79">
        <v>77</v>
      </c>
      <c r="T79" t="str">
        <f>DEC2HEX(Table1[[#This Row],[ZMW num]])</f>
        <v>4D</v>
      </c>
      <c r="U79">
        <f>Table1[[#This Row],[ZMW num]]+1</f>
        <v>78</v>
      </c>
      <c r="V79">
        <v>6</v>
      </c>
      <c r="W79">
        <f t="shared" si="1"/>
        <v>44</v>
      </c>
      <c r="X79">
        <v>155</v>
      </c>
      <c r="Y79">
        <v>100</v>
      </c>
      <c r="Z79">
        <f>MOD(Table1[[#This Row],[ZMW num]], 2^8)</f>
        <v>77</v>
      </c>
      <c r="AA79">
        <f xml:space="preserve"> String2Single(Table1[[#This Row],[t ISIM hex]] &amp; "00")</f>
        <v>78</v>
      </c>
      <c r="AB79">
        <f>'Pulse data'!O82</f>
        <v>0</v>
      </c>
      <c r="AC79">
        <f>Table1[[#This Row],[ZMW num]]*0.01</f>
        <v>0.77</v>
      </c>
      <c r="AD79">
        <f>1+Table1[[#This Row],[t bias]]</f>
        <v>1.77</v>
      </c>
      <c r="AE79">
        <f>Table1[[#This Row],[t kinetic trace]]* String2Single(CONCATENATE(Table1[[#This Row],[t gain hex]], "00")) + String2Single(CONCATENATE(Table1[[#This Row],[t bias hex]], "00"))</f>
        <v>0.769989013671875</v>
      </c>
      <c r="AF79">
        <f xml:space="preserve"> Table1[[#This Row],[t ptrace]]*Table1[[#This Row],[ISM]]</f>
        <v>60.05914306640625</v>
      </c>
      <c r="AG79">
        <f>'Pulse data'!N82</f>
        <v>0</v>
      </c>
      <c r="AH79">
        <f>Table1[[#This Row],[t bias]]+0.5</f>
        <v>1.27</v>
      </c>
      <c r="AI79">
        <f>Table1[[#This Row],[t gain]]/2</f>
        <v>0.88500000000000001</v>
      </c>
      <c r="AJ79">
        <f>Table1[[#This Row],[g kinetic trace]]* String2Single(CONCATENATE(Table1[[#This Row],[g gain hex]], "00")) + String2Single(CONCATENATE(Table1[[#This Row],[g bias hex]], "00"))</f>
        <v>1.269989013671875</v>
      </c>
      <c r="AK79">
        <f xml:space="preserve"> Table1[[#This Row],[g ptrace]]*Table1[[#This Row],[ISM]]</f>
        <v>99.05914306640625</v>
      </c>
      <c r="AL79">
        <f>'Pulse data'!M82</f>
        <v>0</v>
      </c>
      <c r="AM79">
        <f>Table1[[#This Row],[t bias]]+1</f>
        <v>1.77</v>
      </c>
      <c r="AN79">
        <f>Table1[[#This Row],[t gain]]-0.5</f>
        <v>1.27</v>
      </c>
      <c r="AO79">
        <f>Table1[[#This Row],[a kinetic trace]]* String2Single(CONCATENATE(Table1[[#This Row],[a gain hex]], "00")) + String2Single(CONCATENATE(Table1[[#This Row],[a bias hex]], "00"))</f>
        <v>1.769989013671875</v>
      </c>
      <c r="AP79">
        <f xml:space="preserve"> Table1[[#This Row],[a ptrace]]*Table1[[#This Row],[ISM]]</f>
        <v>138.05914306640625</v>
      </c>
      <c r="AQ79">
        <f>'Pulse data'!L82</f>
        <v>0</v>
      </c>
      <c r="AR79">
        <f>Table1[[#This Row],[t bias]]</f>
        <v>0.77</v>
      </c>
      <c r="AS79">
        <f>Table1[[#This Row],[t gain]]</f>
        <v>1.77</v>
      </c>
      <c r="AT79">
        <f>Table1[[#This Row],[c kinetic trace]]* String2Single(CONCATENATE(Table1[[#This Row],[c gain hex]], "00")) + String2Single(CONCATENATE(Table1[[#This Row],[c bias hex]], "00"))</f>
        <v>0.769989013671875</v>
      </c>
      <c r="AU79">
        <f xml:space="preserve"> Table1[[#This Row],[c ptrace]]*Table1[[#This Row],[ISM]]</f>
        <v>60.05914306640625</v>
      </c>
      <c r="AV79">
        <f xml:space="preserve"> Table1[[#This Row],[t ctrace]] + Table1[[#This Row],[g ctrace]] + Table1[[#This Row],[a ctrace]] + Table1[[#This Row],[c ctrace]]</f>
        <v>357.236572265625</v>
      </c>
      <c r="AW79" s="2" t="str">
        <f>DEC2HEX(Table1[[#This Row],[row]], 3)</f>
        <v>006</v>
      </c>
      <c r="AX79" s="1" t="str">
        <f>DEC2HEX(Table1[[#This Row],[col]], 3)</f>
        <v>02C</v>
      </c>
      <c r="AY79" s="1" t="str">
        <f>DEC2HEX(Table1[[#This Row],[grn fsp idx]], 2)</f>
        <v>9B</v>
      </c>
      <c r="AZ79" s="1" t="str">
        <f>DEC2HEX(Table1[[#This Row],[red fsp idx]], 2)</f>
        <v>64</v>
      </c>
      <c r="BA79" s="1" t="str">
        <f>DEC2HEX(Table1[[#This Row],[ISMI]], 2)</f>
        <v>4D</v>
      </c>
      <c r="BB79" s="1">
        <f>LEN(Table1[[#This Row],[DRAM data]])</f>
        <v>64</v>
      </c>
      <c r="BC7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00602C9B644D3F451E3FE28F3FA28F3F628F3FE28F3FA28F3F451E3FE28F0002</v>
      </c>
      <c r="BV79"/>
    </row>
    <row r="80" spans="1:74" x14ac:dyDescent="0.25">
      <c r="A80" s="1" t="str">
        <f xml:space="preserve"> LEFT(Sng2String(Table1[[#This Row],[c bias]]), 6)</f>
        <v>3F47AE</v>
      </c>
      <c r="B80" s="1" t="str">
        <f xml:space="preserve"> LEFT(Sng2String(Table1[[#This Row],[a bias]]), 6)</f>
        <v>3FE3D7</v>
      </c>
      <c r="C80" s="1" t="str">
        <f xml:space="preserve"> LEFT(Sng2String(Table1[[#This Row],[g bias]]), 6)</f>
        <v>3FA3D7</v>
      </c>
      <c r="D80" s="1" t="str">
        <f xml:space="preserve"> LEFT(Sng2String(Table1[[#This Row],[t bias]]), 6)</f>
        <v>3F47AE</v>
      </c>
      <c r="E80" s="1" t="str">
        <f xml:space="preserve"> LEFT(Sng2String(Table1[[#This Row],[c gain]]), 6)</f>
        <v>3FE3D7</v>
      </c>
      <c r="F80" s="1" t="str">
        <f xml:space="preserve"> LEFT(Sng2String(Table1[[#This Row],[a gain]]), 6)</f>
        <v>3FA3D7</v>
      </c>
      <c r="G80" s="1" t="str">
        <f xml:space="preserve"> LEFT(Sng2String(Table1[[#This Row],[g gain]]), 6)</f>
        <v>3F63D7</v>
      </c>
      <c r="H80" s="1" t="str">
        <f xml:space="preserve"> LEFT(Sng2String(Table1[[#This Row],[t gain]]), 6)</f>
        <v>3FE3D7</v>
      </c>
      <c r="I80" t="str">
        <f xml:space="preserve"> Sng2String(Table1[[#This Row],[c ptrace]])</f>
        <v>3F47AE00</v>
      </c>
      <c r="J80" t="str">
        <f xml:space="preserve"> Sng2String(Table1[[#This Row],[a ptrace]])</f>
        <v>3FE3D700</v>
      </c>
      <c r="K80" t="str">
        <f xml:space="preserve"> Sng2String(Table1[[#This Row],[g ptrace]])</f>
        <v>3FA3D700</v>
      </c>
      <c r="L80" t="str">
        <f>Sng2String(Table1[[#This Row],[t ptrace]])</f>
        <v>3F47AE00</v>
      </c>
      <c r="M80" t="str">
        <f xml:space="preserve"> INDEX(SmallFP!$A$1:$A$256, Table1[[#This Row],[ISMI]]+1)</f>
        <v>429E00</v>
      </c>
      <c r="N80" t="str">
        <f>Single2String(Table1[[#This Row],[c ctrace]])</f>
        <v>42767AC8</v>
      </c>
      <c r="O80" t="str">
        <f>Single2String(Table1[[#This Row],[a ctrace]])</f>
        <v>430C9EB2</v>
      </c>
      <c r="P80" t="str">
        <f xml:space="preserve"> Single2String(Table1[[#This Row],[g ctrace]])</f>
        <v>42CA3D64</v>
      </c>
      <c r="Q80" t="str">
        <f xml:space="preserve"> Single2String(Table1[[#This Row],[t ctrace]])</f>
        <v>42767AC8</v>
      </c>
      <c r="R80" t="str">
        <f>Single2String(Table1[[#This Row],[grn and red ctrace]])</f>
        <v>43B67D64</v>
      </c>
      <c r="S80">
        <v>78</v>
      </c>
      <c r="T80" t="str">
        <f>DEC2HEX(Table1[[#This Row],[ZMW num]])</f>
        <v>4E</v>
      </c>
      <c r="U80">
        <f>Table1[[#This Row],[ZMW num]]+1</f>
        <v>79</v>
      </c>
      <c r="V80">
        <v>6</v>
      </c>
      <c r="W80">
        <f t="shared" si="1"/>
        <v>45</v>
      </c>
      <c r="X80">
        <v>157</v>
      </c>
      <c r="Y80">
        <v>98</v>
      </c>
      <c r="Z80">
        <f>MOD(Table1[[#This Row],[ZMW num]], 2^8)</f>
        <v>78</v>
      </c>
      <c r="AA80">
        <f xml:space="preserve"> String2Single(Table1[[#This Row],[t ISIM hex]] &amp; "00")</f>
        <v>79</v>
      </c>
      <c r="AB80">
        <f>'Pulse data'!O83</f>
        <v>0</v>
      </c>
      <c r="AC80">
        <f>Table1[[#This Row],[ZMW num]]*0.01</f>
        <v>0.78</v>
      </c>
      <c r="AD80">
        <f>1+Table1[[#This Row],[t bias]]</f>
        <v>1.78</v>
      </c>
      <c r="AE80">
        <f>Table1[[#This Row],[t kinetic trace]]* String2Single(CONCATENATE(Table1[[#This Row],[t gain hex]], "00")) + String2Single(CONCATENATE(Table1[[#This Row],[t bias hex]], "00"))</f>
        <v>0.779998779296875</v>
      </c>
      <c r="AF80">
        <f xml:space="preserve"> Table1[[#This Row],[t ptrace]]*Table1[[#This Row],[ISM]]</f>
        <v>61.619903564453125</v>
      </c>
      <c r="AG80">
        <f>'Pulse data'!N83</f>
        <v>0</v>
      </c>
      <c r="AH80">
        <f>Table1[[#This Row],[t bias]]+0.5</f>
        <v>1.28</v>
      </c>
      <c r="AI80">
        <f>Table1[[#This Row],[t gain]]/2</f>
        <v>0.89</v>
      </c>
      <c r="AJ80">
        <f>Table1[[#This Row],[g kinetic trace]]* String2Single(CONCATENATE(Table1[[#This Row],[g gain hex]], "00")) + String2Single(CONCATENATE(Table1[[#This Row],[g bias hex]], "00"))</f>
        <v>1.279998779296875</v>
      </c>
      <c r="AK80">
        <f xml:space="preserve"> Table1[[#This Row],[g ptrace]]*Table1[[#This Row],[ISM]]</f>
        <v>101.11990356445312</v>
      </c>
      <c r="AL80">
        <f>'Pulse data'!M83</f>
        <v>0</v>
      </c>
      <c r="AM80">
        <f>Table1[[#This Row],[t bias]]+1</f>
        <v>1.78</v>
      </c>
      <c r="AN80">
        <f>Table1[[#This Row],[t gain]]-0.5</f>
        <v>1.28</v>
      </c>
      <c r="AO80">
        <f>Table1[[#This Row],[a kinetic trace]]* String2Single(CONCATENATE(Table1[[#This Row],[a gain hex]], "00")) + String2Single(CONCATENATE(Table1[[#This Row],[a bias hex]], "00"))</f>
        <v>1.779998779296875</v>
      </c>
      <c r="AP80">
        <f xml:space="preserve"> Table1[[#This Row],[a ptrace]]*Table1[[#This Row],[ISM]]</f>
        <v>140.61990356445312</v>
      </c>
      <c r="AQ80">
        <f>'Pulse data'!L83</f>
        <v>0</v>
      </c>
      <c r="AR80">
        <f>Table1[[#This Row],[t bias]]</f>
        <v>0.78</v>
      </c>
      <c r="AS80">
        <f>Table1[[#This Row],[t gain]]</f>
        <v>1.78</v>
      </c>
      <c r="AT80">
        <f>Table1[[#This Row],[c kinetic trace]]* String2Single(CONCATENATE(Table1[[#This Row],[c gain hex]], "00")) + String2Single(CONCATENATE(Table1[[#This Row],[c bias hex]], "00"))</f>
        <v>0.779998779296875</v>
      </c>
      <c r="AU80">
        <f xml:space="preserve"> Table1[[#This Row],[c ptrace]]*Table1[[#This Row],[ISM]]</f>
        <v>61.619903564453125</v>
      </c>
      <c r="AV80">
        <f xml:space="preserve"> Table1[[#This Row],[t ctrace]] + Table1[[#This Row],[g ctrace]] + Table1[[#This Row],[a ctrace]] + Table1[[#This Row],[c ctrace]]</f>
        <v>364.9796142578125</v>
      </c>
      <c r="AW80" s="2" t="str">
        <f>DEC2HEX(Table1[[#This Row],[row]], 3)</f>
        <v>006</v>
      </c>
      <c r="AX80" s="1" t="str">
        <f>DEC2HEX(Table1[[#This Row],[col]], 3)</f>
        <v>02D</v>
      </c>
      <c r="AY80" s="1" t="str">
        <f>DEC2HEX(Table1[[#This Row],[grn fsp idx]], 2)</f>
        <v>9D</v>
      </c>
      <c r="AZ80" s="1" t="str">
        <f>DEC2HEX(Table1[[#This Row],[red fsp idx]], 2)</f>
        <v>62</v>
      </c>
      <c r="BA80" s="1" t="str">
        <f>DEC2HEX(Table1[[#This Row],[ISMI]], 2)</f>
        <v>4E</v>
      </c>
      <c r="BB80" s="1">
        <f>LEN(Table1[[#This Row],[DRAM data]])</f>
        <v>64</v>
      </c>
      <c r="BC8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00602D9D624E3F47AE3FE3D73FA3D73F63D73FE3D73FA3D73F47AE3FE3D70002</v>
      </c>
      <c r="BV80"/>
    </row>
    <row r="81" spans="1:74" x14ac:dyDescent="0.25">
      <c r="A81" s="1" t="str">
        <f xml:space="preserve"> LEFT(Sng2String(Table1[[#This Row],[c bias]]), 6)</f>
        <v>3F4A3D</v>
      </c>
      <c r="B81" s="1" t="str">
        <f xml:space="preserve"> LEFT(Sng2String(Table1[[#This Row],[a bias]]), 6)</f>
        <v>3FE51E</v>
      </c>
      <c r="C81" s="1" t="str">
        <f xml:space="preserve"> LEFT(Sng2String(Table1[[#This Row],[g bias]]), 6)</f>
        <v>3FA51E</v>
      </c>
      <c r="D81" s="1" t="str">
        <f xml:space="preserve"> LEFT(Sng2String(Table1[[#This Row],[t bias]]), 6)</f>
        <v>3F4A3D</v>
      </c>
      <c r="E81" s="1" t="str">
        <f xml:space="preserve"> LEFT(Sng2String(Table1[[#This Row],[c gain]]), 6)</f>
        <v>3FE51E</v>
      </c>
      <c r="F81" s="1" t="str">
        <f xml:space="preserve"> LEFT(Sng2String(Table1[[#This Row],[a gain]]), 6)</f>
        <v>3FA51E</v>
      </c>
      <c r="G81" s="1" t="str">
        <f xml:space="preserve"> LEFT(Sng2String(Table1[[#This Row],[g gain]]), 6)</f>
        <v>3F651E</v>
      </c>
      <c r="H81" s="1" t="str">
        <f xml:space="preserve"> LEFT(Sng2String(Table1[[#This Row],[t gain]]), 6)</f>
        <v>3FE51E</v>
      </c>
      <c r="I81" t="str">
        <f xml:space="preserve"> Sng2String(Table1[[#This Row],[c ptrace]])</f>
        <v>3F4A3D00</v>
      </c>
      <c r="J81" t="str">
        <f xml:space="preserve"> Sng2String(Table1[[#This Row],[a ptrace]])</f>
        <v>3FE51E00</v>
      </c>
      <c r="K81" t="str">
        <f xml:space="preserve"> Sng2String(Table1[[#This Row],[g ptrace]])</f>
        <v>3FA51E00</v>
      </c>
      <c r="L81" t="str">
        <f>Sng2String(Table1[[#This Row],[t ptrace]])</f>
        <v>3F4A3D00</v>
      </c>
      <c r="M81" t="str">
        <f xml:space="preserve"> INDEX(SmallFP!$A$1:$A$256, Table1[[#This Row],[ISMI]]+1)</f>
        <v>42A000</v>
      </c>
      <c r="N81" t="str">
        <f>Single2String(Table1[[#This Row],[c ctrace]])</f>
        <v>427CCC40</v>
      </c>
      <c r="O81" t="str">
        <f>Single2String(Table1[[#This Row],[a ctrace]])</f>
        <v>430F32C0</v>
      </c>
      <c r="P81" t="str">
        <f xml:space="preserve"> Single2String(Table1[[#This Row],[g ctrace]])</f>
        <v>42CE6580</v>
      </c>
      <c r="Q81" t="str">
        <f xml:space="preserve"> Single2String(Table1[[#This Row],[t ctrace]])</f>
        <v>427CCC40</v>
      </c>
      <c r="R81" t="str">
        <f>Single2String(Table1[[#This Row],[grn and red ctrace]])</f>
        <v>43BA65D0</v>
      </c>
      <c r="S81">
        <v>79</v>
      </c>
      <c r="T81" t="str">
        <f>DEC2HEX(Table1[[#This Row],[ZMW num]])</f>
        <v>4F</v>
      </c>
      <c r="U81">
        <f>Table1[[#This Row],[ZMW num]]+1</f>
        <v>80</v>
      </c>
      <c r="V81">
        <v>6</v>
      </c>
      <c r="W81">
        <f t="shared" si="1"/>
        <v>50</v>
      </c>
      <c r="X81">
        <v>159</v>
      </c>
      <c r="Y81">
        <v>96</v>
      </c>
      <c r="Z81">
        <f>MOD(Table1[[#This Row],[ZMW num]], 2^8)</f>
        <v>79</v>
      </c>
      <c r="AA81">
        <f xml:space="preserve"> String2Single(Table1[[#This Row],[t ISIM hex]] &amp; "00")</f>
        <v>80</v>
      </c>
      <c r="AB81">
        <f>'Pulse data'!O84</f>
        <v>0</v>
      </c>
      <c r="AC81">
        <f>Table1[[#This Row],[ZMW num]]*0.01</f>
        <v>0.79</v>
      </c>
      <c r="AD81">
        <f>1+Table1[[#This Row],[t bias]]</f>
        <v>1.79</v>
      </c>
      <c r="AE81">
        <f>Table1[[#This Row],[t kinetic trace]]* String2Single(CONCATENATE(Table1[[#This Row],[t gain hex]], "00")) + String2Single(CONCATENATE(Table1[[#This Row],[t bias hex]], "00"))</f>
        <v>0.7899932861328125</v>
      </c>
      <c r="AF81">
        <f xml:space="preserve"> Table1[[#This Row],[t ptrace]]*Table1[[#This Row],[ISM]]</f>
        <v>63.199462890625</v>
      </c>
      <c r="AG81">
        <f>'Pulse data'!N84</f>
        <v>0</v>
      </c>
      <c r="AH81">
        <f>Table1[[#This Row],[t bias]]+0.5</f>
        <v>1.29</v>
      </c>
      <c r="AI81">
        <f>Table1[[#This Row],[t gain]]/2</f>
        <v>0.89500000000000002</v>
      </c>
      <c r="AJ81">
        <f>Table1[[#This Row],[g kinetic trace]]* String2Single(CONCATENATE(Table1[[#This Row],[g gain hex]], "00")) + String2Single(CONCATENATE(Table1[[#This Row],[g bias hex]], "00"))</f>
        <v>1.28997802734375</v>
      </c>
      <c r="AK81">
        <f xml:space="preserve"> Table1[[#This Row],[g ptrace]]*Table1[[#This Row],[ISM]]</f>
        <v>103.1982421875</v>
      </c>
      <c r="AL81">
        <f>'Pulse data'!M84</f>
        <v>0</v>
      </c>
      <c r="AM81">
        <f>Table1[[#This Row],[t bias]]+1</f>
        <v>1.79</v>
      </c>
      <c r="AN81">
        <f>Table1[[#This Row],[t gain]]-0.5</f>
        <v>1.29</v>
      </c>
      <c r="AO81">
        <f>Table1[[#This Row],[a kinetic trace]]* String2Single(CONCATENATE(Table1[[#This Row],[a gain hex]], "00")) + String2Single(CONCATENATE(Table1[[#This Row],[a bias hex]], "00"))</f>
        <v>1.78997802734375</v>
      </c>
      <c r="AP81">
        <f xml:space="preserve"> Table1[[#This Row],[a ptrace]]*Table1[[#This Row],[ISM]]</f>
        <v>143.1982421875</v>
      </c>
      <c r="AQ81">
        <f>'Pulse data'!L84</f>
        <v>0</v>
      </c>
      <c r="AR81">
        <f>Table1[[#This Row],[t bias]]</f>
        <v>0.79</v>
      </c>
      <c r="AS81">
        <f>Table1[[#This Row],[t gain]]</f>
        <v>1.79</v>
      </c>
      <c r="AT81">
        <f>Table1[[#This Row],[c kinetic trace]]* String2Single(CONCATENATE(Table1[[#This Row],[c gain hex]], "00")) + String2Single(CONCATENATE(Table1[[#This Row],[c bias hex]], "00"))</f>
        <v>0.7899932861328125</v>
      </c>
      <c r="AU81">
        <f xml:space="preserve"> Table1[[#This Row],[c ptrace]]*Table1[[#This Row],[ISM]]</f>
        <v>63.199462890625</v>
      </c>
      <c r="AV81">
        <f xml:space="preserve"> Table1[[#This Row],[t ctrace]] + Table1[[#This Row],[g ctrace]] + Table1[[#This Row],[a ctrace]] + Table1[[#This Row],[c ctrace]]</f>
        <v>372.79541015625</v>
      </c>
      <c r="AW81" s="2" t="str">
        <f>DEC2HEX(Table1[[#This Row],[row]], 3)</f>
        <v>006</v>
      </c>
      <c r="AX81" s="1" t="str">
        <f>DEC2HEX(Table1[[#This Row],[col]], 3)</f>
        <v>032</v>
      </c>
      <c r="AY81" s="1" t="str">
        <f>DEC2HEX(Table1[[#This Row],[grn fsp idx]], 2)</f>
        <v>9F</v>
      </c>
      <c r="AZ81" s="1" t="str">
        <f>DEC2HEX(Table1[[#This Row],[red fsp idx]], 2)</f>
        <v>60</v>
      </c>
      <c r="BA81" s="1" t="str">
        <f>DEC2HEX(Table1[[#This Row],[ISMI]], 2)</f>
        <v>4F</v>
      </c>
      <c r="BB81" s="1">
        <f>LEN(Table1[[#This Row],[DRAM data]])</f>
        <v>64</v>
      </c>
      <c r="BC8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0060329F604F3F4A3D3FE51E3FA51E3F651E3FE51E3FA51E3F4A3D3FE51E0002</v>
      </c>
      <c r="BV81"/>
    </row>
    <row r="82" spans="1:74" x14ac:dyDescent="0.25">
      <c r="A82" s="1" t="str">
        <f xml:space="preserve"> LEFT(Sng2String(Table1[[#This Row],[c bias]]), 6)</f>
        <v>3F4CCC</v>
      </c>
      <c r="B82" s="1" t="str">
        <f xml:space="preserve"> LEFT(Sng2String(Table1[[#This Row],[a bias]]), 6)</f>
        <v>3FE666</v>
      </c>
      <c r="C82" s="1" t="str">
        <f xml:space="preserve"> LEFT(Sng2String(Table1[[#This Row],[g bias]]), 6)</f>
        <v>3FA666</v>
      </c>
      <c r="D82" s="1" t="str">
        <f xml:space="preserve"> LEFT(Sng2String(Table1[[#This Row],[t bias]]), 6)</f>
        <v>3F4CCC</v>
      </c>
      <c r="E82" s="1" t="str">
        <f xml:space="preserve"> LEFT(Sng2String(Table1[[#This Row],[c gain]]), 6)</f>
        <v>3FE666</v>
      </c>
      <c r="F82" s="1" t="str">
        <f xml:space="preserve"> LEFT(Sng2String(Table1[[#This Row],[a gain]]), 6)</f>
        <v>3FA666</v>
      </c>
      <c r="G82" s="1" t="str">
        <f xml:space="preserve"> LEFT(Sng2String(Table1[[#This Row],[g gain]]), 6)</f>
        <v>3F6666</v>
      </c>
      <c r="H82" s="1" t="str">
        <f xml:space="preserve"> LEFT(Sng2String(Table1[[#This Row],[t gain]]), 6)</f>
        <v>3FE666</v>
      </c>
      <c r="I82" t="str">
        <f xml:space="preserve"> Sng2String(Table1[[#This Row],[c ptrace]])</f>
        <v>3F4CCC00</v>
      </c>
      <c r="J82" t="str">
        <f xml:space="preserve"> Sng2String(Table1[[#This Row],[a ptrace]])</f>
        <v>3FE66600</v>
      </c>
      <c r="K82" t="str">
        <f xml:space="preserve"> Sng2String(Table1[[#This Row],[g ptrace]])</f>
        <v>3FA66600</v>
      </c>
      <c r="L82" t="str">
        <f>Sng2String(Table1[[#This Row],[t ptrace]])</f>
        <v>3F4CCC00</v>
      </c>
      <c r="M82" t="str">
        <f xml:space="preserve"> INDEX(SmallFP!$A$1:$A$256, Table1[[#This Row],[ISMI]]+1)</f>
        <v>42A200</v>
      </c>
      <c r="N82" t="str">
        <f>Single2String(Table1[[#This Row],[c ctrace]])</f>
        <v>42819918</v>
      </c>
      <c r="O82" t="str">
        <f>Single2String(Table1[[#This Row],[a ctrace]])</f>
        <v>4311CC8C</v>
      </c>
      <c r="P82" t="str">
        <f xml:space="preserve"> Single2String(Table1[[#This Row],[g ctrace]])</f>
        <v>42D29918</v>
      </c>
      <c r="Q82" t="str">
        <f xml:space="preserve"> Single2String(Table1[[#This Row],[t ctrace]])</f>
        <v>42819918</v>
      </c>
      <c r="R82" t="str">
        <f>Single2String(Table1[[#This Row],[grn and red ctrace]])</f>
        <v>43BE5918</v>
      </c>
      <c r="S82">
        <v>80</v>
      </c>
      <c r="T82" t="str">
        <f>DEC2HEX(Table1[[#This Row],[ZMW num]])</f>
        <v>50</v>
      </c>
      <c r="U82">
        <f>Table1[[#This Row],[ZMW num]]+1</f>
        <v>81</v>
      </c>
      <c r="V82">
        <v>6</v>
      </c>
      <c r="W82">
        <f t="shared" si="1"/>
        <v>54</v>
      </c>
      <c r="X82">
        <v>161</v>
      </c>
      <c r="Y82">
        <v>94</v>
      </c>
      <c r="Z82">
        <f>MOD(Table1[[#This Row],[ZMW num]], 2^8)</f>
        <v>80</v>
      </c>
      <c r="AA82">
        <f xml:space="preserve"> String2Single(Table1[[#This Row],[t ISIM hex]] &amp; "00")</f>
        <v>81</v>
      </c>
      <c r="AB82">
        <f>'Pulse data'!O85</f>
        <v>0</v>
      </c>
      <c r="AC82">
        <f>Table1[[#This Row],[ZMW num]]*0.01</f>
        <v>0.8</v>
      </c>
      <c r="AD82">
        <f>1+Table1[[#This Row],[t bias]]</f>
        <v>1.8</v>
      </c>
      <c r="AE82">
        <f>Table1[[#This Row],[t kinetic trace]]* String2Single(CONCATENATE(Table1[[#This Row],[t gain hex]], "00")) + String2Single(CONCATENATE(Table1[[#This Row],[t bias hex]], "00"))</f>
        <v>0.79998779296875</v>
      </c>
      <c r="AF82">
        <f xml:space="preserve"> Table1[[#This Row],[t ptrace]]*Table1[[#This Row],[ISM]]</f>
        <v>64.79901123046875</v>
      </c>
      <c r="AG82">
        <f>'Pulse data'!N85</f>
        <v>0</v>
      </c>
      <c r="AH82">
        <f>Table1[[#This Row],[t bias]]+0.5</f>
        <v>1.3</v>
      </c>
      <c r="AI82">
        <f>Table1[[#This Row],[t gain]]/2</f>
        <v>0.9</v>
      </c>
      <c r="AJ82">
        <f>Table1[[#This Row],[g kinetic trace]]* String2Single(CONCATENATE(Table1[[#This Row],[g gain hex]], "00")) + String2Single(CONCATENATE(Table1[[#This Row],[g bias hex]], "00"))</f>
        <v>1.29998779296875</v>
      </c>
      <c r="AK82">
        <f xml:space="preserve"> Table1[[#This Row],[g ptrace]]*Table1[[#This Row],[ISM]]</f>
        <v>105.29901123046875</v>
      </c>
      <c r="AL82">
        <f>'Pulse data'!M85</f>
        <v>0</v>
      </c>
      <c r="AM82">
        <f>Table1[[#This Row],[t bias]]+1</f>
        <v>1.8</v>
      </c>
      <c r="AN82">
        <f>Table1[[#This Row],[t gain]]-0.5</f>
        <v>1.3</v>
      </c>
      <c r="AO82">
        <f>Table1[[#This Row],[a kinetic trace]]* String2Single(CONCATENATE(Table1[[#This Row],[a gain hex]], "00")) + String2Single(CONCATENATE(Table1[[#This Row],[a bias hex]], "00"))</f>
        <v>1.79998779296875</v>
      </c>
      <c r="AP82">
        <f xml:space="preserve"> Table1[[#This Row],[a ptrace]]*Table1[[#This Row],[ISM]]</f>
        <v>145.79901123046875</v>
      </c>
      <c r="AQ82">
        <f>'Pulse data'!L85</f>
        <v>0</v>
      </c>
      <c r="AR82">
        <f>Table1[[#This Row],[t bias]]</f>
        <v>0.8</v>
      </c>
      <c r="AS82">
        <f>Table1[[#This Row],[t gain]]</f>
        <v>1.8</v>
      </c>
      <c r="AT82">
        <f>Table1[[#This Row],[c kinetic trace]]* String2Single(CONCATENATE(Table1[[#This Row],[c gain hex]], "00")) + String2Single(CONCATENATE(Table1[[#This Row],[c bias hex]], "00"))</f>
        <v>0.79998779296875</v>
      </c>
      <c r="AU82">
        <f xml:space="preserve"> Table1[[#This Row],[c ptrace]]*Table1[[#This Row],[ISM]]</f>
        <v>64.79901123046875</v>
      </c>
      <c r="AV82">
        <f xml:space="preserve"> Table1[[#This Row],[t ctrace]] + Table1[[#This Row],[g ctrace]] + Table1[[#This Row],[a ctrace]] + Table1[[#This Row],[c ctrace]]</f>
        <v>380.696044921875</v>
      </c>
      <c r="AW82" s="2" t="str">
        <f>DEC2HEX(Table1[[#This Row],[row]], 3)</f>
        <v>006</v>
      </c>
      <c r="AX82" s="1" t="str">
        <f>DEC2HEX(Table1[[#This Row],[col]], 3)</f>
        <v>036</v>
      </c>
      <c r="AY82" s="1" t="str">
        <f>DEC2HEX(Table1[[#This Row],[grn fsp idx]], 2)</f>
        <v>A1</v>
      </c>
      <c r="AZ82" s="1" t="str">
        <f>DEC2HEX(Table1[[#This Row],[red fsp idx]], 2)</f>
        <v>5E</v>
      </c>
      <c r="BA82" s="1" t="str">
        <f>DEC2HEX(Table1[[#This Row],[ISMI]], 2)</f>
        <v>50</v>
      </c>
      <c r="BB82" s="1">
        <f>LEN(Table1[[#This Row],[DRAM data]])</f>
        <v>64</v>
      </c>
      <c r="BC8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006036A15E503F4CCC3FE6663FA6663F66663FE6663FA6663F4CCC3FE6660002</v>
      </c>
      <c r="BV82"/>
    </row>
    <row r="83" spans="1:74" x14ac:dyDescent="0.25">
      <c r="A83" s="1" t="str">
        <f xml:space="preserve"> LEFT(Sng2String(Table1[[#This Row],[c bias]]), 6)</f>
        <v>3F4F5C</v>
      </c>
      <c r="B83" s="1" t="str">
        <f xml:space="preserve"> LEFT(Sng2String(Table1[[#This Row],[a bias]]), 6)</f>
        <v>3FE7AE</v>
      </c>
      <c r="C83" s="1" t="str">
        <f xml:space="preserve"> LEFT(Sng2String(Table1[[#This Row],[g bias]]), 6)</f>
        <v>3FA7AE</v>
      </c>
      <c r="D83" s="1" t="str">
        <f xml:space="preserve"> LEFT(Sng2String(Table1[[#This Row],[t bias]]), 6)</f>
        <v>3F4F5C</v>
      </c>
      <c r="E83" s="1" t="str">
        <f xml:space="preserve"> LEFT(Sng2String(Table1[[#This Row],[c gain]]), 6)</f>
        <v>3FE7AE</v>
      </c>
      <c r="F83" s="1" t="str">
        <f xml:space="preserve"> LEFT(Sng2String(Table1[[#This Row],[a gain]]), 6)</f>
        <v>3FA7AE</v>
      </c>
      <c r="G83" s="1" t="str">
        <f xml:space="preserve"> LEFT(Sng2String(Table1[[#This Row],[g gain]]), 6)</f>
        <v>3F67AE</v>
      </c>
      <c r="H83" s="1" t="str">
        <f xml:space="preserve"> LEFT(Sng2String(Table1[[#This Row],[t gain]]), 6)</f>
        <v>3FE7AE</v>
      </c>
      <c r="I83" t="str">
        <f xml:space="preserve"> Sng2String(Table1[[#This Row],[c ptrace]])</f>
        <v>3F4F5C00</v>
      </c>
      <c r="J83" t="str">
        <f xml:space="preserve"> Sng2String(Table1[[#This Row],[a ptrace]])</f>
        <v>3FE7AE00</v>
      </c>
      <c r="K83" t="str">
        <f xml:space="preserve"> Sng2String(Table1[[#This Row],[g ptrace]])</f>
        <v>3FA7AE00</v>
      </c>
      <c r="L83" t="str">
        <f>Sng2String(Table1[[#This Row],[t ptrace]])</f>
        <v>3F4F5C00</v>
      </c>
      <c r="M83" t="str">
        <f xml:space="preserve"> INDEX(SmallFP!$A$1:$A$256, Table1[[#This Row],[ISMI]]+1)</f>
        <v>42A400</v>
      </c>
      <c r="N83" t="str">
        <f>Single2String(Table1[[#This Row],[c ctrace]])</f>
        <v>4284D6F0</v>
      </c>
      <c r="O83" t="str">
        <f>Single2String(Table1[[#This Row],[a ctrace]])</f>
        <v>43146B78</v>
      </c>
      <c r="P83" t="str">
        <f xml:space="preserve"> Single2String(Table1[[#This Row],[g ctrace]])</f>
        <v>42D6D6F0</v>
      </c>
      <c r="Q83" t="str">
        <f xml:space="preserve"> Single2String(Table1[[#This Row],[t ctrace]])</f>
        <v>4284D6F0</v>
      </c>
      <c r="R83" t="str">
        <f>Single2String(Table1[[#This Row],[grn and red ctrace]])</f>
        <v>43C256F0</v>
      </c>
      <c r="S83">
        <v>81</v>
      </c>
      <c r="T83" t="str">
        <f>DEC2HEX(Table1[[#This Row],[ZMW num]])</f>
        <v>51</v>
      </c>
      <c r="U83">
        <f>Table1[[#This Row],[ZMW num]]+1</f>
        <v>82</v>
      </c>
      <c r="V83">
        <v>6</v>
      </c>
      <c r="W83">
        <f t="shared" si="1"/>
        <v>57</v>
      </c>
      <c r="X83">
        <v>163</v>
      </c>
      <c r="Y83">
        <v>92</v>
      </c>
      <c r="Z83">
        <f>MOD(Table1[[#This Row],[ZMW num]], 2^8)</f>
        <v>81</v>
      </c>
      <c r="AA83">
        <f xml:space="preserve"> String2Single(Table1[[#This Row],[t ISIM hex]] &amp; "00")</f>
        <v>82</v>
      </c>
      <c r="AB83">
        <f>'Pulse data'!O86</f>
        <v>0</v>
      </c>
      <c r="AC83">
        <f>Table1[[#This Row],[ZMW num]]*0.01</f>
        <v>0.81</v>
      </c>
      <c r="AD83">
        <f>1+Table1[[#This Row],[t bias]]</f>
        <v>1.81</v>
      </c>
      <c r="AE83">
        <f>Table1[[#This Row],[t kinetic trace]]* String2Single(CONCATENATE(Table1[[#This Row],[t gain hex]], "00")) + String2Single(CONCATENATE(Table1[[#This Row],[t bias hex]], "00"))</f>
        <v>0.80999755859375</v>
      </c>
      <c r="AF83">
        <f xml:space="preserve"> Table1[[#This Row],[t ptrace]]*Table1[[#This Row],[ISM]]</f>
        <v>66.4197998046875</v>
      </c>
      <c r="AG83">
        <f>'Pulse data'!N86</f>
        <v>0</v>
      </c>
      <c r="AH83">
        <f>Table1[[#This Row],[t bias]]+0.5</f>
        <v>1.31</v>
      </c>
      <c r="AI83">
        <f>Table1[[#This Row],[t gain]]/2</f>
        <v>0.90500000000000003</v>
      </c>
      <c r="AJ83">
        <f>Table1[[#This Row],[g kinetic trace]]* String2Single(CONCATENATE(Table1[[#This Row],[g gain hex]], "00")) + String2Single(CONCATENATE(Table1[[#This Row],[g bias hex]], "00"))</f>
        <v>1.30999755859375</v>
      </c>
      <c r="AK83">
        <f xml:space="preserve"> Table1[[#This Row],[g ptrace]]*Table1[[#This Row],[ISM]]</f>
        <v>107.4197998046875</v>
      </c>
      <c r="AL83">
        <f>'Pulse data'!M86</f>
        <v>0</v>
      </c>
      <c r="AM83">
        <f>Table1[[#This Row],[t bias]]+1</f>
        <v>1.81</v>
      </c>
      <c r="AN83">
        <f>Table1[[#This Row],[t gain]]-0.5</f>
        <v>1.31</v>
      </c>
      <c r="AO83">
        <f>Table1[[#This Row],[a kinetic trace]]* String2Single(CONCATENATE(Table1[[#This Row],[a gain hex]], "00")) + String2Single(CONCATENATE(Table1[[#This Row],[a bias hex]], "00"))</f>
        <v>1.80999755859375</v>
      </c>
      <c r="AP83">
        <f xml:space="preserve"> Table1[[#This Row],[a ptrace]]*Table1[[#This Row],[ISM]]</f>
        <v>148.4197998046875</v>
      </c>
      <c r="AQ83">
        <f>'Pulse data'!L86</f>
        <v>0</v>
      </c>
      <c r="AR83">
        <f>Table1[[#This Row],[t bias]]</f>
        <v>0.81</v>
      </c>
      <c r="AS83">
        <f>Table1[[#This Row],[t gain]]</f>
        <v>1.81</v>
      </c>
      <c r="AT83">
        <f>Table1[[#This Row],[c kinetic trace]]* String2Single(CONCATENATE(Table1[[#This Row],[c gain hex]], "00")) + String2Single(CONCATENATE(Table1[[#This Row],[c bias hex]], "00"))</f>
        <v>0.80999755859375</v>
      </c>
      <c r="AU83">
        <f xml:space="preserve"> Table1[[#This Row],[c ptrace]]*Table1[[#This Row],[ISM]]</f>
        <v>66.4197998046875</v>
      </c>
      <c r="AV83">
        <f xml:space="preserve"> Table1[[#This Row],[t ctrace]] + Table1[[#This Row],[g ctrace]] + Table1[[#This Row],[a ctrace]] + Table1[[#This Row],[c ctrace]]</f>
        <v>388.67919921875</v>
      </c>
      <c r="AW83" s="2" t="str">
        <f>DEC2HEX(Table1[[#This Row],[row]], 3)</f>
        <v>006</v>
      </c>
      <c r="AX83" s="1" t="str">
        <f>DEC2HEX(Table1[[#This Row],[col]], 3)</f>
        <v>039</v>
      </c>
      <c r="AY83" s="1" t="str">
        <f>DEC2HEX(Table1[[#This Row],[grn fsp idx]], 2)</f>
        <v>A3</v>
      </c>
      <c r="AZ83" s="1" t="str">
        <f>DEC2HEX(Table1[[#This Row],[red fsp idx]], 2)</f>
        <v>5C</v>
      </c>
      <c r="BA83" s="1" t="str">
        <f>DEC2HEX(Table1[[#This Row],[ISMI]], 2)</f>
        <v>51</v>
      </c>
      <c r="BB83" s="1">
        <f>LEN(Table1[[#This Row],[DRAM data]])</f>
        <v>64</v>
      </c>
      <c r="BC8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006039A35C513F4F5C3FE7AE3FA7AE3F67AE3FE7AE3FA7AE3F4F5C3FE7AE0002</v>
      </c>
      <c r="BV83"/>
    </row>
    <row r="84" spans="1:74" x14ac:dyDescent="0.25">
      <c r="A84" s="1" t="str">
        <f xml:space="preserve"> LEFT(Sng2String(Table1[[#This Row],[c bias]]), 6)</f>
        <v>3F51EB</v>
      </c>
      <c r="B84" s="1" t="str">
        <f xml:space="preserve"> LEFT(Sng2String(Table1[[#This Row],[a bias]]), 6)</f>
        <v>3FE8F5</v>
      </c>
      <c r="C84" s="1" t="str">
        <f xml:space="preserve"> LEFT(Sng2String(Table1[[#This Row],[g bias]]), 6)</f>
        <v>3FA8F5</v>
      </c>
      <c r="D84" s="1" t="str">
        <f xml:space="preserve"> LEFT(Sng2String(Table1[[#This Row],[t bias]]), 6)</f>
        <v>3F51EB</v>
      </c>
      <c r="E84" s="1" t="str">
        <f xml:space="preserve"> LEFT(Sng2String(Table1[[#This Row],[c gain]]), 6)</f>
        <v>3FE8F5</v>
      </c>
      <c r="F84" s="1" t="str">
        <f xml:space="preserve"> LEFT(Sng2String(Table1[[#This Row],[a gain]]), 6)</f>
        <v>3FA8F5</v>
      </c>
      <c r="G84" s="1" t="str">
        <f xml:space="preserve"> LEFT(Sng2String(Table1[[#This Row],[g gain]]), 6)</f>
        <v>3F68F5</v>
      </c>
      <c r="H84" s="1" t="str">
        <f xml:space="preserve"> LEFT(Sng2String(Table1[[#This Row],[t gain]]), 6)</f>
        <v>3FE8F5</v>
      </c>
      <c r="I84" t="str">
        <f xml:space="preserve"> Sng2String(Table1[[#This Row],[c ptrace]])</f>
        <v>3F51EB00</v>
      </c>
      <c r="J84" t="str">
        <f xml:space="preserve"> Sng2String(Table1[[#This Row],[a ptrace]])</f>
        <v>3FE8F500</v>
      </c>
      <c r="K84" t="str">
        <f xml:space="preserve"> Sng2String(Table1[[#This Row],[g ptrace]])</f>
        <v>3FA8F500</v>
      </c>
      <c r="L84" t="str">
        <f>Sng2String(Table1[[#This Row],[t ptrace]])</f>
        <v>3F51EB00</v>
      </c>
      <c r="M84" t="str">
        <f xml:space="preserve"> INDEX(SmallFP!$A$1:$A$256, Table1[[#This Row],[ISMI]]+1)</f>
        <v>42A600</v>
      </c>
      <c r="N84" t="str">
        <f>Single2String(Table1[[#This Row],[c ctrace]])</f>
        <v>42881E62</v>
      </c>
      <c r="O84" t="str">
        <f>Single2String(Table1[[#This Row],[a ctrace]])</f>
        <v>43170EDE</v>
      </c>
      <c r="P84" t="str">
        <f xml:space="preserve"> Single2String(Table1[[#This Row],[g ctrace]])</f>
        <v>42DB1DBC</v>
      </c>
      <c r="Q84" t="str">
        <f xml:space="preserve"> Single2String(Table1[[#This Row],[t ctrace]])</f>
        <v>42881E62</v>
      </c>
      <c r="R84" t="str">
        <f>Single2String(Table1[[#This Row],[grn and red ctrace]])</f>
        <v>43C65E0F</v>
      </c>
      <c r="S84">
        <v>82</v>
      </c>
      <c r="T84" t="str">
        <f>DEC2HEX(Table1[[#This Row],[ZMW num]])</f>
        <v>52</v>
      </c>
      <c r="U84">
        <f>Table1[[#This Row],[ZMW num]]+1</f>
        <v>83</v>
      </c>
      <c r="V84">
        <v>6</v>
      </c>
      <c r="W84">
        <f t="shared" si="1"/>
        <v>60</v>
      </c>
      <c r="X84">
        <v>165</v>
      </c>
      <c r="Y84">
        <v>90</v>
      </c>
      <c r="Z84">
        <f>MOD(Table1[[#This Row],[ZMW num]], 2^8)</f>
        <v>82</v>
      </c>
      <c r="AA84">
        <f xml:space="preserve"> String2Single(Table1[[#This Row],[t ISIM hex]] &amp; "00")</f>
        <v>83</v>
      </c>
      <c r="AB84">
        <f>'Pulse data'!O87</f>
        <v>0</v>
      </c>
      <c r="AC84">
        <f>Table1[[#This Row],[ZMW num]]*0.01</f>
        <v>0.82000000000000006</v>
      </c>
      <c r="AD84">
        <f>1+Table1[[#This Row],[t bias]]</f>
        <v>1.82</v>
      </c>
      <c r="AE84">
        <f>Table1[[#This Row],[t kinetic trace]]* String2Single(CONCATENATE(Table1[[#This Row],[t gain hex]], "00")) + String2Single(CONCATENATE(Table1[[#This Row],[t bias hex]], "00"))</f>
        <v>0.8199920654296875</v>
      </c>
      <c r="AF84">
        <f xml:space="preserve"> Table1[[#This Row],[t ptrace]]*Table1[[#This Row],[ISM]]</f>
        <v>68.059341430664063</v>
      </c>
      <c r="AG84">
        <f>'Pulse data'!N87</f>
        <v>0</v>
      </c>
      <c r="AH84">
        <f>Table1[[#This Row],[t bias]]+0.5</f>
        <v>1.32</v>
      </c>
      <c r="AI84">
        <f>Table1[[#This Row],[t gain]]/2</f>
        <v>0.91</v>
      </c>
      <c r="AJ84">
        <f>Table1[[#This Row],[g kinetic trace]]* String2Single(CONCATENATE(Table1[[#This Row],[g gain hex]], "00")) + String2Single(CONCATENATE(Table1[[#This Row],[g bias hex]], "00"))</f>
        <v>1.319976806640625</v>
      </c>
      <c r="AK84">
        <f xml:space="preserve"> Table1[[#This Row],[g ptrace]]*Table1[[#This Row],[ISM]]</f>
        <v>109.55807495117187</v>
      </c>
      <c r="AL84">
        <f>'Pulse data'!M87</f>
        <v>0</v>
      </c>
      <c r="AM84">
        <f>Table1[[#This Row],[t bias]]+1</f>
        <v>1.82</v>
      </c>
      <c r="AN84">
        <f>Table1[[#This Row],[t gain]]-0.5</f>
        <v>1.32</v>
      </c>
      <c r="AO84">
        <f>Table1[[#This Row],[a kinetic trace]]* String2Single(CONCATENATE(Table1[[#This Row],[a gain hex]], "00")) + String2Single(CONCATENATE(Table1[[#This Row],[a bias hex]], "00"))</f>
        <v>1.819976806640625</v>
      </c>
      <c r="AP84">
        <f xml:space="preserve"> Table1[[#This Row],[a ptrace]]*Table1[[#This Row],[ISM]]</f>
        <v>151.05807495117187</v>
      </c>
      <c r="AQ84">
        <f>'Pulse data'!L87</f>
        <v>0</v>
      </c>
      <c r="AR84">
        <f>Table1[[#This Row],[t bias]]</f>
        <v>0.82000000000000006</v>
      </c>
      <c r="AS84">
        <f>Table1[[#This Row],[t gain]]</f>
        <v>1.82</v>
      </c>
      <c r="AT84">
        <f>Table1[[#This Row],[c kinetic trace]]* String2Single(CONCATENATE(Table1[[#This Row],[c gain hex]], "00")) + String2Single(CONCATENATE(Table1[[#This Row],[c bias hex]], "00"))</f>
        <v>0.8199920654296875</v>
      </c>
      <c r="AU84">
        <f xml:space="preserve"> Table1[[#This Row],[c ptrace]]*Table1[[#This Row],[ISM]]</f>
        <v>68.059341430664063</v>
      </c>
      <c r="AV84">
        <f xml:space="preserve"> Table1[[#This Row],[t ctrace]] + Table1[[#This Row],[g ctrace]] + Table1[[#This Row],[a ctrace]] + Table1[[#This Row],[c ctrace]]</f>
        <v>396.73483276367187</v>
      </c>
      <c r="AW84" s="2" t="str">
        <f>DEC2HEX(Table1[[#This Row],[row]], 3)</f>
        <v>006</v>
      </c>
      <c r="AX84" s="1" t="str">
        <f>DEC2HEX(Table1[[#This Row],[col]], 3)</f>
        <v>03C</v>
      </c>
      <c r="AY84" s="1" t="str">
        <f>DEC2HEX(Table1[[#This Row],[grn fsp idx]], 2)</f>
        <v>A5</v>
      </c>
      <c r="AZ84" s="1" t="str">
        <f>DEC2HEX(Table1[[#This Row],[red fsp idx]], 2)</f>
        <v>5A</v>
      </c>
      <c r="BA84" s="1" t="str">
        <f>DEC2HEX(Table1[[#This Row],[ISMI]], 2)</f>
        <v>52</v>
      </c>
      <c r="BB84" s="1">
        <f>LEN(Table1[[#This Row],[DRAM data]])</f>
        <v>64</v>
      </c>
      <c r="BC8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00603CA55A523F51EB3FE8F53FA8F53F68F53FE8F53FA8F53F51EB3FE8F50002</v>
      </c>
      <c r="BV84"/>
    </row>
    <row r="85" spans="1:74" x14ac:dyDescent="0.25">
      <c r="A85" s="1" t="str">
        <f xml:space="preserve"> LEFT(Sng2String(Table1[[#This Row],[c bias]]), 6)</f>
        <v>3F547A</v>
      </c>
      <c r="B85" s="1" t="str">
        <f xml:space="preserve"> LEFT(Sng2String(Table1[[#This Row],[a bias]]), 6)</f>
        <v>3FEA3D</v>
      </c>
      <c r="C85" s="1" t="str">
        <f xml:space="preserve"> LEFT(Sng2String(Table1[[#This Row],[g bias]]), 6)</f>
        <v>3FAA3D</v>
      </c>
      <c r="D85" s="1" t="str">
        <f xml:space="preserve"> LEFT(Sng2String(Table1[[#This Row],[t bias]]), 6)</f>
        <v>3F547A</v>
      </c>
      <c r="E85" s="1" t="str">
        <f xml:space="preserve"> LEFT(Sng2String(Table1[[#This Row],[c gain]]), 6)</f>
        <v>3FEA3D</v>
      </c>
      <c r="F85" s="1" t="str">
        <f xml:space="preserve"> LEFT(Sng2String(Table1[[#This Row],[a gain]]), 6)</f>
        <v>3FAA3D</v>
      </c>
      <c r="G85" s="1" t="str">
        <f xml:space="preserve"> LEFT(Sng2String(Table1[[#This Row],[g gain]]), 6)</f>
        <v>3F6A3D</v>
      </c>
      <c r="H85" s="1" t="str">
        <f xml:space="preserve"> LEFT(Sng2String(Table1[[#This Row],[t gain]]), 6)</f>
        <v>3FEA3D</v>
      </c>
      <c r="I85" t="str">
        <f xml:space="preserve"> Sng2String(Table1[[#This Row],[c ptrace]])</f>
        <v>3F547A00</v>
      </c>
      <c r="J85" t="str">
        <f xml:space="preserve"> Sng2String(Table1[[#This Row],[a ptrace]])</f>
        <v>3FEA3D00</v>
      </c>
      <c r="K85" t="str">
        <f xml:space="preserve"> Sng2String(Table1[[#This Row],[g ptrace]])</f>
        <v>3FAA3D00</v>
      </c>
      <c r="L85" t="str">
        <f>Sng2String(Table1[[#This Row],[t ptrace]])</f>
        <v>3F547A00</v>
      </c>
      <c r="M85" t="str">
        <f xml:space="preserve"> INDEX(SmallFP!$A$1:$A$256, Table1[[#This Row],[ISMI]]+1)</f>
        <v>42A800</v>
      </c>
      <c r="N85" t="str">
        <f>Single2String(Table1[[#This Row],[c ctrace]])</f>
        <v>428B7010</v>
      </c>
      <c r="O85" t="str">
        <f>Single2String(Table1[[#This Row],[a ctrace]])</f>
        <v>4319B808</v>
      </c>
      <c r="P85" t="str">
        <f xml:space="preserve"> Single2String(Table1[[#This Row],[g ctrace]])</f>
        <v>42DF7010</v>
      </c>
      <c r="Q85" t="str">
        <f xml:space="preserve"> Single2String(Table1[[#This Row],[t ctrace]])</f>
        <v>428B7010</v>
      </c>
      <c r="R85" t="str">
        <f>Single2String(Table1[[#This Row],[grn and red ctrace]])</f>
        <v>43CA7010</v>
      </c>
      <c r="S85">
        <v>83</v>
      </c>
      <c r="T85" t="str">
        <f>DEC2HEX(Table1[[#This Row],[ZMW num]])</f>
        <v>53</v>
      </c>
      <c r="U85">
        <f>Table1[[#This Row],[ZMW num]]+1</f>
        <v>84</v>
      </c>
      <c r="V85">
        <v>6</v>
      </c>
      <c r="W85">
        <f t="shared" si="1"/>
        <v>64</v>
      </c>
      <c r="X85">
        <v>167</v>
      </c>
      <c r="Y85">
        <v>88</v>
      </c>
      <c r="Z85">
        <f>MOD(Table1[[#This Row],[ZMW num]], 2^8)</f>
        <v>83</v>
      </c>
      <c r="AA85">
        <f xml:space="preserve"> String2Single(Table1[[#This Row],[t ISIM hex]] &amp; "00")</f>
        <v>84</v>
      </c>
      <c r="AB85">
        <f>'Pulse data'!O88</f>
        <v>0</v>
      </c>
      <c r="AC85">
        <f>Table1[[#This Row],[ZMW num]]*0.01</f>
        <v>0.83000000000000007</v>
      </c>
      <c r="AD85">
        <f>1+Table1[[#This Row],[t bias]]</f>
        <v>1.83</v>
      </c>
      <c r="AE85">
        <f>Table1[[#This Row],[t kinetic trace]]* String2Single(CONCATENATE(Table1[[#This Row],[t gain hex]], "00")) + String2Single(CONCATENATE(Table1[[#This Row],[t bias hex]], "00"))</f>
        <v>0.829986572265625</v>
      </c>
      <c r="AF85">
        <f xml:space="preserve"> Table1[[#This Row],[t ptrace]]*Table1[[#This Row],[ISM]]</f>
        <v>69.7188720703125</v>
      </c>
      <c r="AG85">
        <f>'Pulse data'!N88</f>
        <v>0</v>
      </c>
      <c r="AH85">
        <f>Table1[[#This Row],[t bias]]+0.5</f>
        <v>1.33</v>
      </c>
      <c r="AI85">
        <f>Table1[[#This Row],[t gain]]/2</f>
        <v>0.91500000000000004</v>
      </c>
      <c r="AJ85">
        <f>Table1[[#This Row],[g kinetic trace]]* String2Single(CONCATENATE(Table1[[#This Row],[g gain hex]], "00")) + String2Single(CONCATENATE(Table1[[#This Row],[g bias hex]], "00"))</f>
        <v>1.329986572265625</v>
      </c>
      <c r="AK85">
        <f xml:space="preserve"> Table1[[#This Row],[g ptrace]]*Table1[[#This Row],[ISM]]</f>
        <v>111.7188720703125</v>
      </c>
      <c r="AL85">
        <f>'Pulse data'!M88</f>
        <v>0</v>
      </c>
      <c r="AM85">
        <f>Table1[[#This Row],[t bias]]+1</f>
        <v>1.83</v>
      </c>
      <c r="AN85">
        <f>Table1[[#This Row],[t gain]]-0.5</f>
        <v>1.33</v>
      </c>
      <c r="AO85">
        <f>Table1[[#This Row],[a kinetic trace]]* String2Single(CONCATENATE(Table1[[#This Row],[a gain hex]], "00")) + String2Single(CONCATENATE(Table1[[#This Row],[a bias hex]], "00"))</f>
        <v>1.829986572265625</v>
      </c>
      <c r="AP85">
        <f xml:space="preserve"> Table1[[#This Row],[a ptrace]]*Table1[[#This Row],[ISM]]</f>
        <v>153.7188720703125</v>
      </c>
      <c r="AQ85">
        <f>'Pulse data'!L88</f>
        <v>0</v>
      </c>
      <c r="AR85">
        <f>Table1[[#This Row],[t bias]]</f>
        <v>0.83000000000000007</v>
      </c>
      <c r="AS85">
        <f>Table1[[#This Row],[t gain]]</f>
        <v>1.83</v>
      </c>
      <c r="AT85">
        <f>Table1[[#This Row],[c kinetic trace]]* String2Single(CONCATENATE(Table1[[#This Row],[c gain hex]], "00")) + String2Single(CONCATENATE(Table1[[#This Row],[c bias hex]], "00"))</f>
        <v>0.829986572265625</v>
      </c>
      <c r="AU85">
        <f xml:space="preserve"> Table1[[#This Row],[c ptrace]]*Table1[[#This Row],[ISM]]</f>
        <v>69.7188720703125</v>
      </c>
      <c r="AV85">
        <f xml:space="preserve"> Table1[[#This Row],[t ctrace]] + Table1[[#This Row],[g ctrace]] + Table1[[#This Row],[a ctrace]] + Table1[[#This Row],[c ctrace]]</f>
        <v>404.87548828125</v>
      </c>
      <c r="AW85" s="2" t="str">
        <f>DEC2HEX(Table1[[#This Row],[row]], 3)</f>
        <v>006</v>
      </c>
      <c r="AX85" s="1" t="str">
        <f>DEC2HEX(Table1[[#This Row],[col]], 3)</f>
        <v>040</v>
      </c>
      <c r="AY85" s="1" t="str">
        <f>DEC2HEX(Table1[[#This Row],[grn fsp idx]], 2)</f>
        <v>A7</v>
      </c>
      <c r="AZ85" s="1" t="str">
        <f>DEC2HEX(Table1[[#This Row],[red fsp idx]], 2)</f>
        <v>58</v>
      </c>
      <c r="BA85" s="1" t="str">
        <f>DEC2HEX(Table1[[#This Row],[ISMI]], 2)</f>
        <v>53</v>
      </c>
      <c r="BB85" s="1">
        <f>LEN(Table1[[#This Row],[DRAM data]])</f>
        <v>64</v>
      </c>
      <c r="BC8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006040A758533F547A3FEA3D3FAA3D3F6A3D3FEA3D3FAA3D3F547A3FEA3D0002</v>
      </c>
      <c r="BV85"/>
    </row>
    <row r="86" spans="1:74" x14ac:dyDescent="0.25">
      <c r="A86" s="1" t="str">
        <f xml:space="preserve"> LEFT(Sng2String(Table1[[#This Row],[c bias]]), 6)</f>
        <v>3F570A</v>
      </c>
      <c r="B86" s="1" t="str">
        <f xml:space="preserve"> LEFT(Sng2String(Table1[[#This Row],[a bias]]), 6)</f>
        <v>3FEB85</v>
      </c>
      <c r="C86" s="1" t="str">
        <f xml:space="preserve"> LEFT(Sng2String(Table1[[#This Row],[g bias]]), 6)</f>
        <v>3FAB85</v>
      </c>
      <c r="D86" s="1" t="str">
        <f xml:space="preserve"> LEFT(Sng2String(Table1[[#This Row],[t bias]]), 6)</f>
        <v>3F570A</v>
      </c>
      <c r="E86" s="1" t="str">
        <f xml:space="preserve"> LEFT(Sng2String(Table1[[#This Row],[c gain]]), 6)</f>
        <v>3FEB85</v>
      </c>
      <c r="F86" s="1" t="str">
        <f xml:space="preserve"> LEFT(Sng2String(Table1[[#This Row],[a gain]]), 6)</f>
        <v>3FAB85</v>
      </c>
      <c r="G86" s="1" t="str">
        <f xml:space="preserve"> LEFT(Sng2String(Table1[[#This Row],[g gain]]), 6)</f>
        <v>3F6B85</v>
      </c>
      <c r="H86" s="1" t="str">
        <f xml:space="preserve"> LEFT(Sng2String(Table1[[#This Row],[t gain]]), 6)</f>
        <v>3FEB85</v>
      </c>
      <c r="I86" t="str">
        <f xml:space="preserve"> Sng2String(Table1[[#This Row],[c ptrace]])</f>
        <v>3F570A00</v>
      </c>
      <c r="J86" t="str">
        <f xml:space="preserve"> Sng2String(Table1[[#This Row],[a ptrace]])</f>
        <v>3FEB8500</v>
      </c>
      <c r="K86" t="str">
        <f xml:space="preserve"> Sng2String(Table1[[#This Row],[g ptrace]])</f>
        <v>3FAB8500</v>
      </c>
      <c r="L86" t="str">
        <f>Sng2String(Table1[[#This Row],[t ptrace]])</f>
        <v>3F570A00</v>
      </c>
      <c r="M86" t="str">
        <f xml:space="preserve"> INDEX(SmallFP!$A$1:$A$256, Table1[[#This Row],[ISMI]]+1)</f>
        <v>42AA00</v>
      </c>
      <c r="N86" t="str">
        <f>Single2String(Table1[[#This Row],[c ctrace]])</f>
        <v>428ECCA4</v>
      </c>
      <c r="O86" t="str">
        <f>Single2String(Table1[[#This Row],[a ctrace]])</f>
        <v>431C6652</v>
      </c>
      <c r="P86" t="str">
        <f xml:space="preserve"> Single2String(Table1[[#This Row],[g ctrace]])</f>
        <v>42E3CCA4</v>
      </c>
      <c r="Q86" t="str">
        <f xml:space="preserve"> Single2String(Table1[[#This Row],[t ctrace]])</f>
        <v>428ECCA4</v>
      </c>
      <c r="R86" t="str">
        <f>Single2String(Table1[[#This Row],[grn and red ctrace]])</f>
        <v>43CE8CA4</v>
      </c>
      <c r="S86">
        <v>84</v>
      </c>
      <c r="T86" t="str">
        <f>DEC2HEX(Table1[[#This Row],[ZMW num]])</f>
        <v>54</v>
      </c>
      <c r="U86">
        <f>Table1[[#This Row],[ZMW num]]+1</f>
        <v>85</v>
      </c>
      <c r="V86">
        <v>6</v>
      </c>
      <c r="W86">
        <f t="shared" si="1"/>
        <v>66</v>
      </c>
      <c r="X86">
        <v>169</v>
      </c>
      <c r="Y86">
        <v>86</v>
      </c>
      <c r="Z86">
        <f>MOD(Table1[[#This Row],[ZMW num]], 2^8)</f>
        <v>84</v>
      </c>
      <c r="AA86">
        <f xml:space="preserve"> String2Single(Table1[[#This Row],[t ISIM hex]] &amp; "00")</f>
        <v>85</v>
      </c>
      <c r="AB86">
        <f>'Pulse data'!O89</f>
        <v>0</v>
      </c>
      <c r="AC86">
        <f>Table1[[#This Row],[ZMW num]]*0.01</f>
        <v>0.84</v>
      </c>
      <c r="AD86">
        <f>1+Table1[[#This Row],[t bias]]</f>
        <v>1.8399999999999999</v>
      </c>
      <c r="AE86">
        <f>Table1[[#This Row],[t kinetic trace]]* String2Single(CONCATENATE(Table1[[#This Row],[t gain hex]], "00")) + String2Single(CONCATENATE(Table1[[#This Row],[t bias hex]], "00"))</f>
        <v>0.839996337890625</v>
      </c>
      <c r="AF86">
        <f xml:space="preserve"> Table1[[#This Row],[t ptrace]]*Table1[[#This Row],[ISM]]</f>
        <v>71.399688720703125</v>
      </c>
      <c r="AG86">
        <f>'Pulse data'!N89</f>
        <v>0</v>
      </c>
      <c r="AH86">
        <f>Table1[[#This Row],[t bias]]+0.5</f>
        <v>1.3399999999999999</v>
      </c>
      <c r="AI86">
        <f>Table1[[#This Row],[t gain]]/2</f>
        <v>0.91999999999999993</v>
      </c>
      <c r="AJ86">
        <f>Table1[[#This Row],[g kinetic trace]]* String2Single(CONCATENATE(Table1[[#This Row],[g gain hex]], "00")) + String2Single(CONCATENATE(Table1[[#This Row],[g bias hex]], "00"))</f>
        <v>1.339996337890625</v>
      </c>
      <c r="AK86">
        <f xml:space="preserve"> Table1[[#This Row],[g ptrace]]*Table1[[#This Row],[ISM]]</f>
        <v>113.89968872070312</v>
      </c>
      <c r="AL86">
        <f>'Pulse data'!M89</f>
        <v>0</v>
      </c>
      <c r="AM86">
        <f>Table1[[#This Row],[t bias]]+1</f>
        <v>1.8399999999999999</v>
      </c>
      <c r="AN86">
        <f>Table1[[#This Row],[t gain]]-0.5</f>
        <v>1.3399999999999999</v>
      </c>
      <c r="AO86">
        <f>Table1[[#This Row],[a kinetic trace]]* String2Single(CONCATENATE(Table1[[#This Row],[a gain hex]], "00")) + String2Single(CONCATENATE(Table1[[#This Row],[a bias hex]], "00"))</f>
        <v>1.839996337890625</v>
      </c>
      <c r="AP86">
        <f xml:space="preserve"> Table1[[#This Row],[a ptrace]]*Table1[[#This Row],[ISM]]</f>
        <v>156.39968872070312</v>
      </c>
      <c r="AQ86">
        <f>'Pulse data'!L89</f>
        <v>0</v>
      </c>
      <c r="AR86">
        <f>Table1[[#This Row],[t bias]]</f>
        <v>0.84</v>
      </c>
      <c r="AS86">
        <f>Table1[[#This Row],[t gain]]</f>
        <v>1.8399999999999999</v>
      </c>
      <c r="AT86">
        <f>Table1[[#This Row],[c kinetic trace]]* String2Single(CONCATENATE(Table1[[#This Row],[c gain hex]], "00")) + String2Single(CONCATENATE(Table1[[#This Row],[c bias hex]], "00"))</f>
        <v>0.839996337890625</v>
      </c>
      <c r="AU86">
        <f xml:space="preserve"> Table1[[#This Row],[c ptrace]]*Table1[[#This Row],[ISM]]</f>
        <v>71.399688720703125</v>
      </c>
      <c r="AV86">
        <f xml:space="preserve"> Table1[[#This Row],[t ctrace]] + Table1[[#This Row],[g ctrace]] + Table1[[#This Row],[a ctrace]] + Table1[[#This Row],[c ctrace]]</f>
        <v>413.0987548828125</v>
      </c>
      <c r="AW86" s="2" t="str">
        <f>DEC2HEX(Table1[[#This Row],[row]], 3)</f>
        <v>006</v>
      </c>
      <c r="AX86" s="1" t="str">
        <f>DEC2HEX(Table1[[#This Row],[col]], 3)</f>
        <v>042</v>
      </c>
      <c r="AY86" s="1" t="str">
        <f>DEC2HEX(Table1[[#This Row],[grn fsp idx]], 2)</f>
        <v>A9</v>
      </c>
      <c r="AZ86" s="1" t="str">
        <f>DEC2HEX(Table1[[#This Row],[red fsp idx]], 2)</f>
        <v>56</v>
      </c>
      <c r="BA86" s="1" t="str">
        <f>DEC2HEX(Table1[[#This Row],[ISMI]], 2)</f>
        <v>54</v>
      </c>
      <c r="BB86" s="1">
        <f>LEN(Table1[[#This Row],[DRAM data]])</f>
        <v>64</v>
      </c>
      <c r="BC8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006042A956543F570A3FEB853FAB853F6B853FEB853FAB853F570A3FEB850002</v>
      </c>
      <c r="BV86"/>
    </row>
    <row r="87" spans="1:74" x14ac:dyDescent="0.25">
      <c r="A87" s="1" t="str">
        <f xml:space="preserve"> LEFT(Sng2String(Table1[[#This Row],[c bias]]), 6)</f>
        <v>3F5999</v>
      </c>
      <c r="B87" s="1" t="str">
        <f xml:space="preserve"> LEFT(Sng2String(Table1[[#This Row],[a bias]]), 6)</f>
        <v>3FECCC</v>
      </c>
      <c r="C87" s="1" t="str">
        <f xml:space="preserve"> LEFT(Sng2String(Table1[[#This Row],[g bias]]), 6)</f>
        <v>3FACCC</v>
      </c>
      <c r="D87" s="1" t="str">
        <f xml:space="preserve"> LEFT(Sng2String(Table1[[#This Row],[t bias]]), 6)</f>
        <v>3F5999</v>
      </c>
      <c r="E87" s="1" t="str">
        <f xml:space="preserve"> LEFT(Sng2String(Table1[[#This Row],[c gain]]), 6)</f>
        <v>3FECCC</v>
      </c>
      <c r="F87" s="1" t="str">
        <f xml:space="preserve"> LEFT(Sng2String(Table1[[#This Row],[a gain]]), 6)</f>
        <v>3FACCC</v>
      </c>
      <c r="G87" s="1" t="str">
        <f xml:space="preserve"> LEFT(Sng2String(Table1[[#This Row],[g gain]]), 6)</f>
        <v>3F6CCC</v>
      </c>
      <c r="H87" s="1" t="str">
        <f xml:space="preserve"> LEFT(Sng2String(Table1[[#This Row],[t gain]]), 6)</f>
        <v>3FECCC</v>
      </c>
      <c r="I87" t="str">
        <f xml:space="preserve"> Sng2String(Table1[[#This Row],[c ptrace]])</f>
        <v>3F599900</v>
      </c>
      <c r="J87" t="str">
        <f xml:space="preserve"> Sng2String(Table1[[#This Row],[a ptrace]])</f>
        <v>3FECCC00</v>
      </c>
      <c r="K87" t="str">
        <f xml:space="preserve"> Sng2String(Table1[[#This Row],[g ptrace]])</f>
        <v>3FACCC00</v>
      </c>
      <c r="L87" t="str">
        <f>Sng2String(Table1[[#This Row],[t ptrace]])</f>
        <v>3F599900</v>
      </c>
      <c r="M87" t="str">
        <f xml:space="preserve"> INDEX(SmallFP!$A$1:$A$256, Table1[[#This Row],[ISMI]]+1)</f>
        <v>42AC00</v>
      </c>
      <c r="N87" t="str">
        <f>Single2String(Table1[[#This Row],[c ctrace]])</f>
        <v>429232CC</v>
      </c>
      <c r="O87" t="str">
        <f>Single2String(Table1[[#This Row],[a ctrace]])</f>
        <v>431F1910</v>
      </c>
      <c r="P87" t="str">
        <f xml:space="preserve"> Single2String(Table1[[#This Row],[g ctrace]])</f>
        <v>42E83220</v>
      </c>
      <c r="Q87" t="str">
        <f xml:space="preserve"> Single2String(Table1[[#This Row],[t ctrace]])</f>
        <v>429232CC</v>
      </c>
      <c r="R87" t="str">
        <f>Single2String(Table1[[#This Row],[grn and red ctrace]])</f>
        <v>43D2B276</v>
      </c>
      <c r="S87">
        <v>85</v>
      </c>
      <c r="T87" t="str">
        <f>DEC2HEX(Table1[[#This Row],[ZMW num]])</f>
        <v>55</v>
      </c>
      <c r="U87">
        <f>Table1[[#This Row],[ZMW num]]+1</f>
        <v>86</v>
      </c>
      <c r="V87">
        <v>6</v>
      </c>
      <c r="W87">
        <f t="shared" si="1"/>
        <v>69</v>
      </c>
      <c r="X87">
        <v>171</v>
      </c>
      <c r="Y87">
        <v>84</v>
      </c>
      <c r="Z87">
        <f>MOD(Table1[[#This Row],[ZMW num]], 2^8)</f>
        <v>85</v>
      </c>
      <c r="AA87">
        <f xml:space="preserve"> String2Single(Table1[[#This Row],[t ISIM hex]] &amp; "00")</f>
        <v>86</v>
      </c>
      <c r="AB87">
        <f>'Pulse data'!O90</f>
        <v>0</v>
      </c>
      <c r="AC87">
        <f>Table1[[#This Row],[ZMW num]]*0.01</f>
        <v>0.85</v>
      </c>
      <c r="AD87">
        <f>1+Table1[[#This Row],[t bias]]</f>
        <v>1.85</v>
      </c>
      <c r="AE87">
        <f>Table1[[#This Row],[t kinetic trace]]* String2Single(CONCATENATE(Table1[[#This Row],[t gain hex]], "00")) + String2Single(CONCATENATE(Table1[[#This Row],[t bias hex]], "00"))</f>
        <v>0.8499908447265625</v>
      </c>
      <c r="AF87">
        <f xml:space="preserve"> Table1[[#This Row],[t ptrace]]*Table1[[#This Row],[ISM]]</f>
        <v>73.099212646484375</v>
      </c>
      <c r="AG87">
        <f>'Pulse data'!N90</f>
        <v>0</v>
      </c>
      <c r="AH87">
        <f>Table1[[#This Row],[t bias]]+0.5</f>
        <v>1.35</v>
      </c>
      <c r="AI87">
        <f>Table1[[#This Row],[t gain]]/2</f>
        <v>0.92500000000000004</v>
      </c>
      <c r="AJ87">
        <f>Table1[[#This Row],[g kinetic trace]]* String2Single(CONCATENATE(Table1[[#This Row],[g gain hex]], "00")) + String2Single(CONCATENATE(Table1[[#This Row],[g bias hex]], "00"))</f>
        <v>1.3499755859375</v>
      </c>
      <c r="AK87">
        <f xml:space="preserve"> Table1[[#This Row],[g ptrace]]*Table1[[#This Row],[ISM]]</f>
        <v>116.097900390625</v>
      </c>
      <c r="AL87">
        <f>'Pulse data'!M90</f>
        <v>0</v>
      </c>
      <c r="AM87">
        <f>Table1[[#This Row],[t bias]]+1</f>
        <v>1.85</v>
      </c>
      <c r="AN87">
        <f>Table1[[#This Row],[t gain]]-0.5</f>
        <v>1.35</v>
      </c>
      <c r="AO87">
        <f>Table1[[#This Row],[a kinetic trace]]* String2Single(CONCATENATE(Table1[[#This Row],[a gain hex]], "00")) + String2Single(CONCATENATE(Table1[[#This Row],[a bias hex]], "00"))</f>
        <v>1.8499755859375</v>
      </c>
      <c r="AP87">
        <f xml:space="preserve"> Table1[[#This Row],[a ptrace]]*Table1[[#This Row],[ISM]]</f>
        <v>159.097900390625</v>
      </c>
      <c r="AQ87">
        <f>'Pulse data'!L90</f>
        <v>0</v>
      </c>
      <c r="AR87">
        <f>Table1[[#This Row],[t bias]]</f>
        <v>0.85</v>
      </c>
      <c r="AS87">
        <f>Table1[[#This Row],[t gain]]</f>
        <v>1.85</v>
      </c>
      <c r="AT87">
        <f>Table1[[#This Row],[c kinetic trace]]* String2Single(CONCATENATE(Table1[[#This Row],[c gain hex]], "00")) + String2Single(CONCATENATE(Table1[[#This Row],[c bias hex]], "00"))</f>
        <v>0.8499908447265625</v>
      </c>
      <c r="AU87">
        <f xml:space="preserve"> Table1[[#This Row],[c ptrace]]*Table1[[#This Row],[ISM]]</f>
        <v>73.099212646484375</v>
      </c>
      <c r="AV87">
        <f xml:space="preserve"> Table1[[#This Row],[t ctrace]] + Table1[[#This Row],[g ctrace]] + Table1[[#This Row],[a ctrace]] + Table1[[#This Row],[c ctrace]]</f>
        <v>421.39422607421875</v>
      </c>
      <c r="AW87" s="2" t="str">
        <f>DEC2HEX(Table1[[#This Row],[row]], 3)</f>
        <v>006</v>
      </c>
      <c r="AX87" s="1" t="str">
        <f>DEC2HEX(Table1[[#This Row],[col]], 3)</f>
        <v>045</v>
      </c>
      <c r="AY87" s="1" t="str">
        <f>DEC2HEX(Table1[[#This Row],[grn fsp idx]], 2)</f>
        <v>AB</v>
      </c>
      <c r="AZ87" s="1" t="str">
        <f>DEC2HEX(Table1[[#This Row],[red fsp idx]], 2)</f>
        <v>54</v>
      </c>
      <c r="BA87" s="1" t="str">
        <f>DEC2HEX(Table1[[#This Row],[ISMI]], 2)</f>
        <v>55</v>
      </c>
      <c r="BB87" s="1">
        <f>LEN(Table1[[#This Row],[DRAM data]])</f>
        <v>64</v>
      </c>
      <c r="BC8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006045AB54553F59993FECCC3FACCC3F6CCC3FECCC3FACCC3F59993FECCC0002</v>
      </c>
      <c r="BV87"/>
    </row>
    <row r="88" spans="1:74" x14ac:dyDescent="0.25">
      <c r="A88" s="1" t="str">
        <f xml:space="preserve"> LEFT(Sng2String(Table1[[#This Row],[c bias]]), 6)</f>
        <v>3F5C28</v>
      </c>
      <c r="B88" s="1" t="str">
        <f xml:space="preserve"> LEFT(Sng2String(Table1[[#This Row],[a bias]]), 6)</f>
        <v>3FEE14</v>
      </c>
      <c r="C88" s="1" t="str">
        <f xml:space="preserve"> LEFT(Sng2String(Table1[[#This Row],[g bias]]), 6)</f>
        <v>3FAE14</v>
      </c>
      <c r="D88" s="1" t="str">
        <f xml:space="preserve"> LEFT(Sng2String(Table1[[#This Row],[t bias]]), 6)</f>
        <v>3F5C28</v>
      </c>
      <c r="E88" s="1" t="str">
        <f xml:space="preserve"> LEFT(Sng2String(Table1[[#This Row],[c gain]]), 6)</f>
        <v>3FEE14</v>
      </c>
      <c r="F88" s="1" t="str">
        <f xml:space="preserve"> LEFT(Sng2String(Table1[[#This Row],[a gain]]), 6)</f>
        <v>3FAE14</v>
      </c>
      <c r="G88" s="1" t="str">
        <f xml:space="preserve"> LEFT(Sng2String(Table1[[#This Row],[g gain]]), 6)</f>
        <v>3F6E14</v>
      </c>
      <c r="H88" s="1" t="str">
        <f xml:space="preserve"> LEFT(Sng2String(Table1[[#This Row],[t gain]]), 6)</f>
        <v>3FEE14</v>
      </c>
      <c r="I88" t="str">
        <f xml:space="preserve"> Sng2String(Table1[[#This Row],[c ptrace]])</f>
        <v>3F5C2800</v>
      </c>
      <c r="J88" t="str">
        <f xml:space="preserve"> Sng2String(Table1[[#This Row],[a ptrace]])</f>
        <v>3FEE1400</v>
      </c>
      <c r="K88" t="str">
        <f xml:space="preserve"> Sng2String(Table1[[#This Row],[g ptrace]])</f>
        <v>3FAE1400</v>
      </c>
      <c r="L88" t="str">
        <f>Sng2String(Table1[[#This Row],[t ptrace]])</f>
        <v>3F5C2800</v>
      </c>
      <c r="M88" t="str">
        <f xml:space="preserve"> INDEX(SmallFP!$A$1:$A$256, Table1[[#This Row],[ISMI]]+1)</f>
        <v>42AE00</v>
      </c>
      <c r="N88" t="str">
        <f>Single2String(Table1[[#This Row],[c ctrace]])</f>
        <v>4295A330</v>
      </c>
      <c r="O88" t="str">
        <f>Single2String(Table1[[#This Row],[a ctrace]])</f>
        <v>4321D198</v>
      </c>
      <c r="P88" t="str">
        <f xml:space="preserve"> Single2String(Table1[[#This Row],[g ctrace]])</f>
        <v>42ECA330</v>
      </c>
      <c r="Q88" t="str">
        <f xml:space="preserve"> Single2String(Table1[[#This Row],[t ctrace]])</f>
        <v>4295A330</v>
      </c>
      <c r="R88" t="str">
        <f>Single2String(Table1[[#This Row],[grn and red ctrace]])</f>
        <v>43D6E330</v>
      </c>
      <c r="S88">
        <v>86</v>
      </c>
      <c r="T88" t="str">
        <f>DEC2HEX(Table1[[#This Row],[ZMW num]])</f>
        <v>56</v>
      </c>
      <c r="U88">
        <f>Table1[[#This Row],[ZMW num]]+1</f>
        <v>87</v>
      </c>
      <c r="V88">
        <v>6</v>
      </c>
      <c r="W88">
        <f t="shared" si="1"/>
        <v>72</v>
      </c>
      <c r="X88">
        <v>173</v>
      </c>
      <c r="Y88">
        <v>82</v>
      </c>
      <c r="Z88">
        <f>MOD(Table1[[#This Row],[ZMW num]], 2^8)</f>
        <v>86</v>
      </c>
      <c r="AA88">
        <f xml:space="preserve"> String2Single(Table1[[#This Row],[t ISIM hex]] &amp; "00")</f>
        <v>87</v>
      </c>
      <c r="AB88">
        <f>'Pulse data'!O91</f>
        <v>0</v>
      </c>
      <c r="AC88">
        <f>Table1[[#This Row],[ZMW num]]*0.01</f>
        <v>0.86</v>
      </c>
      <c r="AD88">
        <f>1+Table1[[#This Row],[t bias]]</f>
        <v>1.8599999999999999</v>
      </c>
      <c r="AE88">
        <f>Table1[[#This Row],[t kinetic trace]]* String2Single(CONCATENATE(Table1[[#This Row],[t gain hex]], "00")) + String2Single(CONCATENATE(Table1[[#This Row],[t bias hex]], "00"))</f>
        <v>0.8599853515625</v>
      </c>
      <c r="AF88">
        <f xml:space="preserve"> Table1[[#This Row],[t ptrace]]*Table1[[#This Row],[ISM]]</f>
        <v>74.8187255859375</v>
      </c>
      <c r="AG88">
        <f>'Pulse data'!N91</f>
        <v>0</v>
      </c>
      <c r="AH88">
        <f>Table1[[#This Row],[t bias]]+0.5</f>
        <v>1.3599999999999999</v>
      </c>
      <c r="AI88">
        <f>Table1[[#This Row],[t gain]]/2</f>
        <v>0.92999999999999994</v>
      </c>
      <c r="AJ88">
        <f>Table1[[#This Row],[g kinetic trace]]* String2Single(CONCATENATE(Table1[[#This Row],[g gain hex]], "00")) + String2Single(CONCATENATE(Table1[[#This Row],[g bias hex]], "00"))</f>
        <v>1.3599853515625</v>
      </c>
      <c r="AK88">
        <f xml:space="preserve"> Table1[[#This Row],[g ptrace]]*Table1[[#This Row],[ISM]]</f>
        <v>118.3187255859375</v>
      </c>
      <c r="AL88">
        <f>'Pulse data'!M91</f>
        <v>0</v>
      </c>
      <c r="AM88">
        <f>Table1[[#This Row],[t bias]]+1</f>
        <v>1.8599999999999999</v>
      </c>
      <c r="AN88">
        <f>Table1[[#This Row],[t gain]]-0.5</f>
        <v>1.3599999999999999</v>
      </c>
      <c r="AO88">
        <f>Table1[[#This Row],[a kinetic trace]]* String2Single(CONCATENATE(Table1[[#This Row],[a gain hex]], "00")) + String2Single(CONCATENATE(Table1[[#This Row],[a bias hex]], "00"))</f>
        <v>1.8599853515625</v>
      </c>
      <c r="AP88">
        <f xml:space="preserve"> Table1[[#This Row],[a ptrace]]*Table1[[#This Row],[ISM]]</f>
        <v>161.8187255859375</v>
      </c>
      <c r="AQ88">
        <f>'Pulse data'!L91</f>
        <v>0</v>
      </c>
      <c r="AR88">
        <f>Table1[[#This Row],[t bias]]</f>
        <v>0.86</v>
      </c>
      <c r="AS88">
        <f>Table1[[#This Row],[t gain]]</f>
        <v>1.8599999999999999</v>
      </c>
      <c r="AT88">
        <f>Table1[[#This Row],[c kinetic trace]]* String2Single(CONCATENATE(Table1[[#This Row],[c gain hex]], "00")) + String2Single(CONCATENATE(Table1[[#This Row],[c bias hex]], "00"))</f>
        <v>0.8599853515625</v>
      </c>
      <c r="AU88">
        <f xml:space="preserve"> Table1[[#This Row],[c ptrace]]*Table1[[#This Row],[ISM]]</f>
        <v>74.8187255859375</v>
      </c>
      <c r="AV88">
        <f xml:space="preserve"> Table1[[#This Row],[t ctrace]] + Table1[[#This Row],[g ctrace]] + Table1[[#This Row],[a ctrace]] + Table1[[#This Row],[c ctrace]]</f>
        <v>429.77490234375</v>
      </c>
      <c r="AW88" s="2" t="str">
        <f>DEC2HEX(Table1[[#This Row],[row]], 3)</f>
        <v>006</v>
      </c>
      <c r="AX88" s="1" t="str">
        <f>DEC2HEX(Table1[[#This Row],[col]], 3)</f>
        <v>048</v>
      </c>
      <c r="AY88" s="1" t="str">
        <f>DEC2HEX(Table1[[#This Row],[grn fsp idx]], 2)</f>
        <v>AD</v>
      </c>
      <c r="AZ88" s="1" t="str">
        <f>DEC2HEX(Table1[[#This Row],[red fsp idx]], 2)</f>
        <v>52</v>
      </c>
      <c r="BA88" s="1" t="str">
        <f>DEC2HEX(Table1[[#This Row],[ISMI]], 2)</f>
        <v>56</v>
      </c>
      <c r="BB88" s="1">
        <f>LEN(Table1[[#This Row],[DRAM data]])</f>
        <v>64</v>
      </c>
      <c r="BC8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006048AD52563F5C283FEE143FAE143F6E143FEE143FAE143F5C283FEE140002</v>
      </c>
      <c r="BV88"/>
    </row>
    <row r="89" spans="1:74" x14ac:dyDescent="0.25">
      <c r="A89" s="1" t="str">
        <f xml:space="preserve"> LEFT(Sng2String(Table1[[#This Row],[c bias]]), 6)</f>
        <v>3F5EB8</v>
      </c>
      <c r="B89" s="1" t="str">
        <f xml:space="preserve"> LEFT(Sng2String(Table1[[#This Row],[a bias]]), 6)</f>
        <v>3FEF5C</v>
      </c>
      <c r="C89" s="1" t="str">
        <f xml:space="preserve"> LEFT(Sng2String(Table1[[#This Row],[g bias]]), 6)</f>
        <v>3FAF5C</v>
      </c>
      <c r="D89" s="1" t="str">
        <f xml:space="preserve"> LEFT(Sng2String(Table1[[#This Row],[t bias]]), 6)</f>
        <v>3F5EB8</v>
      </c>
      <c r="E89" s="1" t="str">
        <f xml:space="preserve"> LEFT(Sng2String(Table1[[#This Row],[c gain]]), 6)</f>
        <v>3FEF5C</v>
      </c>
      <c r="F89" s="1" t="str">
        <f xml:space="preserve"> LEFT(Sng2String(Table1[[#This Row],[a gain]]), 6)</f>
        <v>3FAF5C</v>
      </c>
      <c r="G89" s="1" t="str">
        <f xml:space="preserve"> LEFT(Sng2String(Table1[[#This Row],[g gain]]), 6)</f>
        <v>3F6F5C</v>
      </c>
      <c r="H89" s="1" t="str">
        <f xml:space="preserve"> LEFT(Sng2String(Table1[[#This Row],[t gain]]), 6)</f>
        <v>3FEF5C</v>
      </c>
      <c r="I89" t="str">
        <f xml:space="preserve"> Sng2String(Table1[[#This Row],[c ptrace]])</f>
        <v>3F5EB800</v>
      </c>
      <c r="J89" t="str">
        <f xml:space="preserve"> Sng2String(Table1[[#This Row],[a ptrace]])</f>
        <v>3FEF5C00</v>
      </c>
      <c r="K89" t="str">
        <f xml:space="preserve"> Sng2String(Table1[[#This Row],[g ptrace]])</f>
        <v>3FAF5C00</v>
      </c>
      <c r="L89" t="str">
        <f>Sng2String(Table1[[#This Row],[t ptrace]])</f>
        <v>3F5EB800</v>
      </c>
      <c r="M89" t="str">
        <f xml:space="preserve"> INDEX(SmallFP!$A$1:$A$256, Table1[[#This Row],[ISMI]]+1)</f>
        <v>42B000</v>
      </c>
      <c r="N89" t="str">
        <f>Single2String(Table1[[#This Row],[c ctrace]])</f>
        <v>42991E80</v>
      </c>
      <c r="O89" t="str">
        <f>Single2String(Table1[[#This Row],[a ctrace]])</f>
        <v>43248F40</v>
      </c>
      <c r="P89" t="str">
        <f xml:space="preserve"> Single2String(Table1[[#This Row],[g ctrace]])</f>
        <v>42F11E80</v>
      </c>
      <c r="Q89" t="str">
        <f xml:space="preserve"> Single2String(Table1[[#This Row],[t ctrace]])</f>
        <v>42991E80</v>
      </c>
      <c r="R89" t="str">
        <f>Single2String(Table1[[#This Row],[grn and red ctrace]])</f>
        <v>43DB1E80</v>
      </c>
      <c r="S89">
        <v>87</v>
      </c>
      <c r="T89" t="str">
        <f>DEC2HEX(Table1[[#This Row],[ZMW num]])</f>
        <v>57</v>
      </c>
      <c r="U89">
        <f>Table1[[#This Row],[ZMW num]]+1</f>
        <v>88</v>
      </c>
      <c r="V89">
        <v>6</v>
      </c>
      <c r="W89">
        <f t="shared" si="1"/>
        <v>75</v>
      </c>
      <c r="X89">
        <v>175</v>
      </c>
      <c r="Y89">
        <v>80</v>
      </c>
      <c r="Z89">
        <f>MOD(Table1[[#This Row],[ZMW num]], 2^8)</f>
        <v>87</v>
      </c>
      <c r="AA89">
        <f xml:space="preserve"> String2Single(Table1[[#This Row],[t ISIM hex]] &amp; "00")</f>
        <v>88</v>
      </c>
      <c r="AB89">
        <f>'Pulse data'!O92</f>
        <v>0</v>
      </c>
      <c r="AC89">
        <f>Table1[[#This Row],[ZMW num]]*0.01</f>
        <v>0.87</v>
      </c>
      <c r="AD89">
        <f>1+Table1[[#This Row],[t bias]]</f>
        <v>1.87</v>
      </c>
      <c r="AE89">
        <f>Table1[[#This Row],[t kinetic trace]]* String2Single(CONCATENATE(Table1[[#This Row],[t gain hex]], "00")) + String2Single(CONCATENATE(Table1[[#This Row],[t bias hex]], "00"))</f>
        <v>0.8699951171875</v>
      </c>
      <c r="AF89">
        <f xml:space="preserve"> Table1[[#This Row],[t ptrace]]*Table1[[#This Row],[ISM]]</f>
        <v>76.5595703125</v>
      </c>
      <c r="AG89">
        <f>'Pulse data'!N92</f>
        <v>0</v>
      </c>
      <c r="AH89">
        <f>Table1[[#This Row],[t bias]]+0.5</f>
        <v>1.37</v>
      </c>
      <c r="AI89">
        <f>Table1[[#This Row],[t gain]]/2</f>
        <v>0.93500000000000005</v>
      </c>
      <c r="AJ89">
        <f>Table1[[#This Row],[g kinetic trace]]* String2Single(CONCATENATE(Table1[[#This Row],[g gain hex]], "00")) + String2Single(CONCATENATE(Table1[[#This Row],[g bias hex]], "00"))</f>
        <v>1.3699951171875</v>
      </c>
      <c r="AK89">
        <f xml:space="preserve"> Table1[[#This Row],[g ptrace]]*Table1[[#This Row],[ISM]]</f>
        <v>120.5595703125</v>
      </c>
      <c r="AL89">
        <f>'Pulse data'!M92</f>
        <v>0</v>
      </c>
      <c r="AM89">
        <f>Table1[[#This Row],[t bias]]+1</f>
        <v>1.87</v>
      </c>
      <c r="AN89">
        <f>Table1[[#This Row],[t gain]]-0.5</f>
        <v>1.37</v>
      </c>
      <c r="AO89">
        <f>Table1[[#This Row],[a kinetic trace]]* String2Single(CONCATENATE(Table1[[#This Row],[a gain hex]], "00")) + String2Single(CONCATENATE(Table1[[#This Row],[a bias hex]], "00"))</f>
        <v>1.8699951171875</v>
      </c>
      <c r="AP89">
        <f xml:space="preserve"> Table1[[#This Row],[a ptrace]]*Table1[[#This Row],[ISM]]</f>
        <v>164.5595703125</v>
      </c>
      <c r="AQ89">
        <f>'Pulse data'!L92</f>
        <v>0</v>
      </c>
      <c r="AR89">
        <f>Table1[[#This Row],[t bias]]</f>
        <v>0.87</v>
      </c>
      <c r="AS89">
        <f>Table1[[#This Row],[t gain]]</f>
        <v>1.87</v>
      </c>
      <c r="AT89">
        <f>Table1[[#This Row],[c kinetic trace]]* String2Single(CONCATENATE(Table1[[#This Row],[c gain hex]], "00")) + String2Single(CONCATENATE(Table1[[#This Row],[c bias hex]], "00"))</f>
        <v>0.8699951171875</v>
      </c>
      <c r="AU89">
        <f xml:space="preserve"> Table1[[#This Row],[c ptrace]]*Table1[[#This Row],[ISM]]</f>
        <v>76.5595703125</v>
      </c>
      <c r="AV89">
        <f xml:space="preserve"> Table1[[#This Row],[t ctrace]] + Table1[[#This Row],[g ctrace]] + Table1[[#This Row],[a ctrace]] + Table1[[#This Row],[c ctrace]]</f>
        <v>438.23828125</v>
      </c>
      <c r="AW89" s="2" t="str">
        <f>DEC2HEX(Table1[[#This Row],[row]], 3)</f>
        <v>006</v>
      </c>
      <c r="AX89" s="1" t="str">
        <f>DEC2HEX(Table1[[#This Row],[col]], 3)</f>
        <v>04B</v>
      </c>
      <c r="AY89" s="1" t="str">
        <f>DEC2HEX(Table1[[#This Row],[grn fsp idx]], 2)</f>
        <v>AF</v>
      </c>
      <c r="AZ89" s="1" t="str">
        <f>DEC2HEX(Table1[[#This Row],[red fsp idx]], 2)</f>
        <v>50</v>
      </c>
      <c r="BA89" s="1" t="str">
        <f>DEC2HEX(Table1[[#This Row],[ISMI]], 2)</f>
        <v>57</v>
      </c>
      <c r="BB89" s="1">
        <f>LEN(Table1[[#This Row],[DRAM data]])</f>
        <v>64</v>
      </c>
      <c r="BC8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00604BAF50573F5EB83FEF5C3FAF5C3F6F5C3FEF5C3FAF5C3F5EB83FEF5C0002</v>
      </c>
      <c r="BV89"/>
    </row>
    <row r="90" spans="1:74" x14ac:dyDescent="0.25">
      <c r="A90" s="1" t="str">
        <f xml:space="preserve"> LEFT(Sng2String(Table1[[#This Row],[c bias]]), 6)</f>
        <v>3F6147</v>
      </c>
      <c r="B90" s="1" t="str">
        <f xml:space="preserve"> LEFT(Sng2String(Table1[[#This Row],[a bias]]), 6)</f>
        <v>3FF0A3</v>
      </c>
      <c r="C90" s="1" t="str">
        <f xml:space="preserve"> LEFT(Sng2String(Table1[[#This Row],[g bias]]), 6)</f>
        <v>3FB0A3</v>
      </c>
      <c r="D90" s="1" t="str">
        <f xml:space="preserve"> LEFT(Sng2String(Table1[[#This Row],[t bias]]), 6)</f>
        <v>3F6147</v>
      </c>
      <c r="E90" s="1" t="str">
        <f xml:space="preserve"> LEFT(Sng2String(Table1[[#This Row],[c gain]]), 6)</f>
        <v>3FF0A3</v>
      </c>
      <c r="F90" s="1" t="str">
        <f xml:space="preserve"> LEFT(Sng2String(Table1[[#This Row],[a gain]]), 6)</f>
        <v>3FB0A3</v>
      </c>
      <c r="G90" s="1" t="str">
        <f xml:space="preserve"> LEFT(Sng2String(Table1[[#This Row],[g gain]]), 6)</f>
        <v>3F70A3</v>
      </c>
      <c r="H90" s="1" t="str">
        <f xml:space="preserve"> LEFT(Sng2String(Table1[[#This Row],[t gain]]), 6)</f>
        <v>3FF0A3</v>
      </c>
      <c r="I90" t="str">
        <f xml:space="preserve"> Sng2String(Table1[[#This Row],[c ptrace]])</f>
        <v>3F614700</v>
      </c>
      <c r="J90" t="str">
        <f xml:space="preserve"> Sng2String(Table1[[#This Row],[a ptrace]])</f>
        <v>3FF0A300</v>
      </c>
      <c r="K90" t="str">
        <f xml:space="preserve"> Sng2String(Table1[[#This Row],[g ptrace]])</f>
        <v>3FB0A300</v>
      </c>
      <c r="L90" t="str">
        <f>Sng2String(Table1[[#This Row],[t ptrace]])</f>
        <v>3F614700</v>
      </c>
      <c r="M90" t="str">
        <f xml:space="preserve"> INDEX(SmallFP!$A$1:$A$256, Table1[[#This Row],[ISMI]]+1)</f>
        <v>42B200</v>
      </c>
      <c r="N90" t="str">
        <f>Single2String(Table1[[#This Row],[c ctrace]])</f>
        <v>429CA35E</v>
      </c>
      <c r="O90" t="str">
        <f>Single2String(Table1[[#This Row],[a ctrace]])</f>
        <v>43275156</v>
      </c>
      <c r="P90" t="str">
        <f xml:space="preserve"> Single2String(Table1[[#This Row],[g ctrace]])</f>
        <v>42F5A2AC</v>
      </c>
      <c r="Q90" t="str">
        <f xml:space="preserve"> Single2String(Table1[[#This Row],[t ctrace]])</f>
        <v>429CA35E</v>
      </c>
      <c r="R90" t="str">
        <f>Single2String(Table1[[#This Row],[grn and red ctrace]])</f>
        <v>43DF6305</v>
      </c>
      <c r="S90">
        <v>88</v>
      </c>
      <c r="T90" t="str">
        <f>DEC2HEX(Table1[[#This Row],[ZMW num]])</f>
        <v>58</v>
      </c>
      <c r="U90">
        <f>Table1[[#This Row],[ZMW num]]+1</f>
        <v>89</v>
      </c>
      <c r="V90">
        <v>6</v>
      </c>
      <c r="W90">
        <f t="shared" si="1"/>
        <v>80</v>
      </c>
      <c r="X90">
        <v>177</v>
      </c>
      <c r="Y90">
        <v>78</v>
      </c>
      <c r="Z90">
        <f>MOD(Table1[[#This Row],[ZMW num]], 2^8)</f>
        <v>88</v>
      </c>
      <c r="AA90">
        <f xml:space="preserve"> String2Single(Table1[[#This Row],[t ISIM hex]] &amp; "00")</f>
        <v>89</v>
      </c>
      <c r="AB90">
        <f>'Pulse data'!O93</f>
        <v>0</v>
      </c>
      <c r="AC90">
        <f>Table1[[#This Row],[ZMW num]]*0.01</f>
        <v>0.88</v>
      </c>
      <c r="AD90">
        <f>1+Table1[[#This Row],[t bias]]</f>
        <v>1.88</v>
      </c>
      <c r="AE90">
        <f>Table1[[#This Row],[t kinetic trace]]* String2Single(CONCATENATE(Table1[[#This Row],[t gain hex]], "00")) + String2Single(CONCATENATE(Table1[[#This Row],[t bias hex]], "00"))</f>
        <v>0.8799896240234375</v>
      </c>
      <c r="AF90">
        <f xml:space="preserve"> Table1[[#This Row],[t ptrace]]*Table1[[#This Row],[ISM]]</f>
        <v>78.319076538085937</v>
      </c>
      <c r="AG90">
        <f>'Pulse data'!N93</f>
        <v>0</v>
      </c>
      <c r="AH90">
        <f>Table1[[#This Row],[t bias]]+0.5</f>
        <v>1.38</v>
      </c>
      <c r="AI90">
        <f>Table1[[#This Row],[t gain]]/2</f>
        <v>0.94</v>
      </c>
      <c r="AJ90">
        <f>Table1[[#This Row],[g kinetic trace]]* String2Single(CONCATENATE(Table1[[#This Row],[g gain hex]], "00")) + String2Single(CONCATENATE(Table1[[#This Row],[g bias hex]], "00"))</f>
        <v>1.379974365234375</v>
      </c>
      <c r="AK90">
        <f xml:space="preserve"> Table1[[#This Row],[g ptrace]]*Table1[[#This Row],[ISM]]</f>
        <v>122.81771850585937</v>
      </c>
      <c r="AL90">
        <f>'Pulse data'!M93</f>
        <v>0</v>
      </c>
      <c r="AM90">
        <f>Table1[[#This Row],[t bias]]+1</f>
        <v>1.88</v>
      </c>
      <c r="AN90">
        <f>Table1[[#This Row],[t gain]]-0.5</f>
        <v>1.38</v>
      </c>
      <c r="AO90">
        <f>Table1[[#This Row],[a kinetic trace]]* String2Single(CONCATENATE(Table1[[#This Row],[a gain hex]], "00")) + String2Single(CONCATENATE(Table1[[#This Row],[a bias hex]], "00"))</f>
        <v>1.879974365234375</v>
      </c>
      <c r="AP90">
        <f xml:space="preserve"> Table1[[#This Row],[a ptrace]]*Table1[[#This Row],[ISM]]</f>
        <v>167.31771850585938</v>
      </c>
      <c r="AQ90">
        <f>'Pulse data'!L93</f>
        <v>0</v>
      </c>
      <c r="AR90">
        <f>Table1[[#This Row],[t bias]]</f>
        <v>0.88</v>
      </c>
      <c r="AS90">
        <f>Table1[[#This Row],[t gain]]</f>
        <v>1.88</v>
      </c>
      <c r="AT90">
        <f>Table1[[#This Row],[c kinetic trace]]* String2Single(CONCATENATE(Table1[[#This Row],[c gain hex]], "00")) + String2Single(CONCATENATE(Table1[[#This Row],[c bias hex]], "00"))</f>
        <v>0.8799896240234375</v>
      </c>
      <c r="AU90">
        <f xml:space="preserve"> Table1[[#This Row],[c ptrace]]*Table1[[#This Row],[ISM]]</f>
        <v>78.319076538085937</v>
      </c>
      <c r="AV90">
        <f xml:space="preserve"> Table1[[#This Row],[t ctrace]] + Table1[[#This Row],[g ctrace]] + Table1[[#This Row],[a ctrace]] + Table1[[#This Row],[c ctrace]]</f>
        <v>446.77359008789063</v>
      </c>
      <c r="AW90" s="2" t="str">
        <f>DEC2HEX(Table1[[#This Row],[row]], 3)</f>
        <v>006</v>
      </c>
      <c r="AX90" s="1" t="str">
        <f>DEC2HEX(Table1[[#This Row],[col]], 3)</f>
        <v>050</v>
      </c>
      <c r="AY90" s="1" t="str">
        <f>DEC2HEX(Table1[[#This Row],[grn fsp idx]], 2)</f>
        <v>B1</v>
      </c>
      <c r="AZ90" s="1" t="str">
        <f>DEC2HEX(Table1[[#This Row],[red fsp idx]], 2)</f>
        <v>4E</v>
      </c>
      <c r="BA90" s="1" t="str">
        <f>DEC2HEX(Table1[[#This Row],[ISMI]], 2)</f>
        <v>58</v>
      </c>
      <c r="BB90" s="1">
        <f>LEN(Table1[[#This Row],[DRAM data]])</f>
        <v>64</v>
      </c>
      <c r="BC9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006050B14E583F61473FF0A33FB0A33F70A33FF0A33FB0A33F61473FF0A30002</v>
      </c>
      <c r="BV90"/>
    </row>
    <row r="91" spans="1:74" x14ac:dyDescent="0.25">
      <c r="A91" s="1" t="str">
        <f xml:space="preserve"> LEFT(Sng2String(Table1[[#This Row],[c bias]]), 6)</f>
        <v>3F63D7</v>
      </c>
      <c r="B91" s="1" t="str">
        <f xml:space="preserve"> LEFT(Sng2String(Table1[[#This Row],[a bias]]), 6)</f>
        <v>3FF1EB</v>
      </c>
      <c r="C91" s="1" t="str">
        <f xml:space="preserve"> LEFT(Sng2String(Table1[[#This Row],[g bias]]), 6)</f>
        <v>3FB1EB</v>
      </c>
      <c r="D91" s="1" t="str">
        <f xml:space="preserve"> LEFT(Sng2String(Table1[[#This Row],[t bias]]), 6)</f>
        <v>3F63D7</v>
      </c>
      <c r="E91" s="1" t="str">
        <f xml:space="preserve"> LEFT(Sng2String(Table1[[#This Row],[c gain]]), 6)</f>
        <v>3FF1EB</v>
      </c>
      <c r="F91" s="1" t="str">
        <f xml:space="preserve"> LEFT(Sng2String(Table1[[#This Row],[a gain]]), 6)</f>
        <v>3FB1EB</v>
      </c>
      <c r="G91" s="1" t="str">
        <f xml:space="preserve"> LEFT(Sng2String(Table1[[#This Row],[g gain]]), 6)</f>
        <v>3F71EB</v>
      </c>
      <c r="H91" s="1" t="str">
        <f xml:space="preserve"> LEFT(Sng2String(Table1[[#This Row],[t gain]]), 6)</f>
        <v>3FF1EB</v>
      </c>
      <c r="I91" t="str">
        <f xml:space="preserve"> Sng2String(Table1[[#This Row],[c ptrace]])</f>
        <v>3F63D700</v>
      </c>
      <c r="J91" t="str">
        <f xml:space="preserve"> Sng2String(Table1[[#This Row],[a ptrace]])</f>
        <v>3FF1EB00</v>
      </c>
      <c r="K91" t="str">
        <f xml:space="preserve"> Sng2String(Table1[[#This Row],[g ptrace]])</f>
        <v>3FB1EB00</v>
      </c>
      <c r="L91" t="str">
        <f>Sng2String(Table1[[#This Row],[t ptrace]])</f>
        <v>3F63D700</v>
      </c>
      <c r="M91" t="str">
        <f xml:space="preserve"> INDEX(SmallFP!$A$1:$A$256, Table1[[#This Row],[ISMI]]+1)</f>
        <v>42B400</v>
      </c>
      <c r="N91" t="str">
        <f>Single2String(Table1[[#This Row],[c ctrace]])</f>
        <v>42A0332C</v>
      </c>
      <c r="O91" t="str">
        <f>Single2String(Table1[[#This Row],[a ctrace]])</f>
        <v>432A193C</v>
      </c>
      <c r="P91" t="str">
        <f xml:space="preserve"> Single2String(Table1[[#This Row],[g ctrace]])</f>
        <v>42FA3278</v>
      </c>
      <c r="Q91" t="str">
        <f xml:space="preserve"> Single2String(Table1[[#This Row],[t ctrace]])</f>
        <v>42A0332C</v>
      </c>
      <c r="R91" t="str">
        <f>Single2String(Table1[[#This Row],[grn and red ctrace]])</f>
        <v>43E3B2D2</v>
      </c>
      <c r="S91">
        <v>89</v>
      </c>
      <c r="T91" t="str">
        <f>DEC2HEX(Table1[[#This Row],[ZMW num]])</f>
        <v>59</v>
      </c>
      <c r="U91">
        <f>Table1[[#This Row],[ZMW num]]+1</f>
        <v>90</v>
      </c>
      <c r="V91">
        <v>6</v>
      </c>
      <c r="W91">
        <f t="shared" si="1"/>
        <v>87</v>
      </c>
      <c r="X91">
        <v>179</v>
      </c>
      <c r="Y91">
        <v>76</v>
      </c>
      <c r="Z91">
        <f>MOD(Table1[[#This Row],[ZMW num]], 2^8)</f>
        <v>89</v>
      </c>
      <c r="AA91">
        <f xml:space="preserve"> String2Single(Table1[[#This Row],[t ISIM hex]] &amp; "00")</f>
        <v>90</v>
      </c>
      <c r="AB91">
        <f>'Pulse data'!O94</f>
        <v>0</v>
      </c>
      <c r="AC91">
        <f>Table1[[#This Row],[ZMW num]]*0.01</f>
        <v>0.89</v>
      </c>
      <c r="AD91">
        <f>1+Table1[[#This Row],[t bias]]</f>
        <v>1.8900000000000001</v>
      </c>
      <c r="AE91">
        <f>Table1[[#This Row],[t kinetic trace]]* String2Single(CONCATENATE(Table1[[#This Row],[t gain hex]], "00")) + String2Single(CONCATENATE(Table1[[#This Row],[t bias hex]], "00"))</f>
        <v>0.8899993896484375</v>
      </c>
      <c r="AF91">
        <f xml:space="preserve"> Table1[[#This Row],[t ptrace]]*Table1[[#This Row],[ISM]]</f>
        <v>80.099945068359375</v>
      </c>
      <c r="AG91">
        <f>'Pulse data'!N94</f>
        <v>0</v>
      </c>
      <c r="AH91">
        <f>Table1[[#This Row],[t bias]]+0.5</f>
        <v>1.3900000000000001</v>
      </c>
      <c r="AI91">
        <f>Table1[[#This Row],[t gain]]/2</f>
        <v>0.94500000000000006</v>
      </c>
      <c r="AJ91">
        <f>Table1[[#This Row],[g kinetic trace]]* String2Single(CONCATENATE(Table1[[#This Row],[g gain hex]], "00")) + String2Single(CONCATENATE(Table1[[#This Row],[g bias hex]], "00"))</f>
        <v>1.389984130859375</v>
      </c>
      <c r="AK91">
        <f xml:space="preserve"> Table1[[#This Row],[g ptrace]]*Table1[[#This Row],[ISM]]</f>
        <v>125.09857177734375</v>
      </c>
      <c r="AL91">
        <f>'Pulse data'!M94</f>
        <v>0</v>
      </c>
      <c r="AM91">
        <f>Table1[[#This Row],[t bias]]+1</f>
        <v>1.8900000000000001</v>
      </c>
      <c r="AN91">
        <f>Table1[[#This Row],[t gain]]-0.5</f>
        <v>1.3900000000000001</v>
      </c>
      <c r="AO91">
        <f>Table1[[#This Row],[a kinetic trace]]* String2Single(CONCATENATE(Table1[[#This Row],[a gain hex]], "00")) + String2Single(CONCATENATE(Table1[[#This Row],[a bias hex]], "00"))</f>
        <v>1.889984130859375</v>
      </c>
      <c r="AP91">
        <f xml:space="preserve"> Table1[[#This Row],[a ptrace]]*Table1[[#This Row],[ISM]]</f>
        <v>170.09857177734375</v>
      </c>
      <c r="AQ91">
        <f>'Pulse data'!L94</f>
        <v>0</v>
      </c>
      <c r="AR91">
        <f>Table1[[#This Row],[t bias]]</f>
        <v>0.89</v>
      </c>
      <c r="AS91">
        <f>Table1[[#This Row],[t gain]]</f>
        <v>1.8900000000000001</v>
      </c>
      <c r="AT91">
        <f>Table1[[#This Row],[c kinetic trace]]* String2Single(CONCATENATE(Table1[[#This Row],[c gain hex]], "00")) + String2Single(CONCATENATE(Table1[[#This Row],[c bias hex]], "00"))</f>
        <v>0.8899993896484375</v>
      </c>
      <c r="AU91">
        <f xml:space="preserve"> Table1[[#This Row],[c ptrace]]*Table1[[#This Row],[ISM]]</f>
        <v>80.099945068359375</v>
      </c>
      <c r="AV91">
        <f xml:space="preserve"> Table1[[#This Row],[t ctrace]] + Table1[[#This Row],[g ctrace]] + Table1[[#This Row],[a ctrace]] + Table1[[#This Row],[c ctrace]]</f>
        <v>455.39703369140625</v>
      </c>
      <c r="AW91" s="2" t="str">
        <f>DEC2HEX(Table1[[#This Row],[row]], 3)</f>
        <v>006</v>
      </c>
      <c r="AX91" s="1" t="str">
        <f>DEC2HEX(Table1[[#This Row],[col]], 3)</f>
        <v>057</v>
      </c>
      <c r="AY91" s="1" t="str">
        <f>DEC2HEX(Table1[[#This Row],[grn fsp idx]], 2)</f>
        <v>B3</v>
      </c>
      <c r="AZ91" s="1" t="str">
        <f>DEC2HEX(Table1[[#This Row],[red fsp idx]], 2)</f>
        <v>4C</v>
      </c>
      <c r="BA91" s="1" t="str">
        <f>DEC2HEX(Table1[[#This Row],[ISMI]], 2)</f>
        <v>59</v>
      </c>
      <c r="BB91" s="1">
        <f>LEN(Table1[[#This Row],[DRAM data]])</f>
        <v>64</v>
      </c>
      <c r="BC9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006057B34C593F63D73FF1EB3FB1EB3F71EB3FF1EB3FB1EB3F63D73FF1EB0002</v>
      </c>
      <c r="BV91"/>
    </row>
    <row r="92" spans="1:74" x14ac:dyDescent="0.25">
      <c r="A92" s="1" t="str">
        <f xml:space="preserve"> LEFT(Sng2String(Table1[[#This Row],[c bias]]), 6)</f>
        <v>3F6666</v>
      </c>
      <c r="B92" s="1" t="str">
        <f xml:space="preserve"> LEFT(Sng2String(Table1[[#This Row],[a bias]]), 6)</f>
        <v>3FF333</v>
      </c>
      <c r="C92" s="1" t="str">
        <f xml:space="preserve"> LEFT(Sng2String(Table1[[#This Row],[g bias]]), 6)</f>
        <v>3FB333</v>
      </c>
      <c r="D92" s="1" t="str">
        <f xml:space="preserve"> LEFT(Sng2String(Table1[[#This Row],[t bias]]), 6)</f>
        <v>3F6666</v>
      </c>
      <c r="E92" s="1" t="str">
        <f xml:space="preserve"> LEFT(Sng2String(Table1[[#This Row],[c gain]]), 6)</f>
        <v>3FF333</v>
      </c>
      <c r="F92" s="1" t="str">
        <f xml:space="preserve"> LEFT(Sng2String(Table1[[#This Row],[a gain]]), 6)</f>
        <v>3FB333</v>
      </c>
      <c r="G92" s="1" t="str">
        <f xml:space="preserve"> LEFT(Sng2String(Table1[[#This Row],[g gain]]), 6)</f>
        <v>3F7333</v>
      </c>
      <c r="H92" s="1" t="str">
        <f xml:space="preserve"> LEFT(Sng2String(Table1[[#This Row],[t gain]]), 6)</f>
        <v>3FF333</v>
      </c>
      <c r="I92" t="str">
        <f xml:space="preserve"> Sng2String(Table1[[#This Row],[c ptrace]])</f>
        <v>3F666600</v>
      </c>
      <c r="J92" t="str">
        <f xml:space="preserve"> Sng2String(Table1[[#This Row],[a ptrace]])</f>
        <v>3FF33300</v>
      </c>
      <c r="K92" t="str">
        <f xml:space="preserve"> Sng2String(Table1[[#This Row],[g ptrace]])</f>
        <v>3FB33300</v>
      </c>
      <c r="L92" t="str">
        <f>Sng2String(Table1[[#This Row],[t ptrace]])</f>
        <v>3F666600</v>
      </c>
      <c r="M92" t="str">
        <f xml:space="preserve"> INDEX(SmallFP!$A$1:$A$256, Table1[[#This Row],[ISMI]]+1)</f>
        <v>42B600</v>
      </c>
      <c r="N92" t="str">
        <f>Single2String(Table1[[#This Row],[c ctrace]])</f>
        <v>42A3CC84</v>
      </c>
      <c r="O92" t="str">
        <f>Single2String(Table1[[#This Row],[a ctrace]])</f>
        <v>432CE642</v>
      </c>
      <c r="P92" t="str">
        <f xml:space="preserve"> Single2String(Table1[[#This Row],[g ctrace]])</f>
        <v>42FECC84</v>
      </c>
      <c r="Q92" t="str">
        <f xml:space="preserve"> Single2String(Table1[[#This Row],[t ctrace]])</f>
        <v>42A3CC84</v>
      </c>
      <c r="R92" t="str">
        <f>Single2String(Table1[[#This Row],[grn and red ctrace]])</f>
        <v>43E80C84</v>
      </c>
      <c r="S92">
        <v>90</v>
      </c>
      <c r="T92" t="str">
        <f>DEC2HEX(Table1[[#This Row],[ZMW num]])</f>
        <v>5A</v>
      </c>
      <c r="U92">
        <f>Table1[[#This Row],[ZMW num]]+1</f>
        <v>91</v>
      </c>
      <c r="V92">
        <v>6</v>
      </c>
      <c r="W92">
        <f t="shared" si="1"/>
        <v>93</v>
      </c>
      <c r="X92">
        <v>181</v>
      </c>
      <c r="Y92">
        <v>74</v>
      </c>
      <c r="Z92">
        <f>MOD(Table1[[#This Row],[ZMW num]], 2^8)</f>
        <v>90</v>
      </c>
      <c r="AA92">
        <f xml:space="preserve"> String2Single(Table1[[#This Row],[t ISIM hex]] &amp; "00")</f>
        <v>91</v>
      </c>
      <c r="AB92">
        <f>'Pulse data'!O95</f>
        <v>0</v>
      </c>
      <c r="AC92">
        <f>Table1[[#This Row],[ZMW num]]*0.01</f>
        <v>0.9</v>
      </c>
      <c r="AD92">
        <f>1+Table1[[#This Row],[t bias]]</f>
        <v>1.9</v>
      </c>
      <c r="AE92">
        <f>Table1[[#This Row],[t kinetic trace]]* String2Single(CONCATENATE(Table1[[#This Row],[t gain hex]], "00")) + String2Single(CONCATENATE(Table1[[#This Row],[t bias hex]], "00"))</f>
        <v>0.899993896484375</v>
      </c>
      <c r="AF92">
        <f xml:space="preserve"> Table1[[#This Row],[t ptrace]]*Table1[[#This Row],[ISM]]</f>
        <v>81.899444580078125</v>
      </c>
      <c r="AG92">
        <f>'Pulse data'!N95</f>
        <v>0</v>
      </c>
      <c r="AH92">
        <f>Table1[[#This Row],[t bias]]+0.5</f>
        <v>1.4</v>
      </c>
      <c r="AI92">
        <f>Table1[[#This Row],[t gain]]/2</f>
        <v>0.95</v>
      </c>
      <c r="AJ92">
        <f>Table1[[#This Row],[g kinetic trace]]* String2Single(CONCATENATE(Table1[[#This Row],[g gain hex]], "00")) + String2Single(CONCATENATE(Table1[[#This Row],[g bias hex]], "00"))</f>
        <v>1.399993896484375</v>
      </c>
      <c r="AK92">
        <f xml:space="preserve"> Table1[[#This Row],[g ptrace]]*Table1[[#This Row],[ISM]]</f>
        <v>127.39944458007813</v>
      </c>
      <c r="AL92">
        <f>'Pulse data'!M95</f>
        <v>0</v>
      </c>
      <c r="AM92">
        <f>Table1[[#This Row],[t bias]]+1</f>
        <v>1.9</v>
      </c>
      <c r="AN92">
        <f>Table1[[#This Row],[t gain]]-0.5</f>
        <v>1.4</v>
      </c>
      <c r="AO92">
        <f>Table1[[#This Row],[a kinetic trace]]* String2Single(CONCATENATE(Table1[[#This Row],[a gain hex]], "00")) + String2Single(CONCATENATE(Table1[[#This Row],[a bias hex]], "00"))</f>
        <v>1.899993896484375</v>
      </c>
      <c r="AP92">
        <f xml:space="preserve"> Table1[[#This Row],[a ptrace]]*Table1[[#This Row],[ISM]]</f>
        <v>172.89944458007812</v>
      </c>
      <c r="AQ92">
        <f>'Pulse data'!L95</f>
        <v>0</v>
      </c>
      <c r="AR92">
        <f>Table1[[#This Row],[t bias]]</f>
        <v>0.9</v>
      </c>
      <c r="AS92">
        <f>Table1[[#This Row],[t gain]]</f>
        <v>1.9</v>
      </c>
      <c r="AT92">
        <f>Table1[[#This Row],[c kinetic trace]]* String2Single(CONCATENATE(Table1[[#This Row],[c gain hex]], "00")) + String2Single(CONCATENATE(Table1[[#This Row],[c bias hex]], "00"))</f>
        <v>0.899993896484375</v>
      </c>
      <c r="AU92">
        <f xml:space="preserve"> Table1[[#This Row],[c ptrace]]*Table1[[#This Row],[ISM]]</f>
        <v>81.899444580078125</v>
      </c>
      <c r="AV92">
        <f xml:space="preserve"> Table1[[#This Row],[t ctrace]] + Table1[[#This Row],[g ctrace]] + Table1[[#This Row],[a ctrace]] + Table1[[#This Row],[c ctrace]]</f>
        <v>464.0977783203125</v>
      </c>
      <c r="AW92" s="2" t="str">
        <f>DEC2HEX(Table1[[#This Row],[row]], 3)</f>
        <v>006</v>
      </c>
      <c r="AX92" s="1" t="str">
        <f>DEC2HEX(Table1[[#This Row],[col]], 3)</f>
        <v>05D</v>
      </c>
      <c r="AY92" s="1" t="str">
        <f>DEC2HEX(Table1[[#This Row],[grn fsp idx]], 2)</f>
        <v>B5</v>
      </c>
      <c r="AZ92" s="1" t="str">
        <f>DEC2HEX(Table1[[#This Row],[red fsp idx]], 2)</f>
        <v>4A</v>
      </c>
      <c r="BA92" s="1" t="str">
        <f>DEC2HEX(Table1[[#This Row],[ISMI]], 2)</f>
        <v>5A</v>
      </c>
      <c r="BB92" s="1">
        <f>LEN(Table1[[#This Row],[DRAM data]])</f>
        <v>64</v>
      </c>
      <c r="BC9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00605DB54A5A3F66663FF3333FB3333F73333FF3333FB3333F66663FF3330002</v>
      </c>
      <c r="BV92"/>
    </row>
    <row r="93" spans="1:74" x14ac:dyDescent="0.25">
      <c r="A93" s="1" t="str">
        <f xml:space="preserve"> LEFT(Sng2String(Table1[[#This Row],[c bias]]), 6)</f>
        <v>3F68F5</v>
      </c>
      <c r="B93" s="1" t="str">
        <f xml:space="preserve"> LEFT(Sng2String(Table1[[#This Row],[a bias]]), 6)</f>
        <v>3FF47A</v>
      </c>
      <c r="C93" s="1" t="str">
        <f xml:space="preserve"> LEFT(Sng2String(Table1[[#This Row],[g bias]]), 6)</f>
        <v>3FB47A</v>
      </c>
      <c r="D93" s="1" t="str">
        <f xml:space="preserve"> LEFT(Sng2String(Table1[[#This Row],[t bias]]), 6)</f>
        <v>3F68F5</v>
      </c>
      <c r="E93" s="1" t="str">
        <f xml:space="preserve"> LEFT(Sng2String(Table1[[#This Row],[c gain]]), 6)</f>
        <v>3FF47A</v>
      </c>
      <c r="F93" s="1" t="str">
        <f xml:space="preserve"> LEFT(Sng2String(Table1[[#This Row],[a gain]]), 6)</f>
        <v>3FB47A</v>
      </c>
      <c r="G93" s="1" t="str">
        <f xml:space="preserve"> LEFT(Sng2String(Table1[[#This Row],[g gain]]), 6)</f>
        <v>3F747A</v>
      </c>
      <c r="H93" s="1" t="str">
        <f xml:space="preserve"> LEFT(Sng2String(Table1[[#This Row],[t gain]]), 6)</f>
        <v>3FF47A</v>
      </c>
      <c r="I93" t="str">
        <f xml:space="preserve"> Sng2String(Table1[[#This Row],[c ptrace]])</f>
        <v>3F68F500</v>
      </c>
      <c r="J93" t="str">
        <f xml:space="preserve"> Sng2String(Table1[[#This Row],[a ptrace]])</f>
        <v>3FF47A00</v>
      </c>
      <c r="K93" t="str">
        <f xml:space="preserve"> Sng2String(Table1[[#This Row],[g ptrace]])</f>
        <v>3FB47A00</v>
      </c>
      <c r="L93" t="str">
        <f>Sng2String(Table1[[#This Row],[t ptrace]])</f>
        <v>3F68F500</v>
      </c>
      <c r="M93" t="str">
        <f xml:space="preserve"> INDEX(SmallFP!$A$1:$A$256, Table1[[#This Row],[ISMI]]+1)</f>
        <v>42B800</v>
      </c>
      <c r="N93" t="str">
        <f>Single2String(Table1[[#This Row],[c ctrace]])</f>
        <v>42A77018</v>
      </c>
      <c r="O93" t="str">
        <f>Single2String(Table1[[#This Row],[a ctrace]])</f>
        <v>432FB7B0</v>
      </c>
      <c r="P93" t="str">
        <f xml:space="preserve"> Single2String(Table1[[#This Row],[g ctrace]])</f>
        <v>4301B7B0</v>
      </c>
      <c r="Q93" t="str">
        <f xml:space="preserve"> Single2String(Table1[[#This Row],[t ctrace]])</f>
        <v>42A77018</v>
      </c>
      <c r="R93" t="str">
        <f>Single2String(Table1[[#This Row],[grn and red ctrace]])</f>
        <v>43EC6FBC</v>
      </c>
      <c r="S93">
        <v>91</v>
      </c>
      <c r="T93" t="str">
        <f>DEC2HEX(Table1[[#This Row],[ZMW num]])</f>
        <v>5B</v>
      </c>
      <c r="U93">
        <f>Table1[[#This Row],[ZMW num]]+1</f>
        <v>92</v>
      </c>
      <c r="V93">
        <v>6</v>
      </c>
      <c r="W93">
        <f t="shared" si="1"/>
        <v>100</v>
      </c>
      <c r="X93">
        <v>183</v>
      </c>
      <c r="Y93">
        <v>72</v>
      </c>
      <c r="Z93">
        <f>MOD(Table1[[#This Row],[ZMW num]], 2^8)</f>
        <v>91</v>
      </c>
      <c r="AA93">
        <f xml:space="preserve"> String2Single(Table1[[#This Row],[t ISIM hex]] &amp; "00")</f>
        <v>92</v>
      </c>
      <c r="AB93">
        <f>'Pulse data'!O96</f>
        <v>0</v>
      </c>
      <c r="AC93">
        <f>Table1[[#This Row],[ZMW num]]*0.01</f>
        <v>0.91</v>
      </c>
      <c r="AD93">
        <f>1+Table1[[#This Row],[t bias]]</f>
        <v>1.9100000000000001</v>
      </c>
      <c r="AE93">
        <f>Table1[[#This Row],[t kinetic trace]]* String2Single(CONCATENATE(Table1[[#This Row],[t gain hex]], "00")) + String2Single(CONCATENATE(Table1[[#This Row],[t bias hex]], "00"))</f>
        <v>0.9099884033203125</v>
      </c>
      <c r="AF93">
        <f xml:space="preserve"> Table1[[#This Row],[t ptrace]]*Table1[[#This Row],[ISM]]</f>
        <v>83.71893310546875</v>
      </c>
      <c r="AG93">
        <f>'Pulse data'!N96</f>
        <v>0</v>
      </c>
      <c r="AH93">
        <f>Table1[[#This Row],[t bias]]+0.5</f>
        <v>1.4100000000000001</v>
      </c>
      <c r="AI93">
        <f>Table1[[#This Row],[t gain]]/2</f>
        <v>0.95500000000000007</v>
      </c>
      <c r="AJ93">
        <f>Table1[[#This Row],[g kinetic trace]]* String2Single(CONCATENATE(Table1[[#This Row],[g gain hex]], "00")) + String2Single(CONCATENATE(Table1[[#This Row],[g bias hex]], "00"))</f>
        <v>1.40997314453125</v>
      </c>
      <c r="AK93">
        <f xml:space="preserve"> Table1[[#This Row],[g ptrace]]*Table1[[#This Row],[ISM]]</f>
        <v>129.717529296875</v>
      </c>
      <c r="AL93">
        <f>'Pulse data'!M96</f>
        <v>0</v>
      </c>
      <c r="AM93">
        <f>Table1[[#This Row],[t bias]]+1</f>
        <v>1.9100000000000001</v>
      </c>
      <c r="AN93">
        <f>Table1[[#This Row],[t gain]]-0.5</f>
        <v>1.4100000000000001</v>
      </c>
      <c r="AO93">
        <f>Table1[[#This Row],[a kinetic trace]]* String2Single(CONCATENATE(Table1[[#This Row],[a gain hex]], "00")) + String2Single(CONCATENATE(Table1[[#This Row],[a bias hex]], "00"))</f>
        <v>1.90997314453125</v>
      </c>
      <c r="AP93">
        <f xml:space="preserve"> Table1[[#This Row],[a ptrace]]*Table1[[#This Row],[ISM]]</f>
        <v>175.717529296875</v>
      </c>
      <c r="AQ93">
        <f>'Pulse data'!L96</f>
        <v>0</v>
      </c>
      <c r="AR93">
        <f>Table1[[#This Row],[t bias]]</f>
        <v>0.91</v>
      </c>
      <c r="AS93">
        <f>Table1[[#This Row],[t gain]]</f>
        <v>1.9100000000000001</v>
      </c>
      <c r="AT93">
        <f>Table1[[#This Row],[c kinetic trace]]* String2Single(CONCATENATE(Table1[[#This Row],[c gain hex]], "00")) + String2Single(CONCATENATE(Table1[[#This Row],[c bias hex]], "00"))</f>
        <v>0.9099884033203125</v>
      </c>
      <c r="AU93">
        <f xml:space="preserve"> Table1[[#This Row],[c ptrace]]*Table1[[#This Row],[ISM]]</f>
        <v>83.71893310546875</v>
      </c>
      <c r="AV93">
        <f xml:space="preserve"> Table1[[#This Row],[t ctrace]] + Table1[[#This Row],[g ctrace]] + Table1[[#This Row],[a ctrace]] + Table1[[#This Row],[c ctrace]]</f>
        <v>472.8729248046875</v>
      </c>
      <c r="AW93" s="2" t="str">
        <f>DEC2HEX(Table1[[#This Row],[row]], 3)</f>
        <v>006</v>
      </c>
      <c r="AX93" s="1" t="str">
        <f>DEC2HEX(Table1[[#This Row],[col]], 3)</f>
        <v>064</v>
      </c>
      <c r="AY93" s="1" t="str">
        <f>DEC2HEX(Table1[[#This Row],[grn fsp idx]], 2)</f>
        <v>B7</v>
      </c>
      <c r="AZ93" s="1" t="str">
        <f>DEC2HEX(Table1[[#This Row],[red fsp idx]], 2)</f>
        <v>48</v>
      </c>
      <c r="BA93" s="1" t="str">
        <f>DEC2HEX(Table1[[#This Row],[ISMI]], 2)</f>
        <v>5B</v>
      </c>
      <c r="BB93" s="1">
        <f>LEN(Table1[[#This Row],[DRAM data]])</f>
        <v>64</v>
      </c>
      <c r="BC9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006064B7485B3F68F53FF47A3FB47A3F747A3FF47A3FB47A3F68F53FF47A0002</v>
      </c>
      <c r="BV93"/>
    </row>
    <row r="94" spans="1:74" x14ac:dyDescent="0.25">
      <c r="A94" s="1" t="str">
        <f xml:space="preserve"> LEFT(Sng2String(Table1[[#This Row],[c bias]]), 6)</f>
        <v>3F6B85</v>
      </c>
      <c r="B94" s="1" t="str">
        <f xml:space="preserve"> LEFT(Sng2String(Table1[[#This Row],[a bias]]), 6)</f>
        <v>3FF5C2</v>
      </c>
      <c r="C94" s="1" t="str">
        <f xml:space="preserve"> LEFT(Sng2String(Table1[[#This Row],[g bias]]), 6)</f>
        <v>3FB5C2</v>
      </c>
      <c r="D94" s="1" t="str">
        <f xml:space="preserve"> LEFT(Sng2String(Table1[[#This Row],[t bias]]), 6)</f>
        <v>3F6B85</v>
      </c>
      <c r="E94" s="1" t="str">
        <f xml:space="preserve"> LEFT(Sng2String(Table1[[#This Row],[c gain]]), 6)</f>
        <v>3FF5C2</v>
      </c>
      <c r="F94" s="1" t="str">
        <f xml:space="preserve"> LEFT(Sng2String(Table1[[#This Row],[a gain]]), 6)</f>
        <v>3FB5C2</v>
      </c>
      <c r="G94" s="1" t="str">
        <f xml:space="preserve"> LEFT(Sng2String(Table1[[#This Row],[g gain]]), 6)</f>
        <v>3F75C2</v>
      </c>
      <c r="H94" s="1" t="str">
        <f xml:space="preserve"> LEFT(Sng2String(Table1[[#This Row],[t gain]]), 6)</f>
        <v>3FF5C2</v>
      </c>
      <c r="I94" t="str">
        <f xml:space="preserve"> Sng2String(Table1[[#This Row],[c ptrace]])</f>
        <v>3F6B8500</v>
      </c>
      <c r="J94" t="str">
        <f xml:space="preserve"> Sng2String(Table1[[#This Row],[a ptrace]])</f>
        <v>3FF5C200</v>
      </c>
      <c r="K94" t="str">
        <f xml:space="preserve"> Sng2String(Table1[[#This Row],[g ptrace]])</f>
        <v>3FB5C200</v>
      </c>
      <c r="L94" t="str">
        <f>Sng2String(Table1[[#This Row],[t ptrace]])</f>
        <v>3F6B8500</v>
      </c>
      <c r="M94" t="str">
        <f xml:space="preserve"> INDEX(SmallFP!$A$1:$A$256, Table1[[#This Row],[ISMI]]+1)</f>
        <v>42BA00</v>
      </c>
      <c r="N94" t="str">
        <f>Single2String(Table1[[#This Row],[c ctrace]])</f>
        <v>42AB1EA2</v>
      </c>
      <c r="O94" t="str">
        <f>Single2String(Table1[[#This Row],[a ctrace]])</f>
        <v>43328EF4</v>
      </c>
      <c r="P94" t="str">
        <f xml:space="preserve"> Single2String(Table1[[#This Row],[g ctrace]])</f>
        <v>43040EF4</v>
      </c>
      <c r="Q94" t="str">
        <f xml:space="preserve"> Single2String(Table1[[#This Row],[t ctrace]])</f>
        <v>42AB1EA2</v>
      </c>
      <c r="R94" t="str">
        <f>Single2String(Table1[[#This Row],[grn and red ctrace]])</f>
        <v>43F0DE45</v>
      </c>
      <c r="S94">
        <v>92</v>
      </c>
      <c r="T94" t="str">
        <f>DEC2HEX(Table1[[#This Row],[ZMW num]])</f>
        <v>5C</v>
      </c>
      <c r="U94">
        <f>Table1[[#This Row],[ZMW num]]+1</f>
        <v>93</v>
      </c>
      <c r="V94">
        <v>6</v>
      </c>
      <c r="W94">
        <f t="shared" si="1"/>
        <v>105</v>
      </c>
      <c r="X94">
        <v>185</v>
      </c>
      <c r="Y94">
        <v>70</v>
      </c>
      <c r="Z94">
        <f>MOD(Table1[[#This Row],[ZMW num]], 2^8)</f>
        <v>92</v>
      </c>
      <c r="AA94">
        <f xml:space="preserve"> String2Single(Table1[[#This Row],[t ISIM hex]] &amp; "00")</f>
        <v>93</v>
      </c>
      <c r="AB94">
        <f>'Pulse data'!O97</f>
        <v>0</v>
      </c>
      <c r="AC94">
        <f>Table1[[#This Row],[ZMW num]]*0.01</f>
        <v>0.92</v>
      </c>
      <c r="AD94">
        <f>1+Table1[[#This Row],[t bias]]</f>
        <v>1.92</v>
      </c>
      <c r="AE94">
        <f>Table1[[#This Row],[t kinetic trace]]* String2Single(CONCATENATE(Table1[[#This Row],[t gain hex]], "00")) + String2Single(CONCATENATE(Table1[[#This Row],[t bias hex]], "00"))</f>
        <v>0.9199981689453125</v>
      </c>
      <c r="AF94">
        <f xml:space="preserve"> Table1[[#This Row],[t ptrace]]*Table1[[#This Row],[ISM]]</f>
        <v>85.559829711914063</v>
      </c>
      <c r="AG94">
        <f>'Pulse data'!N97</f>
        <v>0</v>
      </c>
      <c r="AH94">
        <f>Table1[[#This Row],[t bias]]+0.5</f>
        <v>1.42</v>
      </c>
      <c r="AI94">
        <f>Table1[[#This Row],[t gain]]/2</f>
        <v>0.96</v>
      </c>
      <c r="AJ94">
        <f>Table1[[#This Row],[g kinetic trace]]* String2Single(CONCATENATE(Table1[[#This Row],[g gain hex]], "00")) + String2Single(CONCATENATE(Table1[[#This Row],[g bias hex]], "00"))</f>
        <v>1.41998291015625</v>
      </c>
      <c r="AK94">
        <f xml:space="preserve"> Table1[[#This Row],[g ptrace]]*Table1[[#This Row],[ISM]]</f>
        <v>132.05841064453125</v>
      </c>
      <c r="AL94">
        <f>'Pulse data'!M97</f>
        <v>0</v>
      </c>
      <c r="AM94">
        <f>Table1[[#This Row],[t bias]]+1</f>
        <v>1.92</v>
      </c>
      <c r="AN94">
        <f>Table1[[#This Row],[t gain]]-0.5</f>
        <v>1.42</v>
      </c>
      <c r="AO94">
        <f>Table1[[#This Row],[a kinetic trace]]* String2Single(CONCATENATE(Table1[[#This Row],[a gain hex]], "00")) + String2Single(CONCATENATE(Table1[[#This Row],[a bias hex]], "00"))</f>
        <v>1.91998291015625</v>
      </c>
      <c r="AP94">
        <f xml:space="preserve"> Table1[[#This Row],[a ptrace]]*Table1[[#This Row],[ISM]]</f>
        <v>178.55841064453125</v>
      </c>
      <c r="AQ94">
        <f>'Pulse data'!L97</f>
        <v>0</v>
      </c>
      <c r="AR94">
        <f>Table1[[#This Row],[t bias]]</f>
        <v>0.92</v>
      </c>
      <c r="AS94">
        <f>Table1[[#This Row],[t gain]]</f>
        <v>1.92</v>
      </c>
      <c r="AT94">
        <f>Table1[[#This Row],[c kinetic trace]]* String2Single(CONCATENATE(Table1[[#This Row],[c gain hex]], "00")) + String2Single(CONCATENATE(Table1[[#This Row],[c bias hex]], "00"))</f>
        <v>0.9199981689453125</v>
      </c>
      <c r="AU94">
        <f xml:space="preserve"> Table1[[#This Row],[c ptrace]]*Table1[[#This Row],[ISM]]</f>
        <v>85.559829711914063</v>
      </c>
      <c r="AV94">
        <f xml:space="preserve"> Table1[[#This Row],[t ctrace]] + Table1[[#This Row],[g ctrace]] + Table1[[#This Row],[a ctrace]] + Table1[[#This Row],[c ctrace]]</f>
        <v>481.73648071289062</v>
      </c>
      <c r="AW94" s="2" t="str">
        <f>DEC2HEX(Table1[[#This Row],[row]], 3)</f>
        <v>006</v>
      </c>
      <c r="AX94" s="1" t="str">
        <f>DEC2HEX(Table1[[#This Row],[col]], 3)</f>
        <v>069</v>
      </c>
      <c r="AY94" s="1" t="str">
        <f>DEC2HEX(Table1[[#This Row],[grn fsp idx]], 2)</f>
        <v>B9</v>
      </c>
      <c r="AZ94" s="1" t="str">
        <f>DEC2HEX(Table1[[#This Row],[red fsp idx]], 2)</f>
        <v>46</v>
      </c>
      <c r="BA94" s="1" t="str">
        <f>DEC2HEX(Table1[[#This Row],[ISMI]], 2)</f>
        <v>5C</v>
      </c>
      <c r="BB94" s="1">
        <f>LEN(Table1[[#This Row],[DRAM data]])</f>
        <v>64</v>
      </c>
      <c r="BC9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006069B9465C3F6B853FF5C23FB5C23F75C23FF5C23FB5C23F6B853FF5C20002</v>
      </c>
      <c r="BV94"/>
    </row>
    <row r="95" spans="1:74" x14ac:dyDescent="0.25">
      <c r="A95" s="1" t="str">
        <f xml:space="preserve"> LEFT(Sng2String(Table1[[#This Row],[c bias]]), 6)</f>
        <v>3F6E14</v>
      </c>
      <c r="B95" s="1" t="str">
        <f xml:space="preserve"> LEFT(Sng2String(Table1[[#This Row],[a bias]]), 6)</f>
        <v>3FF70A</v>
      </c>
      <c r="C95" s="1" t="str">
        <f xml:space="preserve"> LEFT(Sng2String(Table1[[#This Row],[g bias]]), 6)</f>
        <v>3FB70A</v>
      </c>
      <c r="D95" s="1" t="str">
        <f xml:space="preserve"> LEFT(Sng2String(Table1[[#This Row],[t bias]]), 6)</f>
        <v>3F6E14</v>
      </c>
      <c r="E95" s="1" t="str">
        <f xml:space="preserve"> LEFT(Sng2String(Table1[[#This Row],[c gain]]), 6)</f>
        <v>3FF70A</v>
      </c>
      <c r="F95" s="1" t="str">
        <f xml:space="preserve"> LEFT(Sng2String(Table1[[#This Row],[a gain]]), 6)</f>
        <v>3FB70A</v>
      </c>
      <c r="G95" s="1" t="str">
        <f xml:space="preserve"> LEFT(Sng2String(Table1[[#This Row],[g gain]]), 6)</f>
        <v>3F770A</v>
      </c>
      <c r="H95" s="1" t="str">
        <f xml:space="preserve"> LEFT(Sng2String(Table1[[#This Row],[t gain]]), 6)</f>
        <v>3FF70A</v>
      </c>
      <c r="I95" t="str">
        <f xml:space="preserve"> Sng2String(Table1[[#This Row],[c ptrace]])</f>
        <v>3F6E1400</v>
      </c>
      <c r="J95" t="str">
        <f xml:space="preserve"> Sng2String(Table1[[#This Row],[a ptrace]])</f>
        <v>3FF70A00</v>
      </c>
      <c r="K95" t="str">
        <f xml:space="preserve"> Sng2String(Table1[[#This Row],[g ptrace]])</f>
        <v>3FB70A00</v>
      </c>
      <c r="L95" t="str">
        <f>Sng2String(Table1[[#This Row],[t ptrace]])</f>
        <v>3F6E1400</v>
      </c>
      <c r="M95" t="str">
        <f xml:space="preserve"> INDEX(SmallFP!$A$1:$A$256, Table1[[#This Row],[ISMI]]+1)</f>
        <v>42BC00</v>
      </c>
      <c r="N95" t="str">
        <f>Single2String(Table1[[#This Row],[c ctrace]])</f>
        <v>42AED6B0</v>
      </c>
      <c r="O95" t="str">
        <f>Single2String(Table1[[#This Row],[a ctrace]])</f>
        <v>43356B58</v>
      </c>
      <c r="P95" t="str">
        <f xml:space="preserve"> Single2String(Table1[[#This Row],[g ctrace]])</f>
        <v>43066B58</v>
      </c>
      <c r="Q95" t="str">
        <f xml:space="preserve"> Single2String(Table1[[#This Row],[t ctrace]])</f>
        <v>42AED6B0</v>
      </c>
      <c r="R95" t="str">
        <f>Single2String(Table1[[#This Row],[grn and red ctrace]])</f>
        <v>43F556B0</v>
      </c>
      <c r="S95">
        <v>93</v>
      </c>
      <c r="T95" t="str">
        <f>DEC2HEX(Table1[[#This Row],[ZMW num]])</f>
        <v>5D</v>
      </c>
      <c r="U95">
        <f>Table1[[#This Row],[ZMW num]]+1</f>
        <v>94</v>
      </c>
      <c r="V95">
        <v>6</v>
      </c>
      <c r="W95">
        <f t="shared" si="1"/>
        <v>110</v>
      </c>
      <c r="X95">
        <v>187</v>
      </c>
      <c r="Y95">
        <v>68</v>
      </c>
      <c r="Z95">
        <f>MOD(Table1[[#This Row],[ZMW num]], 2^8)</f>
        <v>93</v>
      </c>
      <c r="AA95">
        <f xml:space="preserve"> String2Single(Table1[[#This Row],[t ISIM hex]] &amp; "00")</f>
        <v>94</v>
      </c>
      <c r="AB95">
        <f>'Pulse data'!O98</f>
        <v>0</v>
      </c>
      <c r="AC95">
        <f>Table1[[#This Row],[ZMW num]]*0.01</f>
        <v>0.93</v>
      </c>
      <c r="AD95">
        <f>1+Table1[[#This Row],[t bias]]</f>
        <v>1.9300000000000002</v>
      </c>
      <c r="AE95">
        <f>Table1[[#This Row],[t kinetic trace]]* String2Single(CONCATENATE(Table1[[#This Row],[t gain hex]], "00")) + String2Single(CONCATENATE(Table1[[#This Row],[t bias hex]], "00"))</f>
        <v>0.92999267578125</v>
      </c>
      <c r="AF95">
        <f xml:space="preserve"> Table1[[#This Row],[t ptrace]]*Table1[[#This Row],[ISM]]</f>
        <v>87.4193115234375</v>
      </c>
      <c r="AG95">
        <f>'Pulse data'!N98</f>
        <v>0</v>
      </c>
      <c r="AH95">
        <f>Table1[[#This Row],[t bias]]+0.5</f>
        <v>1.4300000000000002</v>
      </c>
      <c r="AI95">
        <f>Table1[[#This Row],[t gain]]/2</f>
        <v>0.96500000000000008</v>
      </c>
      <c r="AJ95">
        <f>Table1[[#This Row],[g kinetic trace]]* String2Single(CONCATENATE(Table1[[#This Row],[g gain hex]], "00")) + String2Single(CONCATENATE(Table1[[#This Row],[g bias hex]], "00"))</f>
        <v>1.42999267578125</v>
      </c>
      <c r="AK95">
        <f xml:space="preserve"> Table1[[#This Row],[g ptrace]]*Table1[[#This Row],[ISM]]</f>
        <v>134.4193115234375</v>
      </c>
      <c r="AL95">
        <f>'Pulse data'!M98</f>
        <v>0</v>
      </c>
      <c r="AM95">
        <f>Table1[[#This Row],[t bias]]+1</f>
        <v>1.9300000000000002</v>
      </c>
      <c r="AN95">
        <f>Table1[[#This Row],[t gain]]-0.5</f>
        <v>1.4300000000000002</v>
      </c>
      <c r="AO95">
        <f>Table1[[#This Row],[a kinetic trace]]* String2Single(CONCATENATE(Table1[[#This Row],[a gain hex]], "00")) + String2Single(CONCATENATE(Table1[[#This Row],[a bias hex]], "00"))</f>
        <v>1.92999267578125</v>
      </c>
      <c r="AP95">
        <f xml:space="preserve"> Table1[[#This Row],[a ptrace]]*Table1[[#This Row],[ISM]]</f>
        <v>181.4193115234375</v>
      </c>
      <c r="AQ95">
        <f>'Pulse data'!L98</f>
        <v>0</v>
      </c>
      <c r="AR95">
        <f>Table1[[#This Row],[t bias]]</f>
        <v>0.93</v>
      </c>
      <c r="AS95">
        <f>Table1[[#This Row],[t gain]]</f>
        <v>1.9300000000000002</v>
      </c>
      <c r="AT95">
        <f>Table1[[#This Row],[c kinetic trace]]* String2Single(CONCATENATE(Table1[[#This Row],[c gain hex]], "00")) + String2Single(CONCATENATE(Table1[[#This Row],[c bias hex]], "00"))</f>
        <v>0.92999267578125</v>
      </c>
      <c r="AU95">
        <f xml:space="preserve"> Table1[[#This Row],[c ptrace]]*Table1[[#This Row],[ISM]]</f>
        <v>87.4193115234375</v>
      </c>
      <c r="AV95">
        <f xml:space="preserve"> Table1[[#This Row],[t ctrace]] + Table1[[#This Row],[g ctrace]] + Table1[[#This Row],[a ctrace]] + Table1[[#This Row],[c ctrace]]</f>
        <v>490.67724609375</v>
      </c>
      <c r="AW95" s="2" t="str">
        <f>DEC2HEX(Table1[[#This Row],[row]], 3)</f>
        <v>006</v>
      </c>
      <c r="AX95" s="1" t="str">
        <f>DEC2HEX(Table1[[#This Row],[col]], 3)</f>
        <v>06E</v>
      </c>
      <c r="AY95" s="1" t="str">
        <f>DEC2HEX(Table1[[#This Row],[grn fsp idx]], 2)</f>
        <v>BB</v>
      </c>
      <c r="AZ95" s="1" t="str">
        <f>DEC2HEX(Table1[[#This Row],[red fsp idx]], 2)</f>
        <v>44</v>
      </c>
      <c r="BA95" s="1" t="str">
        <f>DEC2HEX(Table1[[#This Row],[ISMI]], 2)</f>
        <v>5D</v>
      </c>
      <c r="BB95" s="1">
        <f>LEN(Table1[[#This Row],[DRAM data]])</f>
        <v>64</v>
      </c>
      <c r="BC9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00606EBB445D3F6E143FF70A3FB70A3F770A3FF70A3FB70A3F6E143FF70A0002</v>
      </c>
      <c r="BV95"/>
    </row>
    <row r="96" spans="1:74" x14ac:dyDescent="0.25">
      <c r="A96" s="1" t="str">
        <f xml:space="preserve"> LEFT(Sng2String(Table1[[#This Row],[c bias]]), 6)</f>
        <v>3F70A3</v>
      </c>
      <c r="B96" s="1" t="str">
        <f xml:space="preserve"> LEFT(Sng2String(Table1[[#This Row],[a bias]]), 6)</f>
        <v>3FF851</v>
      </c>
      <c r="C96" s="1" t="str">
        <f xml:space="preserve"> LEFT(Sng2String(Table1[[#This Row],[g bias]]), 6)</f>
        <v>3FB851</v>
      </c>
      <c r="D96" s="1" t="str">
        <f xml:space="preserve"> LEFT(Sng2String(Table1[[#This Row],[t bias]]), 6)</f>
        <v>3F70A3</v>
      </c>
      <c r="E96" s="1" t="str">
        <f xml:space="preserve"> LEFT(Sng2String(Table1[[#This Row],[c gain]]), 6)</f>
        <v>3FF851</v>
      </c>
      <c r="F96" s="1" t="str">
        <f xml:space="preserve"> LEFT(Sng2String(Table1[[#This Row],[a gain]]), 6)</f>
        <v>3FB851</v>
      </c>
      <c r="G96" s="1" t="str">
        <f xml:space="preserve"> LEFT(Sng2String(Table1[[#This Row],[g gain]]), 6)</f>
        <v>3F7851</v>
      </c>
      <c r="H96" s="1" t="str">
        <f xml:space="preserve"> LEFT(Sng2String(Table1[[#This Row],[t gain]]), 6)</f>
        <v>3FF851</v>
      </c>
      <c r="I96" t="str">
        <f xml:space="preserve"> Sng2String(Table1[[#This Row],[c ptrace]])</f>
        <v>3F70A300</v>
      </c>
      <c r="J96" t="str">
        <f xml:space="preserve"> Sng2String(Table1[[#This Row],[a ptrace]])</f>
        <v>3FF85100</v>
      </c>
      <c r="K96" t="str">
        <f xml:space="preserve"> Sng2String(Table1[[#This Row],[g ptrace]])</f>
        <v>3FB85100</v>
      </c>
      <c r="L96" t="str">
        <f>Sng2String(Table1[[#This Row],[t ptrace]])</f>
        <v>3F70A300</v>
      </c>
      <c r="M96" t="str">
        <f xml:space="preserve"> INDEX(SmallFP!$A$1:$A$256, Table1[[#This Row],[ISMI]]+1)</f>
        <v>42BE00</v>
      </c>
      <c r="N96" t="str">
        <f>Single2String(Table1[[#This Row],[c ctrace]])</f>
        <v>42B298FA</v>
      </c>
      <c r="O96" t="str">
        <f>Single2String(Table1[[#This Row],[a ctrace]])</f>
        <v>43384C1E</v>
      </c>
      <c r="P96" t="str">
        <f xml:space="preserve"> Single2String(Table1[[#This Row],[g ctrace]])</f>
        <v>4308CC1E</v>
      </c>
      <c r="Q96" t="str">
        <f xml:space="preserve"> Single2String(Table1[[#This Row],[t ctrace]])</f>
        <v>42B298FA</v>
      </c>
      <c r="R96" t="str">
        <f>Single2String(Table1[[#This Row],[grn and red ctrace]])</f>
        <v>43F9D89B</v>
      </c>
      <c r="S96">
        <v>94</v>
      </c>
      <c r="T96" t="str">
        <f>DEC2HEX(Table1[[#This Row],[ZMW num]])</f>
        <v>5E</v>
      </c>
      <c r="U96">
        <f>Table1[[#This Row],[ZMW num]]+1</f>
        <v>95</v>
      </c>
      <c r="V96">
        <v>6</v>
      </c>
      <c r="W96">
        <f t="shared" si="1"/>
        <v>118</v>
      </c>
      <c r="X96">
        <v>189</v>
      </c>
      <c r="Y96">
        <v>66</v>
      </c>
      <c r="Z96">
        <f>MOD(Table1[[#This Row],[ZMW num]], 2^8)</f>
        <v>94</v>
      </c>
      <c r="AA96">
        <f xml:space="preserve"> String2Single(Table1[[#This Row],[t ISIM hex]] &amp; "00")</f>
        <v>95</v>
      </c>
      <c r="AB96">
        <f>'Pulse data'!O99</f>
        <v>0</v>
      </c>
      <c r="AC96">
        <f>Table1[[#This Row],[ZMW num]]*0.01</f>
        <v>0.94000000000000006</v>
      </c>
      <c r="AD96">
        <f>1+Table1[[#This Row],[t bias]]</f>
        <v>1.94</v>
      </c>
      <c r="AE96">
        <f>Table1[[#This Row],[t kinetic trace]]* String2Single(CONCATENATE(Table1[[#This Row],[t gain hex]], "00")) + String2Single(CONCATENATE(Table1[[#This Row],[t bias hex]], "00"))</f>
        <v>0.9399871826171875</v>
      </c>
      <c r="AF96">
        <f xml:space="preserve"> Table1[[#This Row],[t ptrace]]*Table1[[#This Row],[ISM]]</f>
        <v>89.298782348632813</v>
      </c>
      <c r="AG96">
        <f>'Pulse data'!N99</f>
        <v>0</v>
      </c>
      <c r="AH96">
        <f>Table1[[#This Row],[t bias]]+0.5</f>
        <v>1.44</v>
      </c>
      <c r="AI96">
        <f>Table1[[#This Row],[t gain]]/2</f>
        <v>0.97</v>
      </c>
      <c r="AJ96">
        <f>Table1[[#This Row],[g kinetic trace]]* String2Single(CONCATENATE(Table1[[#This Row],[g gain hex]], "00")) + String2Single(CONCATENATE(Table1[[#This Row],[g bias hex]], "00"))</f>
        <v>1.439971923828125</v>
      </c>
      <c r="AK96">
        <f xml:space="preserve"> Table1[[#This Row],[g ptrace]]*Table1[[#This Row],[ISM]]</f>
        <v>136.79733276367187</v>
      </c>
      <c r="AL96">
        <f>'Pulse data'!M99</f>
        <v>0</v>
      </c>
      <c r="AM96">
        <f>Table1[[#This Row],[t bias]]+1</f>
        <v>1.94</v>
      </c>
      <c r="AN96">
        <f>Table1[[#This Row],[t gain]]-0.5</f>
        <v>1.44</v>
      </c>
      <c r="AO96">
        <f>Table1[[#This Row],[a kinetic trace]]* String2Single(CONCATENATE(Table1[[#This Row],[a gain hex]], "00")) + String2Single(CONCATENATE(Table1[[#This Row],[a bias hex]], "00"))</f>
        <v>1.939971923828125</v>
      </c>
      <c r="AP96">
        <f xml:space="preserve"> Table1[[#This Row],[a ptrace]]*Table1[[#This Row],[ISM]]</f>
        <v>184.29733276367187</v>
      </c>
      <c r="AQ96">
        <f>'Pulse data'!L99</f>
        <v>0</v>
      </c>
      <c r="AR96">
        <f>Table1[[#This Row],[t bias]]</f>
        <v>0.94000000000000006</v>
      </c>
      <c r="AS96">
        <f>Table1[[#This Row],[t gain]]</f>
        <v>1.94</v>
      </c>
      <c r="AT96">
        <f>Table1[[#This Row],[c kinetic trace]]* String2Single(CONCATENATE(Table1[[#This Row],[c gain hex]], "00")) + String2Single(CONCATENATE(Table1[[#This Row],[c bias hex]], "00"))</f>
        <v>0.9399871826171875</v>
      </c>
      <c r="AU96">
        <f xml:space="preserve"> Table1[[#This Row],[c ptrace]]*Table1[[#This Row],[ISM]]</f>
        <v>89.298782348632813</v>
      </c>
      <c r="AV96">
        <f xml:space="preserve"> Table1[[#This Row],[t ctrace]] + Table1[[#This Row],[g ctrace]] + Table1[[#This Row],[a ctrace]] + Table1[[#This Row],[c ctrace]]</f>
        <v>499.69223022460937</v>
      </c>
      <c r="AW96" s="2" t="str">
        <f>DEC2HEX(Table1[[#This Row],[row]], 3)</f>
        <v>006</v>
      </c>
      <c r="AX96" s="1" t="str">
        <f>DEC2HEX(Table1[[#This Row],[col]], 3)</f>
        <v>076</v>
      </c>
      <c r="AY96" s="1" t="str">
        <f>DEC2HEX(Table1[[#This Row],[grn fsp idx]], 2)</f>
        <v>BD</v>
      </c>
      <c r="AZ96" s="1" t="str">
        <f>DEC2HEX(Table1[[#This Row],[red fsp idx]], 2)</f>
        <v>42</v>
      </c>
      <c r="BA96" s="1" t="str">
        <f>DEC2HEX(Table1[[#This Row],[ISMI]], 2)</f>
        <v>5E</v>
      </c>
      <c r="BB96" s="1">
        <f>LEN(Table1[[#This Row],[DRAM data]])</f>
        <v>64</v>
      </c>
      <c r="BC9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006076BD425E3F70A33FF8513FB8513F78513FF8513FB8513F70A33FF8510002</v>
      </c>
      <c r="BV96"/>
    </row>
    <row r="97" spans="1:74" x14ac:dyDescent="0.25">
      <c r="A97" s="1" t="str">
        <f xml:space="preserve"> LEFT(Sng2String(Table1[[#This Row],[c bias]]), 6)</f>
        <v>3F7333</v>
      </c>
      <c r="B97" s="1" t="str">
        <f xml:space="preserve"> LEFT(Sng2String(Table1[[#This Row],[a bias]]), 6)</f>
        <v>3FF999</v>
      </c>
      <c r="C97" s="1" t="str">
        <f xml:space="preserve"> LEFT(Sng2String(Table1[[#This Row],[g bias]]), 6)</f>
        <v>3FB999</v>
      </c>
      <c r="D97" s="1" t="str">
        <f xml:space="preserve"> LEFT(Sng2String(Table1[[#This Row],[t bias]]), 6)</f>
        <v>3F7333</v>
      </c>
      <c r="E97" s="1" t="str">
        <f xml:space="preserve"> LEFT(Sng2String(Table1[[#This Row],[c gain]]), 6)</f>
        <v>3FF999</v>
      </c>
      <c r="F97" s="1" t="str">
        <f xml:space="preserve"> LEFT(Sng2String(Table1[[#This Row],[a gain]]), 6)</f>
        <v>3FB999</v>
      </c>
      <c r="G97" s="1" t="str">
        <f xml:space="preserve"> LEFT(Sng2String(Table1[[#This Row],[g gain]]), 6)</f>
        <v>3F7999</v>
      </c>
      <c r="H97" s="1" t="str">
        <f xml:space="preserve"> LEFT(Sng2String(Table1[[#This Row],[t gain]]), 6)</f>
        <v>3FF999</v>
      </c>
      <c r="I97" t="str">
        <f xml:space="preserve"> Sng2String(Table1[[#This Row],[c ptrace]])</f>
        <v>3F733300</v>
      </c>
      <c r="J97" t="str">
        <f xml:space="preserve"> Sng2String(Table1[[#This Row],[a ptrace]])</f>
        <v>3FF99900</v>
      </c>
      <c r="K97" t="str">
        <f xml:space="preserve"> Sng2String(Table1[[#This Row],[g ptrace]])</f>
        <v>3FB99900</v>
      </c>
      <c r="L97" t="str">
        <f>Sng2String(Table1[[#This Row],[t ptrace]])</f>
        <v>3F733300</v>
      </c>
      <c r="M97" t="str">
        <f xml:space="preserve"> INDEX(SmallFP!$A$1:$A$256, Table1[[#This Row],[ISMI]]+1)</f>
        <v>42C000</v>
      </c>
      <c r="N97" t="str">
        <f>Single2String(Table1[[#This Row],[c ctrace]])</f>
        <v>42B66640</v>
      </c>
      <c r="O97" t="str">
        <f>Single2String(Table1[[#This Row],[a ctrace]])</f>
        <v>433B32C0</v>
      </c>
      <c r="P97" t="str">
        <f xml:space="preserve"> Single2String(Table1[[#This Row],[g ctrace]])</f>
        <v>430B32C0</v>
      </c>
      <c r="Q97" t="str">
        <f xml:space="preserve"> Single2String(Table1[[#This Row],[t ctrace]])</f>
        <v>42B66640</v>
      </c>
      <c r="R97" t="str">
        <f>Single2String(Table1[[#This Row],[grn and red ctrace]])</f>
        <v>43FE65E0</v>
      </c>
      <c r="S97">
        <v>95</v>
      </c>
      <c r="T97" t="str">
        <f>DEC2HEX(Table1[[#This Row],[ZMW num]])</f>
        <v>5F</v>
      </c>
      <c r="U97">
        <f>Table1[[#This Row],[ZMW num]]+1</f>
        <v>96</v>
      </c>
      <c r="V97">
        <v>6</v>
      </c>
      <c r="W97">
        <f t="shared" si="1"/>
        <v>124</v>
      </c>
      <c r="X97">
        <v>191</v>
      </c>
      <c r="Y97">
        <v>64</v>
      </c>
      <c r="Z97">
        <f>MOD(Table1[[#This Row],[ZMW num]], 2^8)</f>
        <v>95</v>
      </c>
      <c r="AA97">
        <f xml:space="preserve"> String2Single(Table1[[#This Row],[t ISIM hex]] &amp; "00")</f>
        <v>96</v>
      </c>
      <c r="AB97">
        <f>'Pulse data'!O100</f>
        <v>0</v>
      </c>
      <c r="AC97">
        <f>Table1[[#This Row],[ZMW num]]*0.01</f>
        <v>0.95000000000000007</v>
      </c>
      <c r="AD97">
        <f>1+Table1[[#This Row],[t bias]]</f>
        <v>1.9500000000000002</v>
      </c>
      <c r="AE97">
        <f>Table1[[#This Row],[t kinetic trace]]* String2Single(CONCATENATE(Table1[[#This Row],[t gain hex]], "00")) + String2Single(CONCATENATE(Table1[[#This Row],[t bias hex]], "00"))</f>
        <v>0.9499969482421875</v>
      </c>
      <c r="AF97">
        <f xml:space="preserve"> Table1[[#This Row],[t ptrace]]*Table1[[#This Row],[ISM]]</f>
        <v>91.19970703125</v>
      </c>
      <c r="AG97">
        <f>'Pulse data'!N100</f>
        <v>0</v>
      </c>
      <c r="AH97">
        <f>Table1[[#This Row],[t bias]]+0.5</f>
        <v>1.4500000000000002</v>
      </c>
      <c r="AI97">
        <f>Table1[[#This Row],[t gain]]/2</f>
        <v>0.97500000000000009</v>
      </c>
      <c r="AJ97">
        <f>Table1[[#This Row],[g kinetic trace]]* String2Single(CONCATENATE(Table1[[#This Row],[g gain hex]], "00")) + String2Single(CONCATENATE(Table1[[#This Row],[g bias hex]], "00"))</f>
        <v>1.449981689453125</v>
      </c>
      <c r="AK97">
        <f xml:space="preserve"> Table1[[#This Row],[g ptrace]]*Table1[[#This Row],[ISM]]</f>
        <v>139.1982421875</v>
      </c>
      <c r="AL97">
        <f>'Pulse data'!M100</f>
        <v>0</v>
      </c>
      <c r="AM97">
        <f>Table1[[#This Row],[t bias]]+1</f>
        <v>1.9500000000000002</v>
      </c>
      <c r="AN97">
        <f>Table1[[#This Row],[t gain]]-0.5</f>
        <v>1.4500000000000002</v>
      </c>
      <c r="AO97">
        <f>Table1[[#This Row],[a kinetic trace]]* String2Single(CONCATENATE(Table1[[#This Row],[a gain hex]], "00")) + String2Single(CONCATENATE(Table1[[#This Row],[a bias hex]], "00"))</f>
        <v>1.949981689453125</v>
      </c>
      <c r="AP97">
        <f xml:space="preserve"> Table1[[#This Row],[a ptrace]]*Table1[[#This Row],[ISM]]</f>
        <v>187.1982421875</v>
      </c>
      <c r="AQ97">
        <f>'Pulse data'!L100</f>
        <v>0</v>
      </c>
      <c r="AR97">
        <f>Table1[[#This Row],[t bias]]</f>
        <v>0.95000000000000007</v>
      </c>
      <c r="AS97">
        <f>Table1[[#This Row],[t gain]]</f>
        <v>1.9500000000000002</v>
      </c>
      <c r="AT97">
        <f>Table1[[#This Row],[c kinetic trace]]* String2Single(CONCATENATE(Table1[[#This Row],[c gain hex]], "00")) + String2Single(CONCATENATE(Table1[[#This Row],[c bias hex]], "00"))</f>
        <v>0.9499969482421875</v>
      </c>
      <c r="AU97">
        <f xml:space="preserve"> Table1[[#This Row],[c ptrace]]*Table1[[#This Row],[ISM]]</f>
        <v>91.19970703125</v>
      </c>
      <c r="AV97">
        <f xml:space="preserve"> Table1[[#This Row],[t ctrace]] + Table1[[#This Row],[g ctrace]] + Table1[[#This Row],[a ctrace]] + Table1[[#This Row],[c ctrace]]</f>
        <v>508.7958984375</v>
      </c>
      <c r="AW97" s="2" t="str">
        <f>DEC2HEX(Table1[[#This Row],[row]], 3)</f>
        <v>006</v>
      </c>
      <c r="AX97" s="1" t="str">
        <f>DEC2HEX(Table1[[#This Row],[col]], 3)</f>
        <v>07C</v>
      </c>
      <c r="AY97" s="1" t="str">
        <f>DEC2HEX(Table1[[#This Row],[grn fsp idx]], 2)</f>
        <v>BF</v>
      </c>
      <c r="AZ97" s="1" t="str">
        <f>DEC2HEX(Table1[[#This Row],[red fsp idx]], 2)</f>
        <v>40</v>
      </c>
      <c r="BA97" s="1" t="str">
        <f>DEC2HEX(Table1[[#This Row],[ISMI]], 2)</f>
        <v>5F</v>
      </c>
      <c r="BB97" s="1">
        <f>LEN(Table1[[#This Row],[DRAM data]])</f>
        <v>64</v>
      </c>
      <c r="BC9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00607CBF405F3F73333FF9993FB9993F79993FF9993FB9993F73333FF9990002</v>
      </c>
      <c r="BV97"/>
    </row>
    <row r="98" spans="1:74" x14ac:dyDescent="0.25">
      <c r="A98" s="1" t="str">
        <f xml:space="preserve"> LEFT(Sng2String(Table1[[#This Row],[c bias]]), 6)</f>
        <v>3F75C2</v>
      </c>
      <c r="B98" s="1" t="str">
        <f xml:space="preserve"> LEFT(Sng2String(Table1[[#This Row],[a bias]]), 6)</f>
        <v>3FFAE1</v>
      </c>
      <c r="C98" s="1" t="str">
        <f xml:space="preserve"> LEFT(Sng2String(Table1[[#This Row],[g bias]]), 6)</f>
        <v>3FBAE1</v>
      </c>
      <c r="D98" s="1" t="str">
        <f xml:space="preserve"> LEFT(Sng2String(Table1[[#This Row],[t bias]]), 6)</f>
        <v>3F75C2</v>
      </c>
      <c r="E98" s="1" t="str">
        <f xml:space="preserve"> LEFT(Sng2String(Table1[[#This Row],[c gain]]), 6)</f>
        <v>3FFAE1</v>
      </c>
      <c r="F98" s="1" t="str">
        <f xml:space="preserve"> LEFT(Sng2String(Table1[[#This Row],[a gain]]), 6)</f>
        <v>3FBAE1</v>
      </c>
      <c r="G98" s="1" t="str">
        <f xml:space="preserve"> LEFT(Sng2String(Table1[[#This Row],[g gain]]), 6)</f>
        <v>3F7AE1</v>
      </c>
      <c r="H98" s="1" t="str">
        <f xml:space="preserve"> LEFT(Sng2String(Table1[[#This Row],[t gain]]), 6)</f>
        <v>3FFAE1</v>
      </c>
      <c r="I98" t="str">
        <f xml:space="preserve"> Sng2String(Table1[[#This Row],[c ptrace]])</f>
        <v>3F75C200</v>
      </c>
      <c r="J98" t="str">
        <f xml:space="preserve"> Sng2String(Table1[[#This Row],[a ptrace]])</f>
        <v>3FFAE100</v>
      </c>
      <c r="K98" t="str">
        <f xml:space="preserve"> Sng2String(Table1[[#This Row],[g ptrace]])</f>
        <v>3FBAE100</v>
      </c>
      <c r="L98" t="str">
        <f>Sng2String(Table1[[#This Row],[t ptrace]])</f>
        <v>3F75C200</v>
      </c>
      <c r="M98" t="str">
        <f xml:space="preserve"> INDEX(SmallFP!$A$1:$A$256, Table1[[#This Row],[ISMI]]+1)</f>
        <v>42C200</v>
      </c>
      <c r="N98" t="str">
        <f>Single2String(Table1[[#This Row],[c ctrace]])</f>
        <v>42BA3D04</v>
      </c>
      <c r="O98" t="str">
        <f>Single2String(Table1[[#This Row],[a ctrace]])</f>
        <v>433E1E82</v>
      </c>
      <c r="P98" t="str">
        <f xml:space="preserve"> Single2String(Table1[[#This Row],[g ctrace]])</f>
        <v>430D9E82</v>
      </c>
      <c r="Q98" t="str">
        <f xml:space="preserve"> Single2String(Table1[[#This Row],[t ctrace]])</f>
        <v>42BA3D04</v>
      </c>
      <c r="R98" t="str">
        <f>Single2String(Table1[[#This Row],[grn and red ctrace]])</f>
        <v>44017E82</v>
      </c>
      <c r="S98">
        <v>96</v>
      </c>
      <c r="T98" t="str">
        <f>DEC2HEX(Table1[[#This Row],[ZMW num]])</f>
        <v>60</v>
      </c>
      <c r="U98">
        <f>Table1[[#This Row],[ZMW num]]+1</f>
        <v>97</v>
      </c>
      <c r="V98">
        <v>9</v>
      </c>
      <c r="W98">
        <f>W66</f>
        <v>3</v>
      </c>
      <c r="X98">
        <v>193</v>
      </c>
      <c r="Y98">
        <v>62</v>
      </c>
      <c r="Z98">
        <f>MOD(Table1[[#This Row],[ZMW num]], 2^8)</f>
        <v>96</v>
      </c>
      <c r="AA98">
        <f xml:space="preserve"> String2Single(Table1[[#This Row],[t ISIM hex]] &amp; "00")</f>
        <v>97</v>
      </c>
      <c r="AB98">
        <f>'Pulse data'!O101</f>
        <v>0</v>
      </c>
      <c r="AC98">
        <f>Table1[[#This Row],[ZMW num]]*0.01</f>
        <v>0.96</v>
      </c>
      <c r="AD98">
        <f>1+Table1[[#This Row],[t bias]]</f>
        <v>1.96</v>
      </c>
      <c r="AE98">
        <f>Table1[[#This Row],[t kinetic trace]]* String2Single(CONCATENATE(Table1[[#This Row],[t gain hex]], "00")) + String2Single(CONCATENATE(Table1[[#This Row],[t bias hex]], "00"))</f>
        <v>0.959991455078125</v>
      </c>
      <c r="AF98">
        <f xml:space="preserve"> Table1[[#This Row],[t ptrace]]*Table1[[#This Row],[ISM]]</f>
        <v>93.119171142578125</v>
      </c>
      <c r="AG98">
        <f>'Pulse data'!N101</f>
        <v>0</v>
      </c>
      <c r="AH98">
        <f>Table1[[#This Row],[t bias]]+0.5</f>
        <v>1.46</v>
      </c>
      <c r="AI98">
        <f>Table1[[#This Row],[t gain]]/2</f>
        <v>0.98</v>
      </c>
      <c r="AJ98">
        <f>Table1[[#This Row],[g kinetic trace]]* String2Single(CONCATENATE(Table1[[#This Row],[g gain hex]], "00")) + String2Single(CONCATENATE(Table1[[#This Row],[g bias hex]], "00"))</f>
        <v>1.459991455078125</v>
      </c>
      <c r="AK98">
        <f xml:space="preserve"> Table1[[#This Row],[g ptrace]]*Table1[[#This Row],[ISM]]</f>
        <v>141.61917114257812</v>
      </c>
      <c r="AL98">
        <f>'Pulse data'!M101</f>
        <v>0</v>
      </c>
      <c r="AM98">
        <f>Table1[[#This Row],[t bias]]+1</f>
        <v>1.96</v>
      </c>
      <c r="AN98">
        <f>Table1[[#This Row],[t gain]]-0.5</f>
        <v>1.46</v>
      </c>
      <c r="AO98">
        <f>Table1[[#This Row],[a kinetic trace]]* String2Single(CONCATENATE(Table1[[#This Row],[a gain hex]], "00")) + String2Single(CONCATENATE(Table1[[#This Row],[a bias hex]], "00"))</f>
        <v>1.959991455078125</v>
      </c>
      <c r="AP98">
        <f xml:space="preserve"> Table1[[#This Row],[a ptrace]]*Table1[[#This Row],[ISM]]</f>
        <v>190.11917114257812</v>
      </c>
      <c r="AQ98">
        <f>'Pulse data'!L101</f>
        <v>0</v>
      </c>
      <c r="AR98">
        <f>Table1[[#This Row],[t bias]]</f>
        <v>0.96</v>
      </c>
      <c r="AS98">
        <f>Table1[[#This Row],[t gain]]</f>
        <v>1.96</v>
      </c>
      <c r="AT98">
        <f>Table1[[#This Row],[c kinetic trace]]* String2Single(CONCATENATE(Table1[[#This Row],[c gain hex]], "00")) + String2Single(CONCATENATE(Table1[[#This Row],[c bias hex]], "00"))</f>
        <v>0.959991455078125</v>
      </c>
      <c r="AU98">
        <f xml:space="preserve"> Table1[[#This Row],[c ptrace]]*Table1[[#This Row],[ISM]]</f>
        <v>93.119171142578125</v>
      </c>
      <c r="AV98">
        <f xml:space="preserve"> Table1[[#This Row],[t ctrace]] + Table1[[#This Row],[g ctrace]] + Table1[[#This Row],[a ctrace]] + Table1[[#This Row],[c ctrace]]</f>
        <v>517.9766845703125</v>
      </c>
      <c r="AW98" s="2" t="str">
        <f>DEC2HEX(Table1[[#This Row],[row]], 3)</f>
        <v>009</v>
      </c>
      <c r="AX98" s="1" t="str">
        <f>DEC2HEX(Table1[[#This Row],[col]], 3)</f>
        <v>003</v>
      </c>
      <c r="AY98" s="1" t="str">
        <f>DEC2HEX(Table1[[#This Row],[grn fsp idx]], 2)</f>
        <v>C1</v>
      </c>
      <c r="AZ98" s="1" t="str">
        <f>DEC2HEX(Table1[[#This Row],[red fsp idx]], 2)</f>
        <v>3E</v>
      </c>
      <c r="BA98" s="1" t="str">
        <f>DEC2HEX(Table1[[#This Row],[ISMI]], 2)</f>
        <v>60</v>
      </c>
      <c r="BB98" s="1">
        <f>LEN(Table1[[#This Row],[DRAM data]])</f>
        <v>64</v>
      </c>
      <c r="BC9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009003C13E603F75C23FFAE13FBAE13F7AE13FFAE13FBAE13F75C23FFAE10002</v>
      </c>
      <c r="BV98"/>
    </row>
    <row r="99" spans="1:74" x14ac:dyDescent="0.25">
      <c r="A99" s="1" t="str">
        <f xml:space="preserve"> LEFT(Sng2String(Table1[[#This Row],[c bias]]), 6)</f>
        <v>3F7851</v>
      </c>
      <c r="B99" s="1" t="str">
        <f xml:space="preserve"> LEFT(Sng2String(Table1[[#This Row],[a bias]]), 6)</f>
        <v>3FFC28</v>
      </c>
      <c r="C99" s="1" t="str">
        <f xml:space="preserve"> LEFT(Sng2String(Table1[[#This Row],[g bias]]), 6)</f>
        <v>3FBC28</v>
      </c>
      <c r="D99" s="1" t="str">
        <f xml:space="preserve"> LEFT(Sng2String(Table1[[#This Row],[t bias]]), 6)</f>
        <v>3F7851</v>
      </c>
      <c r="E99" s="1" t="str">
        <f xml:space="preserve"> LEFT(Sng2String(Table1[[#This Row],[c gain]]), 6)</f>
        <v>3FFC28</v>
      </c>
      <c r="F99" s="1" t="str">
        <f xml:space="preserve"> LEFT(Sng2String(Table1[[#This Row],[a gain]]), 6)</f>
        <v>3FBC28</v>
      </c>
      <c r="G99" s="1" t="str">
        <f xml:space="preserve"> LEFT(Sng2String(Table1[[#This Row],[g gain]]), 6)</f>
        <v>3F7C28</v>
      </c>
      <c r="H99" s="1" t="str">
        <f xml:space="preserve"> LEFT(Sng2String(Table1[[#This Row],[t gain]]), 6)</f>
        <v>3FFC28</v>
      </c>
      <c r="I99" t="str">
        <f xml:space="preserve"> Sng2String(Table1[[#This Row],[c ptrace]])</f>
        <v>3F785100</v>
      </c>
      <c r="J99" t="str">
        <f xml:space="preserve"> Sng2String(Table1[[#This Row],[a ptrace]])</f>
        <v>3FFC2800</v>
      </c>
      <c r="K99" t="str">
        <f xml:space="preserve"> Sng2String(Table1[[#This Row],[g ptrace]])</f>
        <v>3FBC2800</v>
      </c>
      <c r="L99" t="str">
        <f>Sng2String(Table1[[#This Row],[t ptrace]])</f>
        <v>3F785100</v>
      </c>
      <c r="M99" t="str">
        <f xml:space="preserve"> INDEX(SmallFP!$A$1:$A$256, Table1[[#This Row],[ISMI]]+1)</f>
        <v>42C400</v>
      </c>
      <c r="N99" t="str">
        <f>Single2String(Table1[[#This Row],[c ctrace]])</f>
        <v>42BE1E04</v>
      </c>
      <c r="O99" t="str">
        <f>Single2String(Table1[[#This Row],[a ctrace]])</f>
        <v>43410EA0</v>
      </c>
      <c r="P99" t="str">
        <f xml:space="preserve"> Single2String(Table1[[#This Row],[g ctrace]])</f>
        <v>43100EA0</v>
      </c>
      <c r="Q99" t="str">
        <f xml:space="preserve"> Single2String(Table1[[#This Row],[t ctrace]])</f>
        <v>42BE1E04</v>
      </c>
      <c r="R99" t="str">
        <f>Single2String(Table1[[#This Row],[grn and red ctrace]])</f>
        <v>4403CED1</v>
      </c>
      <c r="S99">
        <v>97</v>
      </c>
      <c r="T99" t="str">
        <f>DEC2HEX(Table1[[#This Row],[ZMW num]])</f>
        <v>61</v>
      </c>
      <c r="U99">
        <f>Table1[[#This Row],[ZMW num]]+1</f>
        <v>98</v>
      </c>
      <c r="V99">
        <v>9</v>
      </c>
      <c r="W99">
        <f t="shared" ref="W99:W129" si="2">W67</f>
        <v>5</v>
      </c>
      <c r="X99">
        <v>195</v>
      </c>
      <c r="Y99">
        <v>60</v>
      </c>
      <c r="Z99">
        <f>MOD(Table1[[#This Row],[ZMW num]], 2^8)</f>
        <v>97</v>
      </c>
      <c r="AA99">
        <f xml:space="preserve"> String2Single(Table1[[#This Row],[t ISIM hex]] &amp; "00")</f>
        <v>98</v>
      </c>
      <c r="AB99">
        <f>'Pulse data'!O102</f>
        <v>0</v>
      </c>
      <c r="AC99">
        <f>Table1[[#This Row],[ZMW num]]*0.01</f>
        <v>0.97</v>
      </c>
      <c r="AD99">
        <f>1+Table1[[#This Row],[t bias]]</f>
        <v>1.97</v>
      </c>
      <c r="AE99">
        <f>Table1[[#This Row],[t kinetic trace]]* String2Single(CONCATENATE(Table1[[#This Row],[t gain hex]], "00")) + String2Single(CONCATENATE(Table1[[#This Row],[t bias hex]], "00"))</f>
        <v>0.9699859619140625</v>
      </c>
      <c r="AF99">
        <f xml:space="preserve"> Table1[[#This Row],[t ptrace]]*Table1[[#This Row],[ISM]]</f>
        <v>95.058624267578125</v>
      </c>
      <c r="AG99">
        <f>'Pulse data'!N102</f>
        <v>0</v>
      </c>
      <c r="AH99">
        <f>Table1[[#This Row],[t bias]]+0.5</f>
        <v>1.47</v>
      </c>
      <c r="AI99">
        <f>Table1[[#This Row],[t gain]]/2</f>
        <v>0.98499999999999999</v>
      </c>
      <c r="AJ99">
        <f>Table1[[#This Row],[g kinetic trace]]* String2Single(CONCATENATE(Table1[[#This Row],[g gain hex]], "00")) + String2Single(CONCATENATE(Table1[[#This Row],[g bias hex]], "00"))</f>
        <v>1.469970703125</v>
      </c>
      <c r="AK99">
        <f xml:space="preserve"> Table1[[#This Row],[g ptrace]]*Table1[[#This Row],[ISM]]</f>
        <v>144.05712890625</v>
      </c>
      <c r="AL99">
        <f>'Pulse data'!M102</f>
        <v>0</v>
      </c>
      <c r="AM99">
        <f>Table1[[#This Row],[t bias]]+1</f>
        <v>1.97</v>
      </c>
      <c r="AN99">
        <f>Table1[[#This Row],[t gain]]-0.5</f>
        <v>1.47</v>
      </c>
      <c r="AO99">
        <f>Table1[[#This Row],[a kinetic trace]]* String2Single(CONCATENATE(Table1[[#This Row],[a gain hex]], "00")) + String2Single(CONCATENATE(Table1[[#This Row],[a bias hex]], "00"))</f>
        <v>1.969970703125</v>
      </c>
      <c r="AP99">
        <f xml:space="preserve"> Table1[[#This Row],[a ptrace]]*Table1[[#This Row],[ISM]]</f>
        <v>193.05712890625</v>
      </c>
      <c r="AQ99">
        <f>'Pulse data'!L102</f>
        <v>0</v>
      </c>
      <c r="AR99">
        <f>Table1[[#This Row],[t bias]]</f>
        <v>0.97</v>
      </c>
      <c r="AS99">
        <f>Table1[[#This Row],[t gain]]</f>
        <v>1.97</v>
      </c>
      <c r="AT99">
        <f>Table1[[#This Row],[c kinetic trace]]* String2Single(CONCATENATE(Table1[[#This Row],[c gain hex]], "00")) + String2Single(CONCATENATE(Table1[[#This Row],[c bias hex]], "00"))</f>
        <v>0.9699859619140625</v>
      </c>
      <c r="AU99">
        <f xml:space="preserve"> Table1[[#This Row],[c ptrace]]*Table1[[#This Row],[ISM]]</f>
        <v>95.058624267578125</v>
      </c>
      <c r="AV99">
        <f xml:space="preserve"> Table1[[#This Row],[t ctrace]] + Table1[[#This Row],[g ctrace]] + Table1[[#This Row],[a ctrace]] + Table1[[#This Row],[c ctrace]]</f>
        <v>527.23150634765625</v>
      </c>
      <c r="AW99" s="2" t="str">
        <f>DEC2HEX(Table1[[#This Row],[row]], 3)</f>
        <v>009</v>
      </c>
      <c r="AX99" s="1" t="str">
        <f>DEC2HEX(Table1[[#This Row],[col]], 3)</f>
        <v>005</v>
      </c>
      <c r="AY99" s="1" t="str">
        <f>DEC2HEX(Table1[[#This Row],[grn fsp idx]], 2)</f>
        <v>C3</v>
      </c>
      <c r="AZ99" s="1" t="str">
        <f>DEC2HEX(Table1[[#This Row],[red fsp idx]], 2)</f>
        <v>3C</v>
      </c>
      <c r="BA99" s="1" t="str">
        <f>DEC2HEX(Table1[[#This Row],[ISMI]], 2)</f>
        <v>61</v>
      </c>
      <c r="BB99" s="1">
        <f>LEN(Table1[[#This Row],[DRAM data]])</f>
        <v>64</v>
      </c>
      <c r="BC9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009005C33C613F78513FFC283FBC283F7C283FFC283FBC283F78513FFC280002</v>
      </c>
      <c r="BV99"/>
    </row>
    <row r="100" spans="1:74" x14ac:dyDescent="0.25">
      <c r="A100" s="1" t="str">
        <f xml:space="preserve"> LEFT(Sng2String(Table1[[#This Row],[c bias]]), 6)</f>
        <v>3F7AE1</v>
      </c>
      <c r="B100" s="1" t="str">
        <f xml:space="preserve"> LEFT(Sng2String(Table1[[#This Row],[a bias]]), 6)</f>
        <v>3FFD70</v>
      </c>
      <c r="C100" s="1" t="str">
        <f xml:space="preserve"> LEFT(Sng2String(Table1[[#This Row],[g bias]]), 6)</f>
        <v>3FBD70</v>
      </c>
      <c r="D100" s="1" t="str">
        <f xml:space="preserve"> LEFT(Sng2String(Table1[[#This Row],[t bias]]), 6)</f>
        <v>3F7AE1</v>
      </c>
      <c r="E100" s="1" t="str">
        <f xml:space="preserve"> LEFT(Sng2String(Table1[[#This Row],[c gain]]), 6)</f>
        <v>3FFD70</v>
      </c>
      <c r="F100" s="1" t="str">
        <f xml:space="preserve"> LEFT(Sng2String(Table1[[#This Row],[a gain]]), 6)</f>
        <v>3FBD70</v>
      </c>
      <c r="G100" s="1" t="str">
        <f xml:space="preserve"> LEFT(Sng2String(Table1[[#This Row],[g gain]]), 6)</f>
        <v>3F7D70</v>
      </c>
      <c r="H100" s="1" t="str">
        <f xml:space="preserve"> LEFT(Sng2String(Table1[[#This Row],[t gain]]), 6)</f>
        <v>3FFD70</v>
      </c>
      <c r="I100" t="str">
        <f xml:space="preserve"> Sng2String(Table1[[#This Row],[c ptrace]])</f>
        <v>3F7AE100</v>
      </c>
      <c r="J100" t="str">
        <f xml:space="preserve"> Sng2String(Table1[[#This Row],[a ptrace]])</f>
        <v>3FFD7000</v>
      </c>
      <c r="K100" t="str">
        <f xml:space="preserve"> Sng2String(Table1[[#This Row],[g ptrace]])</f>
        <v>3FBD7000</v>
      </c>
      <c r="L100" t="str">
        <f>Sng2String(Table1[[#This Row],[t ptrace]])</f>
        <v>3F7AE100</v>
      </c>
      <c r="M100" t="str">
        <f xml:space="preserve"> INDEX(SmallFP!$A$1:$A$256, Table1[[#This Row],[ISMI]]+1)</f>
        <v>42C600</v>
      </c>
      <c r="N100" t="str">
        <f>Single2String(Table1[[#This Row],[c ctrace]])</f>
        <v>42C20A06</v>
      </c>
      <c r="O100" t="str">
        <f>Single2String(Table1[[#This Row],[a ctrace]])</f>
        <v>434404A0</v>
      </c>
      <c r="P100" t="str">
        <f xml:space="preserve"> Single2String(Table1[[#This Row],[g ctrace]])</f>
        <v>431284A0</v>
      </c>
      <c r="Q100" t="str">
        <f xml:space="preserve"> Single2String(Table1[[#This Row],[t ctrace]])</f>
        <v>42C20A06</v>
      </c>
      <c r="R100" t="str">
        <f>Single2String(Table1[[#This Row],[grn and red ctrace]])</f>
        <v>440624D2</v>
      </c>
      <c r="S100">
        <v>98</v>
      </c>
      <c r="T100" t="str">
        <f>DEC2HEX(Table1[[#This Row],[ZMW num]])</f>
        <v>62</v>
      </c>
      <c r="U100">
        <f>Table1[[#This Row],[ZMW num]]+1</f>
        <v>99</v>
      </c>
      <c r="V100">
        <v>9</v>
      </c>
      <c r="W100">
        <f t="shared" si="2"/>
        <v>8</v>
      </c>
      <c r="X100">
        <v>197</v>
      </c>
      <c r="Y100">
        <v>58</v>
      </c>
      <c r="Z100">
        <f>MOD(Table1[[#This Row],[ZMW num]], 2^8)</f>
        <v>98</v>
      </c>
      <c r="AA100">
        <f xml:space="preserve"> String2Single(Table1[[#This Row],[t ISIM hex]] &amp; "00")</f>
        <v>99</v>
      </c>
      <c r="AB100">
        <f>'Pulse data'!O103</f>
        <v>0</v>
      </c>
      <c r="AC100">
        <f>Table1[[#This Row],[ZMW num]]*0.01</f>
        <v>0.98</v>
      </c>
      <c r="AD100">
        <f>1+Table1[[#This Row],[t bias]]</f>
        <v>1.98</v>
      </c>
      <c r="AE100">
        <f>Table1[[#This Row],[t kinetic trace]]* String2Single(CONCATENATE(Table1[[#This Row],[t gain hex]], "00")) + String2Single(CONCATENATE(Table1[[#This Row],[t bias hex]], "00"))</f>
        <v>0.9799957275390625</v>
      </c>
      <c r="AF100">
        <f xml:space="preserve"> Table1[[#This Row],[t ptrace]]*Table1[[#This Row],[ISM]]</f>
        <v>97.019577026367188</v>
      </c>
      <c r="AG100">
        <f>'Pulse data'!N103</f>
        <v>0</v>
      </c>
      <c r="AH100">
        <f>Table1[[#This Row],[t bias]]+0.5</f>
        <v>1.48</v>
      </c>
      <c r="AI100">
        <f>Table1[[#This Row],[t gain]]/2</f>
        <v>0.99</v>
      </c>
      <c r="AJ100">
        <f>Table1[[#This Row],[g kinetic trace]]* String2Single(CONCATENATE(Table1[[#This Row],[g gain hex]], "00")) + String2Single(CONCATENATE(Table1[[#This Row],[g bias hex]], "00"))</f>
        <v>1.47998046875</v>
      </c>
      <c r="AK100">
        <f xml:space="preserve"> Table1[[#This Row],[g ptrace]]*Table1[[#This Row],[ISM]]</f>
        <v>146.51806640625</v>
      </c>
      <c r="AL100">
        <f>'Pulse data'!M103</f>
        <v>0</v>
      </c>
      <c r="AM100">
        <f>Table1[[#This Row],[t bias]]+1</f>
        <v>1.98</v>
      </c>
      <c r="AN100">
        <f>Table1[[#This Row],[t gain]]-0.5</f>
        <v>1.48</v>
      </c>
      <c r="AO100">
        <f>Table1[[#This Row],[a kinetic trace]]* String2Single(CONCATENATE(Table1[[#This Row],[a gain hex]], "00")) + String2Single(CONCATENATE(Table1[[#This Row],[a bias hex]], "00"))</f>
        <v>1.97998046875</v>
      </c>
      <c r="AP100">
        <f xml:space="preserve"> Table1[[#This Row],[a ptrace]]*Table1[[#This Row],[ISM]]</f>
        <v>196.01806640625</v>
      </c>
      <c r="AQ100">
        <f>'Pulse data'!L103</f>
        <v>0</v>
      </c>
      <c r="AR100">
        <f>Table1[[#This Row],[t bias]]</f>
        <v>0.98</v>
      </c>
      <c r="AS100">
        <f>Table1[[#This Row],[t gain]]</f>
        <v>1.98</v>
      </c>
      <c r="AT100">
        <f>Table1[[#This Row],[c kinetic trace]]* String2Single(CONCATENATE(Table1[[#This Row],[c gain hex]], "00")) + String2Single(CONCATENATE(Table1[[#This Row],[c bias hex]], "00"))</f>
        <v>0.9799957275390625</v>
      </c>
      <c r="AU100">
        <f xml:space="preserve"> Table1[[#This Row],[c ptrace]]*Table1[[#This Row],[ISM]]</f>
        <v>97.019577026367188</v>
      </c>
      <c r="AV100">
        <f xml:space="preserve"> Table1[[#This Row],[t ctrace]] + Table1[[#This Row],[g ctrace]] + Table1[[#This Row],[a ctrace]] + Table1[[#This Row],[c ctrace]]</f>
        <v>536.57528686523437</v>
      </c>
      <c r="AW100" s="2" t="str">
        <f>DEC2HEX(Table1[[#This Row],[row]], 3)</f>
        <v>009</v>
      </c>
      <c r="AX100" s="1" t="str">
        <f>DEC2HEX(Table1[[#This Row],[col]], 3)</f>
        <v>008</v>
      </c>
      <c r="AY100" s="1" t="str">
        <f>DEC2HEX(Table1[[#This Row],[grn fsp idx]], 2)</f>
        <v>C5</v>
      </c>
      <c r="AZ100" s="1" t="str">
        <f>DEC2HEX(Table1[[#This Row],[red fsp idx]], 2)</f>
        <v>3A</v>
      </c>
      <c r="BA100" s="1" t="str">
        <f>DEC2HEX(Table1[[#This Row],[ISMI]], 2)</f>
        <v>62</v>
      </c>
      <c r="BB100" s="1">
        <f>LEN(Table1[[#This Row],[DRAM data]])</f>
        <v>64</v>
      </c>
      <c r="BC10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009008C53A623F7AE13FFD703FBD703F7D703FFD703FBD703F7AE13FFD700002</v>
      </c>
      <c r="BV100"/>
    </row>
    <row r="101" spans="1:74" x14ac:dyDescent="0.25">
      <c r="A101" s="1" t="str">
        <f xml:space="preserve"> LEFT(Sng2String(Table1[[#This Row],[c bias]]), 6)</f>
        <v>3F7D70</v>
      </c>
      <c r="B101" s="1" t="str">
        <f xml:space="preserve"> LEFT(Sng2String(Table1[[#This Row],[a bias]]), 6)</f>
        <v>3FFEB8</v>
      </c>
      <c r="C101" s="1" t="str">
        <f xml:space="preserve"> LEFT(Sng2String(Table1[[#This Row],[g bias]]), 6)</f>
        <v>3FBEB8</v>
      </c>
      <c r="D101" s="1" t="str">
        <f xml:space="preserve"> LEFT(Sng2String(Table1[[#This Row],[t bias]]), 6)</f>
        <v>3F7D70</v>
      </c>
      <c r="E101" s="1" t="str">
        <f xml:space="preserve"> LEFT(Sng2String(Table1[[#This Row],[c gain]]), 6)</f>
        <v>3FFEB8</v>
      </c>
      <c r="F101" s="1" t="str">
        <f xml:space="preserve"> LEFT(Sng2String(Table1[[#This Row],[a gain]]), 6)</f>
        <v>3FBEB8</v>
      </c>
      <c r="G101" s="1" t="str">
        <f xml:space="preserve"> LEFT(Sng2String(Table1[[#This Row],[g gain]]), 6)</f>
        <v>3F7EB8</v>
      </c>
      <c r="H101" s="1" t="str">
        <f xml:space="preserve"> LEFT(Sng2String(Table1[[#This Row],[t gain]]), 6)</f>
        <v>3FFEB8</v>
      </c>
      <c r="I101" t="str">
        <f xml:space="preserve"> Sng2String(Table1[[#This Row],[c ptrace]])</f>
        <v>3F7D7000</v>
      </c>
      <c r="J101" t="str">
        <f xml:space="preserve"> Sng2String(Table1[[#This Row],[a ptrace]])</f>
        <v>3FFEB800</v>
      </c>
      <c r="K101" t="str">
        <f xml:space="preserve"> Sng2String(Table1[[#This Row],[g ptrace]])</f>
        <v>3FBEB800</v>
      </c>
      <c r="L101" t="str">
        <f>Sng2String(Table1[[#This Row],[t ptrace]])</f>
        <v>3F7D7000</v>
      </c>
      <c r="M101" t="str">
        <f xml:space="preserve"> INDEX(SmallFP!$A$1:$A$256, Table1[[#This Row],[ISMI]]+1)</f>
        <v>42C800</v>
      </c>
      <c r="N101" t="str">
        <f>Single2String(Table1[[#This Row],[c ctrace]])</f>
        <v>42C5FF80</v>
      </c>
      <c r="O101" t="str">
        <f>Single2String(Table1[[#This Row],[a ctrace]])</f>
        <v>4346FFC0</v>
      </c>
      <c r="P101" t="str">
        <f xml:space="preserve"> Single2String(Table1[[#This Row],[g ctrace]])</f>
        <v>4314FFC0</v>
      </c>
      <c r="Q101" t="str">
        <f xml:space="preserve"> Single2String(Table1[[#This Row],[t ctrace]])</f>
        <v>42C5FF80</v>
      </c>
      <c r="R101" t="str">
        <f>Single2String(Table1[[#This Row],[grn and red ctrace]])</f>
        <v>44087FC0</v>
      </c>
      <c r="S101">
        <v>99</v>
      </c>
      <c r="T101" t="str">
        <f>DEC2HEX(Table1[[#This Row],[ZMW num]])</f>
        <v>63</v>
      </c>
      <c r="U101">
        <f>Table1[[#This Row],[ZMW num]]+1</f>
        <v>100</v>
      </c>
      <c r="V101">
        <v>9</v>
      </c>
      <c r="W101">
        <f t="shared" si="2"/>
        <v>10</v>
      </c>
      <c r="X101">
        <v>199</v>
      </c>
      <c r="Y101">
        <v>56</v>
      </c>
      <c r="Z101">
        <f>MOD(Table1[[#This Row],[ZMW num]], 2^8)</f>
        <v>99</v>
      </c>
      <c r="AA101">
        <f xml:space="preserve"> String2Single(Table1[[#This Row],[t ISIM hex]] &amp; "00")</f>
        <v>100</v>
      </c>
      <c r="AB101">
        <f>'Pulse data'!O104</f>
        <v>0</v>
      </c>
      <c r="AC101">
        <f>Table1[[#This Row],[ZMW num]]*0.01</f>
        <v>0.99</v>
      </c>
      <c r="AD101">
        <f>1+Table1[[#This Row],[t bias]]</f>
        <v>1.99</v>
      </c>
      <c r="AE101">
        <f>Table1[[#This Row],[t kinetic trace]]* String2Single(CONCATENATE(Table1[[#This Row],[t gain hex]], "00")) + String2Single(CONCATENATE(Table1[[#This Row],[t bias hex]], "00"))</f>
        <v>0.989990234375</v>
      </c>
      <c r="AF101">
        <f xml:space="preserve"> Table1[[#This Row],[t ptrace]]*Table1[[#This Row],[ISM]]</f>
        <v>98.9990234375</v>
      </c>
      <c r="AG101">
        <f>'Pulse data'!N104</f>
        <v>0</v>
      </c>
      <c r="AH101">
        <f>Table1[[#This Row],[t bias]]+0.5</f>
        <v>1.49</v>
      </c>
      <c r="AI101">
        <f>Table1[[#This Row],[t gain]]/2</f>
        <v>0.995</v>
      </c>
      <c r="AJ101">
        <f>Table1[[#This Row],[g kinetic trace]]* String2Single(CONCATENATE(Table1[[#This Row],[g gain hex]], "00")) + String2Single(CONCATENATE(Table1[[#This Row],[g bias hex]], "00"))</f>
        <v>1.489990234375</v>
      </c>
      <c r="AK101">
        <f xml:space="preserve"> Table1[[#This Row],[g ptrace]]*Table1[[#This Row],[ISM]]</f>
        <v>148.9990234375</v>
      </c>
      <c r="AL101">
        <f>'Pulse data'!M104</f>
        <v>0</v>
      </c>
      <c r="AM101">
        <f>Table1[[#This Row],[t bias]]+1</f>
        <v>1.99</v>
      </c>
      <c r="AN101">
        <f>Table1[[#This Row],[t gain]]-0.5</f>
        <v>1.49</v>
      </c>
      <c r="AO101">
        <f>Table1[[#This Row],[a kinetic trace]]* String2Single(CONCATENATE(Table1[[#This Row],[a gain hex]], "00")) + String2Single(CONCATENATE(Table1[[#This Row],[a bias hex]], "00"))</f>
        <v>1.989990234375</v>
      </c>
      <c r="AP101">
        <f xml:space="preserve"> Table1[[#This Row],[a ptrace]]*Table1[[#This Row],[ISM]]</f>
        <v>198.9990234375</v>
      </c>
      <c r="AQ101">
        <f>'Pulse data'!L104</f>
        <v>0</v>
      </c>
      <c r="AR101">
        <f>Table1[[#This Row],[t bias]]</f>
        <v>0.99</v>
      </c>
      <c r="AS101">
        <f>Table1[[#This Row],[t gain]]</f>
        <v>1.99</v>
      </c>
      <c r="AT101">
        <f>Table1[[#This Row],[c kinetic trace]]* String2Single(CONCATENATE(Table1[[#This Row],[c gain hex]], "00")) + String2Single(CONCATENATE(Table1[[#This Row],[c bias hex]], "00"))</f>
        <v>0.989990234375</v>
      </c>
      <c r="AU101">
        <f xml:space="preserve"> Table1[[#This Row],[c ptrace]]*Table1[[#This Row],[ISM]]</f>
        <v>98.9990234375</v>
      </c>
      <c r="AV101">
        <f xml:space="preserve"> Table1[[#This Row],[t ctrace]] + Table1[[#This Row],[g ctrace]] + Table1[[#This Row],[a ctrace]] + Table1[[#This Row],[c ctrace]]</f>
        <v>545.99609375</v>
      </c>
      <c r="AW101" s="2" t="str">
        <f>DEC2HEX(Table1[[#This Row],[row]], 3)</f>
        <v>009</v>
      </c>
      <c r="AX101" s="1" t="str">
        <f>DEC2HEX(Table1[[#This Row],[col]], 3)</f>
        <v>00A</v>
      </c>
      <c r="AY101" s="1" t="str">
        <f>DEC2HEX(Table1[[#This Row],[grn fsp idx]], 2)</f>
        <v>C7</v>
      </c>
      <c r="AZ101" s="1" t="str">
        <f>DEC2HEX(Table1[[#This Row],[red fsp idx]], 2)</f>
        <v>38</v>
      </c>
      <c r="BA101" s="1" t="str">
        <f>DEC2HEX(Table1[[#This Row],[ISMI]], 2)</f>
        <v>63</v>
      </c>
      <c r="BB101" s="1">
        <f>LEN(Table1[[#This Row],[DRAM data]])</f>
        <v>64</v>
      </c>
      <c r="BC10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00900AC738633F7D703FFEB83FBEB83F7EB83FFEB83FBEB83F7D703FFEB80002</v>
      </c>
      <c r="BV101"/>
    </row>
    <row r="102" spans="1:74" x14ac:dyDescent="0.25">
      <c r="A102" s="1" t="str">
        <f xml:space="preserve"> LEFT(Sng2String(Table1[[#This Row],[c bias]]), 6)</f>
        <v>3F8000</v>
      </c>
      <c r="B102" s="1" t="str">
        <f xml:space="preserve"> LEFT(Sng2String(Table1[[#This Row],[a bias]]), 6)</f>
        <v>400000</v>
      </c>
      <c r="C102" s="1" t="str">
        <f xml:space="preserve"> LEFT(Sng2String(Table1[[#This Row],[g bias]]), 6)</f>
        <v>3FC000</v>
      </c>
      <c r="D102" s="1" t="str">
        <f xml:space="preserve"> LEFT(Sng2String(Table1[[#This Row],[t bias]]), 6)</f>
        <v>3F8000</v>
      </c>
      <c r="E102" s="1" t="str">
        <f xml:space="preserve"> LEFT(Sng2String(Table1[[#This Row],[c gain]]), 6)</f>
        <v>400000</v>
      </c>
      <c r="F102" s="1" t="str">
        <f xml:space="preserve"> LEFT(Sng2String(Table1[[#This Row],[a gain]]), 6)</f>
        <v>3FC000</v>
      </c>
      <c r="G102" s="1" t="str">
        <f xml:space="preserve"> LEFT(Sng2String(Table1[[#This Row],[g gain]]), 6)</f>
        <v>3F8000</v>
      </c>
      <c r="H102" s="1" t="str">
        <f xml:space="preserve"> LEFT(Sng2String(Table1[[#This Row],[t gain]]), 6)</f>
        <v>400000</v>
      </c>
      <c r="I102" t="str">
        <f xml:space="preserve"> Sng2String(Table1[[#This Row],[c ptrace]])</f>
        <v>3F800000</v>
      </c>
      <c r="J102" t="str">
        <f xml:space="preserve"> Sng2String(Table1[[#This Row],[a ptrace]])</f>
        <v>40000000</v>
      </c>
      <c r="K102" t="str">
        <f xml:space="preserve"> Sng2String(Table1[[#This Row],[g ptrace]])</f>
        <v>3FC00000</v>
      </c>
      <c r="L102" t="str">
        <f>Sng2String(Table1[[#This Row],[t ptrace]])</f>
        <v>3F800000</v>
      </c>
      <c r="M102" t="str">
        <f xml:space="preserve"> INDEX(SmallFP!$A$1:$A$256, Table1[[#This Row],[ISMI]]+1)</f>
        <v>42CA00</v>
      </c>
      <c r="N102" t="str">
        <f>Single2String(Table1[[#This Row],[c ctrace]])</f>
        <v>42CA0000</v>
      </c>
      <c r="O102" t="str">
        <f>Single2String(Table1[[#This Row],[a ctrace]])</f>
        <v>434A0000</v>
      </c>
      <c r="P102" t="str">
        <f xml:space="preserve"> Single2String(Table1[[#This Row],[g ctrace]])</f>
        <v>43178000</v>
      </c>
      <c r="Q102" t="str">
        <f xml:space="preserve"> Single2String(Table1[[#This Row],[t ctrace]])</f>
        <v>42CA0000</v>
      </c>
      <c r="R102" t="str">
        <f>Single2String(Table1[[#This Row],[grn and red ctrace]])</f>
        <v>440AE000</v>
      </c>
      <c r="S102">
        <v>100</v>
      </c>
      <c r="T102" t="str">
        <f>DEC2HEX(Table1[[#This Row],[ZMW num]])</f>
        <v>64</v>
      </c>
      <c r="U102">
        <f>Table1[[#This Row],[ZMW num]]+1</f>
        <v>101</v>
      </c>
      <c r="V102">
        <v>9</v>
      </c>
      <c r="W102">
        <f t="shared" si="2"/>
        <v>14</v>
      </c>
      <c r="X102">
        <v>201</v>
      </c>
      <c r="Y102">
        <v>54</v>
      </c>
      <c r="Z102">
        <f>MOD(Table1[[#This Row],[ZMW num]], 2^8)</f>
        <v>100</v>
      </c>
      <c r="AA102">
        <f xml:space="preserve"> String2Single(Table1[[#This Row],[t ISIM hex]] &amp; "00")</f>
        <v>101</v>
      </c>
      <c r="AB102">
        <f>'Pulse data'!O105</f>
        <v>0</v>
      </c>
      <c r="AC102">
        <f>Table1[[#This Row],[ZMW num]]*0.01</f>
        <v>1</v>
      </c>
      <c r="AD102">
        <f>1+Table1[[#This Row],[t bias]]</f>
        <v>2</v>
      </c>
      <c r="AE102">
        <f>Table1[[#This Row],[t kinetic trace]]* String2Single(CONCATENATE(Table1[[#This Row],[t gain hex]], "00")) + String2Single(CONCATENATE(Table1[[#This Row],[t bias hex]], "00"))</f>
        <v>1</v>
      </c>
      <c r="AF102">
        <f xml:space="preserve"> Table1[[#This Row],[t ptrace]]*Table1[[#This Row],[ISM]]</f>
        <v>101</v>
      </c>
      <c r="AG102">
        <f>'Pulse data'!N105</f>
        <v>0</v>
      </c>
      <c r="AH102">
        <f>Table1[[#This Row],[t bias]]+0.5</f>
        <v>1.5</v>
      </c>
      <c r="AI102">
        <f>Table1[[#This Row],[t gain]]/2</f>
        <v>1</v>
      </c>
      <c r="AJ102">
        <f>Table1[[#This Row],[g kinetic trace]]* String2Single(CONCATENATE(Table1[[#This Row],[g gain hex]], "00")) + String2Single(CONCATENATE(Table1[[#This Row],[g bias hex]], "00"))</f>
        <v>1.5</v>
      </c>
      <c r="AK102">
        <f xml:space="preserve"> Table1[[#This Row],[g ptrace]]*Table1[[#This Row],[ISM]]</f>
        <v>151.5</v>
      </c>
      <c r="AL102">
        <f>'Pulse data'!M105</f>
        <v>0</v>
      </c>
      <c r="AM102">
        <f>Table1[[#This Row],[t bias]]+1</f>
        <v>2</v>
      </c>
      <c r="AN102">
        <f>Table1[[#This Row],[t gain]]-0.5</f>
        <v>1.5</v>
      </c>
      <c r="AO102">
        <f>Table1[[#This Row],[a kinetic trace]]* String2Single(CONCATENATE(Table1[[#This Row],[a gain hex]], "00")) + String2Single(CONCATENATE(Table1[[#This Row],[a bias hex]], "00"))</f>
        <v>2</v>
      </c>
      <c r="AP102">
        <f xml:space="preserve"> Table1[[#This Row],[a ptrace]]*Table1[[#This Row],[ISM]]</f>
        <v>202</v>
      </c>
      <c r="AQ102">
        <f>'Pulse data'!L105</f>
        <v>0</v>
      </c>
      <c r="AR102">
        <f>Table1[[#This Row],[t bias]]</f>
        <v>1</v>
      </c>
      <c r="AS102">
        <f>Table1[[#This Row],[t gain]]</f>
        <v>2</v>
      </c>
      <c r="AT102">
        <f>Table1[[#This Row],[c kinetic trace]]* String2Single(CONCATENATE(Table1[[#This Row],[c gain hex]], "00")) + String2Single(CONCATENATE(Table1[[#This Row],[c bias hex]], "00"))</f>
        <v>1</v>
      </c>
      <c r="AU102">
        <f xml:space="preserve"> Table1[[#This Row],[c ptrace]]*Table1[[#This Row],[ISM]]</f>
        <v>101</v>
      </c>
      <c r="AV102">
        <f xml:space="preserve"> Table1[[#This Row],[t ctrace]] + Table1[[#This Row],[g ctrace]] + Table1[[#This Row],[a ctrace]] + Table1[[#This Row],[c ctrace]]</f>
        <v>555.5</v>
      </c>
      <c r="AW102" s="2" t="str">
        <f>DEC2HEX(Table1[[#This Row],[row]], 3)</f>
        <v>009</v>
      </c>
      <c r="AX102" s="1" t="str">
        <f>DEC2HEX(Table1[[#This Row],[col]], 3)</f>
        <v>00E</v>
      </c>
      <c r="AY102" s="1" t="str">
        <f>DEC2HEX(Table1[[#This Row],[grn fsp idx]], 2)</f>
        <v>C9</v>
      </c>
      <c r="AZ102" s="1" t="str">
        <f>DEC2HEX(Table1[[#This Row],[red fsp idx]], 2)</f>
        <v>36</v>
      </c>
      <c r="BA102" s="1" t="str">
        <f>DEC2HEX(Table1[[#This Row],[ISMI]], 2)</f>
        <v>64</v>
      </c>
      <c r="BB102" s="1">
        <f>LEN(Table1[[#This Row],[DRAM data]])</f>
        <v>64</v>
      </c>
      <c r="BC10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00900EC936643F80004000003FC0003F80004000003FC0003F80004000000002</v>
      </c>
      <c r="BV102"/>
    </row>
    <row r="103" spans="1:74" x14ac:dyDescent="0.25">
      <c r="A103" s="1" t="str">
        <f xml:space="preserve"> LEFT(Sng2String(Table1[[#This Row],[c bias]]), 6)</f>
        <v>3F8147</v>
      </c>
      <c r="B103" s="1" t="str">
        <f xml:space="preserve"> LEFT(Sng2String(Table1[[#This Row],[a bias]]), 6)</f>
        <v>4000A3</v>
      </c>
      <c r="C103" s="1" t="str">
        <f xml:space="preserve"> LEFT(Sng2String(Table1[[#This Row],[g bias]]), 6)</f>
        <v>3FC147</v>
      </c>
      <c r="D103" s="1" t="str">
        <f xml:space="preserve"> LEFT(Sng2String(Table1[[#This Row],[t bias]]), 6)</f>
        <v>3F8147</v>
      </c>
      <c r="E103" s="1" t="str">
        <f xml:space="preserve"> LEFT(Sng2String(Table1[[#This Row],[c gain]]), 6)</f>
        <v>4000A3</v>
      </c>
      <c r="F103" s="1" t="str">
        <f xml:space="preserve"> LEFT(Sng2String(Table1[[#This Row],[a gain]]), 6)</f>
        <v>3FC147</v>
      </c>
      <c r="G103" s="1" t="str">
        <f xml:space="preserve"> LEFT(Sng2String(Table1[[#This Row],[g gain]]), 6)</f>
        <v>3F80A3</v>
      </c>
      <c r="H103" s="1" t="str">
        <f xml:space="preserve"> LEFT(Sng2String(Table1[[#This Row],[t gain]]), 6)</f>
        <v>4000A3</v>
      </c>
      <c r="I103" t="str">
        <f xml:space="preserve"> Sng2String(Table1[[#This Row],[c ptrace]])</f>
        <v>3F814700</v>
      </c>
      <c r="J103" t="str">
        <f xml:space="preserve"> Sng2String(Table1[[#This Row],[a ptrace]])</f>
        <v>4000A300</v>
      </c>
      <c r="K103" t="str">
        <f xml:space="preserve"> Sng2String(Table1[[#This Row],[g ptrace]])</f>
        <v>3FC14700</v>
      </c>
      <c r="L103" t="str">
        <f>Sng2String(Table1[[#This Row],[t ptrace]])</f>
        <v>3F814700</v>
      </c>
      <c r="M103" t="str">
        <f xml:space="preserve"> INDEX(SmallFP!$A$1:$A$256, Table1[[#This Row],[ISMI]]+1)</f>
        <v>42CC00</v>
      </c>
      <c r="N103" t="str">
        <f>Single2String(Table1[[#This Row],[c ctrace]])</f>
        <v>42CE0928</v>
      </c>
      <c r="O103" t="str">
        <f>Single2String(Table1[[#This Row],[a ctrace]])</f>
        <v>434D03C8</v>
      </c>
      <c r="P103" t="str">
        <f xml:space="preserve"> Single2String(Table1[[#This Row],[g ctrace]])</f>
        <v>431A0494</v>
      </c>
      <c r="Q103" t="str">
        <f xml:space="preserve"> Single2String(Table1[[#This Row],[t ctrace]])</f>
        <v>42CE0928</v>
      </c>
      <c r="R103" t="str">
        <f>Single2String(Table1[[#This Row],[grn and red ctrace]])</f>
        <v>440D4461</v>
      </c>
      <c r="S103">
        <v>101</v>
      </c>
      <c r="T103" t="str">
        <f>DEC2HEX(Table1[[#This Row],[ZMW num]])</f>
        <v>65</v>
      </c>
      <c r="U103">
        <f>Table1[[#This Row],[ZMW num]]+1</f>
        <v>102</v>
      </c>
      <c r="V103">
        <v>9</v>
      </c>
      <c r="W103">
        <f t="shared" si="2"/>
        <v>15</v>
      </c>
      <c r="X103">
        <v>203</v>
      </c>
      <c r="Y103">
        <v>52</v>
      </c>
      <c r="Z103">
        <f>MOD(Table1[[#This Row],[ZMW num]], 2^8)</f>
        <v>101</v>
      </c>
      <c r="AA103">
        <f xml:space="preserve"> String2Single(Table1[[#This Row],[t ISIM hex]] &amp; "00")</f>
        <v>102</v>
      </c>
      <c r="AB103">
        <f>'Pulse data'!O106</f>
        <v>0</v>
      </c>
      <c r="AC103">
        <f>Table1[[#This Row],[ZMW num]]*0.01</f>
        <v>1.01</v>
      </c>
      <c r="AD103">
        <f>1+Table1[[#This Row],[t bias]]</f>
        <v>2.0099999999999998</v>
      </c>
      <c r="AE103">
        <f>Table1[[#This Row],[t kinetic trace]]* String2Single(CONCATENATE(Table1[[#This Row],[t gain hex]], "00")) + String2Single(CONCATENATE(Table1[[#This Row],[t bias hex]], "00"))</f>
        <v>1.009979248046875</v>
      </c>
      <c r="AF103">
        <f xml:space="preserve"> Table1[[#This Row],[t ptrace]]*Table1[[#This Row],[ISM]]</f>
        <v>103.01788330078125</v>
      </c>
      <c r="AG103">
        <f>'Pulse data'!N106</f>
        <v>0</v>
      </c>
      <c r="AH103">
        <f>Table1[[#This Row],[t bias]]+0.5</f>
        <v>1.51</v>
      </c>
      <c r="AI103">
        <f>Table1[[#This Row],[t gain]]/2</f>
        <v>1.0049999999999999</v>
      </c>
      <c r="AJ103">
        <f>Table1[[#This Row],[g kinetic trace]]* String2Single(CONCATENATE(Table1[[#This Row],[g gain hex]], "00")) + String2Single(CONCATENATE(Table1[[#This Row],[g bias hex]], "00"))</f>
        <v>1.509979248046875</v>
      </c>
      <c r="AK103">
        <f xml:space="preserve"> Table1[[#This Row],[g ptrace]]*Table1[[#This Row],[ISM]]</f>
        <v>154.01788330078125</v>
      </c>
      <c r="AL103">
        <f>'Pulse data'!M106</f>
        <v>0</v>
      </c>
      <c r="AM103">
        <f>Table1[[#This Row],[t bias]]+1</f>
        <v>2.0099999999999998</v>
      </c>
      <c r="AN103">
        <f>Table1[[#This Row],[t gain]]-0.5</f>
        <v>1.5099999999999998</v>
      </c>
      <c r="AO103">
        <f>Table1[[#This Row],[a kinetic trace]]* String2Single(CONCATENATE(Table1[[#This Row],[a gain hex]], "00")) + String2Single(CONCATENATE(Table1[[#This Row],[a bias hex]], "00"))</f>
        <v>2.00994873046875</v>
      </c>
      <c r="AP103">
        <f xml:space="preserve"> Table1[[#This Row],[a ptrace]]*Table1[[#This Row],[ISM]]</f>
        <v>205.0147705078125</v>
      </c>
      <c r="AQ103">
        <f>'Pulse data'!L106</f>
        <v>0</v>
      </c>
      <c r="AR103">
        <f>Table1[[#This Row],[t bias]]</f>
        <v>1.01</v>
      </c>
      <c r="AS103">
        <f>Table1[[#This Row],[t gain]]</f>
        <v>2.0099999999999998</v>
      </c>
      <c r="AT103">
        <f>Table1[[#This Row],[c kinetic trace]]* String2Single(CONCATENATE(Table1[[#This Row],[c gain hex]], "00")) + String2Single(CONCATENATE(Table1[[#This Row],[c bias hex]], "00"))</f>
        <v>1.009979248046875</v>
      </c>
      <c r="AU103">
        <f xml:space="preserve"> Table1[[#This Row],[c ptrace]]*Table1[[#This Row],[ISM]]</f>
        <v>103.01788330078125</v>
      </c>
      <c r="AV103">
        <f xml:space="preserve"> Table1[[#This Row],[t ctrace]] + Table1[[#This Row],[g ctrace]] + Table1[[#This Row],[a ctrace]] + Table1[[#This Row],[c ctrace]]</f>
        <v>565.06842041015625</v>
      </c>
      <c r="AW103" s="2" t="str">
        <f>DEC2HEX(Table1[[#This Row],[row]], 3)</f>
        <v>009</v>
      </c>
      <c r="AX103" s="1" t="str">
        <f>DEC2HEX(Table1[[#This Row],[col]], 3)</f>
        <v>00F</v>
      </c>
      <c r="AY103" s="1" t="str">
        <f>DEC2HEX(Table1[[#This Row],[grn fsp idx]], 2)</f>
        <v>CB</v>
      </c>
      <c r="AZ103" s="1" t="str">
        <f>DEC2HEX(Table1[[#This Row],[red fsp idx]], 2)</f>
        <v>34</v>
      </c>
      <c r="BA103" s="1" t="str">
        <f>DEC2HEX(Table1[[#This Row],[ISMI]], 2)</f>
        <v>65</v>
      </c>
      <c r="BB103" s="1">
        <f>LEN(Table1[[#This Row],[DRAM data]])</f>
        <v>64</v>
      </c>
      <c r="BC10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00900FCB34653F81474000A33FC1473F80A34000A33FC1473F81474000A30002</v>
      </c>
      <c r="BV103"/>
    </row>
    <row r="104" spans="1:74" x14ac:dyDescent="0.25">
      <c r="A104" s="1" t="str">
        <f xml:space="preserve"> LEFT(Sng2String(Table1[[#This Row],[c bias]]), 6)</f>
        <v>3F828F</v>
      </c>
      <c r="B104" s="1" t="str">
        <f xml:space="preserve"> LEFT(Sng2String(Table1[[#This Row],[a bias]]), 6)</f>
        <v>400147</v>
      </c>
      <c r="C104" s="1" t="str">
        <f xml:space="preserve"> LEFT(Sng2String(Table1[[#This Row],[g bias]]), 6)</f>
        <v>3FC28F</v>
      </c>
      <c r="D104" s="1" t="str">
        <f xml:space="preserve"> LEFT(Sng2String(Table1[[#This Row],[t bias]]), 6)</f>
        <v>3F828F</v>
      </c>
      <c r="E104" s="1" t="str">
        <f xml:space="preserve"> LEFT(Sng2String(Table1[[#This Row],[c gain]]), 6)</f>
        <v>400147</v>
      </c>
      <c r="F104" s="1" t="str">
        <f xml:space="preserve"> LEFT(Sng2String(Table1[[#This Row],[a gain]]), 6)</f>
        <v>3FC28F</v>
      </c>
      <c r="G104" s="1" t="str">
        <f xml:space="preserve"> LEFT(Sng2String(Table1[[#This Row],[g gain]]), 6)</f>
        <v>3F8147</v>
      </c>
      <c r="H104" s="1" t="str">
        <f xml:space="preserve"> LEFT(Sng2String(Table1[[#This Row],[t gain]]), 6)</f>
        <v>400147</v>
      </c>
      <c r="I104" t="str">
        <f xml:space="preserve"> Sng2String(Table1[[#This Row],[c ptrace]])</f>
        <v>3F828F00</v>
      </c>
      <c r="J104" t="str">
        <f xml:space="preserve"> Sng2String(Table1[[#This Row],[a ptrace]])</f>
        <v>40014700</v>
      </c>
      <c r="K104" t="str">
        <f xml:space="preserve"> Sng2String(Table1[[#This Row],[g ptrace]])</f>
        <v>3FC28F00</v>
      </c>
      <c r="L104" t="str">
        <f>Sng2String(Table1[[#This Row],[t ptrace]])</f>
        <v>3F828F00</v>
      </c>
      <c r="M104" t="str">
        <f xml:space="preserve"> INDEX(SmallFP!$A$1:$A$256, Table1[[#This Row],[ISMI]]+1)</f>
        <v>42CE00</v>
      </c>
      <c r="N104" t="str">
        <f>Single2String(Table1[[#This Row],[c ctrace]])</f>
        <v>42D21E24</v>
      </c>
      <c r="O104" t="str">
        <f>Single2String(Table1[[#This Row],[a ctrace]])</f>
        <v>43500E44</v>
      </c>
      <c r="P104" t="str">
        <f xml:space="preserve"> Single2String(Table1[[#This Row],[g ctrace]])</f>
        <v>431C8F12</v>
      </c>
      <c r="Q104" t="str">
        <f xml:space="preserve"> Single2String(Table1[[#This Row],[t ctrace]])</f>
        <v>42D21E24</v>
      </c>
      <c r="R104" t="str">
        <f>Single2String(Table1[[#This Row],[grn and red ctrace]])</f>
        <v>440FAEDE</v>
      </c>
      <c r="S104">
        <v>102</v>
      </c>
      <c r="T104" t="str">
        <f>DEC2HEX(Table1[[#This Row],[ZMW num]])</f>
        <v>66</v>
      </c>
      <c r="U104">
        <f>Table1[[#This Row],[ZMW num]]+1</f>
        <v>103</v>
      </c>
      <c r="V104">
        <v>9</v>
      </c>
      <c r="W104">
        <f t="shared" si="2"/>
        <v>18</v>
      </c>
      <c r="X104">
        <v>205</v>
      </c>
      <c r="Y104">
        <v>50</v>
      </c>
      <c r="Z104">
        <f>MOD(Table1[[#This Row],[ZMW num]], 2^8)</f>
        <v>102</v>
      </c>
      <c r="AA104">
        <f xml:space="preserve"> String2Single(Table1[[#This Row],[t ISIM hex]] &amp; "00")</f>
        <v>103</v>
      </c>
      <c r="AB104">
        <f>'Pulse data'!O107</f>
        <v>0</v>
      </c>
      <c r="AC104">
        <f>Table1[[#This Row],[ZMW num]]*0.01</f>
        <v>1.02</v>
      </c>
      <c r="AD104">
        <f>1+Table1[[#This Row],[t bias]]</f>
        <v>2.02</v>
      </c>
      <c r="AE104">
        <f>Table1[[#This Row],[t kinetic trace]]* String2Single(CONCATENATE(Table1[[#This Row],[t gain hex]], "00")) + String2Single(CONCATENATE(Table1[[#This Row],[t bias hex]], "00"))</f>
        <v>1.019989013671875</v>
      </c>
      <c r="AF104">
        <f xml:space="preserve"> Table1[[#This Row],[t ptrace]]*Table1[[#This Row],[ISM]]</f>
        <v>105.05886840820312</v>
      </c>
      <c r="AG104">
        <f>'Pulse data'!N107</f>
        <v>0</v>
      </c>
      <c r="AH104">
        <f>Table1[[#This Row],[t bias]]+0.5</f>
        <v>1.52</v>
      </c>
      <c r="AI104">
        <f>Table1[[#This Row],[t gain]]/2</f>
        <v>1.01</v>
      </c>
      <c r="AJ104">
        <f>Table1[[#This Row],[g kinetic trace]]* String2Single(CONCATENATE(Table1[[#This Row],[g gain hex]], "00")) + String2Single(CONCATENATE(Table1[[#This Row],[g bias hex]], "00"))</f>
        <v>1.519989013671875</v>
      </c>
      <c r="AK104">
        <f xml:space="preserve"> Table1[[#This Row],[g ptrace]]*Table1[[#This Row],[ISM]]</f>
        <v>156.55886840820312</v>
      </c>
      <c r="AL104">
        <f>'Pulse data'!M107</f>
        <v>0</v>
      </c>
      <c r="AM104">
        <f>Table1[[#This Row],[t bias]]+1</f>
        <v>2.02</v>
      </c>
      <c r="AN104">
        <f>Table1[[#This Row],[t gain]]-0.5</f>
        <v>1.52</v>
      </c>
      <c r="AO104">
        <f>Table1[[#This Row],[a kinetic trace]]* String2Single(CONCATENATE(Table1[[#This Row],[a gain hex]], "00")) + String2Single(CONCATENATE(Table1[[#This Row],[a bias hex]], "00"))</f>
        <v>2.01995849609375</v>
      </c>
      <c r="AP104">
        <f xml:space="preserve"> Table1[[#This Row],[a ptrace]]*Table1[[#This Row],[ISM]]</f>
        <v>208.05572509765625</v>
      </c>
      <c r="AQ104">
        <f>'Pulse data'!L107</f>
        <v>0</v>
      </c>
      <c r="AR104">
        <f>Table1[[#This Row],[t bias]]</f>
        <v>1.02</v>
      </c>
      <c r="AS104">
        <f>Table1[[#This Row],[t gain]]</f>
        <v>2.02</v>
      </c>
      <c r="AT104">
        <f>Table1[[#This Row],[c kinetic trace]]* String2Single(CONCATENATE(Table1[[#This Row],[c gain hex]], "00")) + String2Single(CONCATENATE(Table1[[#This Row],[c bias hex]], "00"))</f>
        <v>1.019989013671875</v>
      </c>
      <c r="AU104">
        <f xml:space="preserve"> Table1[[#This Row],[c ptrace]]*Table1[[#This Row],[ISM]]</f>
        <v>105.05886840820312</v>
      </c>
      <c r="AV104">
        <f xml:space="preserve"> Table1[[#This Row],[t ctrace]] + Table1[[#This Row],[g ctrace]] + Table1[[#This Row],[a ctrace]] + Table1[[#This Row],[c ctrace]]</f>
        <v>574.73233032226562</v>
      </c>
      <c r="AW104" s="2" t="str">
        <f>DEC2HEX(Table1[[#This Row],[row]], 3)</f>
        <v>009</v>
      </c>
      <c r="AX104" s="1" t="str">
        <f>DEC2HEX(Table1[[#This Row],[col]], 3)</f>
        <v>012</v>
      </c>
      <c r="AY104" s="1" t="str">
        <f>DEC2HEX(Table1[[#This Row],[grn fsp idx]], 2)</f>
        <v>CD</v>
      </c>
      <c r="AZ104" s="1" t="str">
        <f>DEC2HEX(Table1[[#This Row],[red fsp idx]], 2)</f>
        <v>32</v>
      </c>
      <c r="BA104" s="1" t="str">
        <f>DEC2HEX(Table1[[#This Row],[ISMI]], 2)</f>
        <v>66</v>
      </c>
      <c r="BB104" s="1">
        <f>LEN(Table1[[#This Row],[DRAM data]])</f>
        <v>64</v>
      </c>
      <c r="BC10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009012CD32663F828F4001473FC28F3F81474001473FC28F3F828F4001470002</v>
      </c>
      <c r="BV104"/>
    </row>
    <row r="105" spans="1:74" x14ac:dyDescent="0.25">
      <c r="A105" s="1" t="str">
        <f xml:space="preserve"> LEFT(Sng2String(Table1[[#This Row],[c bias]]), 6)</f>
        <v>3F83D7</v>
      </c>
      <c r="B105" s="1" t="str">
        <f xml:space="preserve"> LEFT(Sng2String(Table1[[#This Row],[a bias]]), 6)</f>
        <v>4001EB</v>
      </c>
      <c r="C105" s="1" t="str">
        <f xml:space="preserve"> LEFT(Sng2String(Table1[[#This Row],[g bias]]), 6)</f>
        <v>3FC3D7</v>
      </c>
      <c r="D105" s="1" t="str">
        <f xml:space="preserve"> LEFT(Sng2String(Table1[[#This Row],[t bias]]), 6)</f>
        <v>3F83D7</v>
      </c>
      <c r="E105" s="1" t="str">
        <f xml:space="preserve"> LEFT(Sng2String(Table1[[#This Row],[c gain]]), 6)</f>
        <v>4001EB</v>
      </c>
      <c r="F105" s="1" t="str">
        <f xml:space="preserve"> LEFT(Sng2String(Table1[[#This Row],[a gain]]), 6)</f>
        <v>3FC3D7</v>
      </c>
      <c r="G105" s="1" t="str">
        <f xml:space="preserve"> LEFT(Sng2String(Table1[[#This Row],[g gain]]), 6)</f>
        <v>3F81EB</v>
      </c>
      <c r="H105" s="1" t="str">
        <f xml:space="preserve"> LEFT(Sng2String(Table1[[#This Row],[t gain]]), 6)</f>
        <v>4001EB</v>
      </c>
      <c r="I105" t="str">
        <f xml:space="preserve"> Sng2String(Table1[[#This Row],[c ptrace]])</f>
        <v>3F83D700</v>
      </c>
      <c r="J105" t="str">
        <f xml:space="preserve"> Sng2String(Table1[[#This Row],[a ptrace]])</f>
        <v>4001EB00</v>
      </c>
      <c r="K105" t="str">
        <f xml:space="preserve"> Sng2String(Table1[[#This Row],[g ptrace]])</f>
        <v>3FC3D700</v>
      </c>
      <c r="L105" t="str">
        <f>Sng2String(Table1[[#This Row],[t ptrace]])</f>
        <v>3F83D700</v>
      </c>
      <c r="M105" t="str">
        <f xml:space="preserve"> INDEX(SmallFP!$A$1:$A$256, Table1[[#This Row],[ISMI]]+1)</f>
        <v>42D000</v>
      </c>
      <c r="N105" t="str">
        <f>Single2String(Table1[[#This Row],[c ctrace]])</f>
        <v>42D63D60</v>
      </c>
      <c r="O105" t="str">
        <f>Single2String(Table1[[#This Row],[a ctrace]])</f>
        <v>43531DE0</v>
      </c>
      <c r="P105" t="str">
        <f xml:space="preserve"> Single2String(Table1[[#This Row],[g ctrace]])</f>
        <v>431F1EB0</v>
      </c>
      <c r="Q105" t="str">
        <f xml:space="preserve"> Single2String(Table1[[#This Row],[t ctrace]])</f>
        <v>42D63D60</v>
      </c>
      <c r="R105" t="str">
        <f>Single2String(Table1[[#This Row],[grn and red ctrace]])</f>
        <v>44121E7C</v>
      </c>
      <c r="S105">
        <v>103</v>
      </c>
      <c r="T105" t="str">
        <f>DEC2HEX(Table1[[#This Row],[ZMW num]])</f>
        <v>67</v>
      </c>
      <c r="U105">
        <f>Table1[[#This Row],[ZMW num]]+1</f>
        <v>104</v>
      </c>
      <c r="V105">
        <v>9</v>
      </c>
      <c r="W105">
        <f t="shared" si="2"/>
        <v>21</v>
      </c>
      <c r="X105">
        <v>207</v>
      </c>
      <c r="Y105">
        <v>48</v>
      </c>
      <c r="Z105">
        <f>MOD(Table1[[#This Row],[ZMW num]], 2^8)</f>
        <v>103</v>
      </c>
      <c r="AA105">
        <f xml:space="preserve"> String2Single(Table1[[#This Row],[t ISIM hex]] &amp; "00")</f>
        <v>104</v>
      </c>
      <c r="AB105">
        <f>'Pulse data'!O108</f>
        <v>0</v>
      </c>
      <c r="AC105">
        <f>Table1[[#This Row],[ZMW num]]*0.01</f>
        <v>1.03</v>
      </c>
      <c r="AD105">
        <f>1+Table1[[#This Row],[t bias]]</f>
        <v>2.0300000000000002</v>
      </c>
      <c r="AE105">
        <f>Table1[[#This Row],[t kinetic trace]]* String2Single(CONCATENATE(Table1[[#This Row],[t gain hex]], "00")) + String2Single(CONCATENATE(Table1[[#This Row],[t bias hex]], "00"))</f>
        <v>1.029998779296875</v>
      </c>
      <c r="AF105">
        <f xml:space="preserve"> Table1[[#This Row],[t ptrace]]*Table1[[#This Row],[ISM]]</f>
        <v>107.119873046875</v>
      </c>
      <c r="AG105">
        <f>'Pulse data'!N108</f>
        <v>0</v>
      </c>
      <c r="AH105">
        <f>Table1[[#This Row],[t bias]]+0.5</f>
        <v>1.53</v>
      </c>
      <c r="AI105">
        <f>Table1[[#This Row],[t gain]]/2</f>
        <v>1.0150000000000001</v>
      </c>
      <c r="AJ105">
        <f>Table1[[#This Row],[g kinetic trace]]* String2Single(CONCATENATE(Table1[[#This Row],[g gain hex]], "00")) + String2Single(CONCATENATE(Table1[[#This Row],[g bias hex]], "00"))</f>
        <v>1.529998779296875</v>
      </c>
      <c r="AK105">
        <f xml:space="preserve"> Table1[[#This Row],[g ptrace]]*Table1[[#This Row],[ISM]]</f>
        <v>159.119873046875</v>
      </c>
      <c r="AL105">
        <f>'Pulse data'!M108</f>
        <v>0</v>
      </c>
      <c r="AM105">
        <f>Table1[[#This Row],[t bias]]+1</f>
        <v>2.0300000000000002</v>
      </c>
      <c r="AN105">
        <f>Table1[[#This Row],[t gain]]-0.5</f>
        <v>1.5300000000000002</v>
      </c>
      <c r="AO105">
        <f>Table1[[#This Row],[a kinetic trace]]* String2Single(CONCATENATE(Table1[[#This Row],[a gain hex]], "00")) + String2Single(CONCATENATE(Table1[[#This Row],[a bias hex]], "00"))</f>
        <v>2.02996826171875</v>
      </c>
      <c r="AP105">
        <f xml:space="preserve"> Table1[[#This Row],[a ptrace]]*Table1[[#This Row],[ISM]]</f>
        <v>211.11669921875</v>
      </c>
      <c r="AQ105">
        <f>'Pulse data'!L108</f>
        <v>0</v>
      </c>
      <c r="AR105">
        <f>Table1[[#This Row],[t bias]]</f>
        <v>1.03</v>
      </c>
      <c r="AS105">
        <f>Table1[[#This Row],[t gain]]</f>
        <v>2.0300000000000002</v>
      </c>
      <c r="AT105">
        <f>Table1[[#This Row],[c kinetic trace]]* String2Single(CONCATENATE(Table1[[#This Row],[c gain hex]], "00")) + String2Single(CONCATENATE(Table1[[#This Row],[c bias hex]], "00"))</f>
        <v>1.029998779296875</v>
      </c>
      <c r="AU105">
        <f xml:space="preserve"> Table1[[#This Row],[c ptrace]]*Table1[[#This Row],[ISM]]</f>
        <v>107.119873046875</v>
      </c>
      <c r="AV105">
        <f xml:space="preserve"> Table1[[#This Row],[t ctrace]] + Table1[[#This Row],[g ctrace]] + Table1[[#This Row],[a ctrace]] + Table1[[#This Row],[c ctrace]]</f>
        <v>584.476318359375</v>
      </c>
      <c r="AW105" s="2" t="str">
        <f>DEC2HEX(Table1[[#This Row],[row]], 3)</f>
        <v>009</v>
      </c>
      <c r="AX105" s="1" t="str">
        <f>DEC2HEX(Table1[[#This Row],[col]], 3)</f>
        <v>015</v>
      </c>
      <c r="AY105" s="1" t="str">
        <f>DEC2HEX(Table1[[#This Row],[grn fsp idx]], 2)</f>
        <v>CF</v>
      </c>
      <c r="AZ105" s="1" t="str">
        <f>DEC2HEX(Table1[[#This Row],[red fsp idx]], 2)</f>
        <v>30</v>
      </c>
      <c r="BA105" s="1" t="str">
        <f>DEC2HEX(Table1[[#This Row],[ISMI]], 2)</f>
        <v>67</v>
      </c>
      <c r="BB105" s="1">
        <f>LEN(Table1[[#This Row],[DRAM data]])</f>
        <v>64</v>
      </c>
      <c r="BC10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009015CF30673F83D74001EB3FC3D73F81EB4001EB3FC3D73F83D74001EB0002</v>
      </c>
      <c r="BV105"/>
    </row>
    <row r="106" spans="1:74" x14ac:dyDescent="0.25">
      <c r="A106" s="1" t="str">
        <f xml:space="preserve"> LEFT(Sng2String(Table1[[#This Row],[c bias]]), 6)</f>
        <v>3F851E</v>
      </c>
      <c r="B106" s="1" t="str">
        <f xml:space="preserve"> LEFT(Sng2String(Table1[[#This Row],[a bias]]), 6)</f>
        <v>40028F</v>
      </c>
      <c r="C106" s="1" t="str">
        <f xml:space="preserve"> LEFT(Sng2String(Table1[[#This Row],[g bias]]), 6)</f>
        <v>3FC51E</v>
      </c>
      <c r="D106" s="1" t="str">
        <f xml:space="preserve"> LEFT(Sng2String(Table1[[#This Row],[t bias]]), 6)</f>
        <v>3F851E</v>
      </c>
      <c r="E106" s="1" t="str">
        <f xml:space="preserve"> LEFT(Sng2String(Table1[[#This Row],[c gain]]), 6)</f>
        <v>40028F</v>
      </c>
      <c r="F106" s="1" t="str">
        <f xml:space="preserve"> LEFT(Sng2String(Table1[[#This Row],[a gain]]), 6)</f>
        <v>3FC51E</v>
      </c>
      <c r="G106" s="1" t="str">
        <f xml:space="preserve"> LEFT(Sng2String(Table1[[#This Row],[g gain]]), 6)</f>
        <v>3F828F</v>
      </c>
      <c r="H106" s="1" t="str">
        <f xml:space="preserve"> LEFT(Sng2String(Table1[[#This Row],[t gain]]), 6)</f>
        <v>40028F</v>
      </c>
      <c r="I106" t="str">
        <f xml:space="preserve"> Sng2String(Table1[[#This Row],[c ptrace]])</f>
        <v>3F851E00</v>
      </c>
      <c r="J106" t="str">
        <f xml:space="preserve"> Sng2String(Table1[[#This Row],[a ptrace]])</f>
        <v>40028F00</v>
      </c>
      <c r="K106" t="str">
        <f xml:space="preserve"> Sng2String(Table1[[#This Row],[g ptrace]])</f>
        <v>3FC51E00</v>
      </c>
      <c r="L106" t="str">
        <f>Sng2String(Table1[[#This Row],[t ptrace]])</f>
        <v>3F851E00</v>
      </c>
      <c r="M106" t="str">
        <f xml:space="preserve"> INDEX(SmallFP!$A$1:$A$256, Table1[[#This Row],[ISMI]]+1)</f>
        <v>42D200</v>
      </c>
      <c r="N106" t="str">
        <f>Single2String(Table1[[#This Row],[c ctrace]])</f>
        <v>42DA6538</v>
      </c>
      <c r="O106" t="str">
        <f>Single2String(Table1[[#This Row],[a ctrace]])</f>
        <v>4356329C</v>
      </c>
      <c r="P106" t="str">
        <f xml:space="preserve"> Single2String(Table1[[#This Row],[g ctrace]])</f>
        <v>4321B29C</v>
      </c>
      <c r="Q106" t="str">
        <f xml:space="preserve"> Single2String(Table1[[#This Row],[t ctrace]])</f>
        <v>42DA6538</v>
      </c>
      <c r="R106" t="str">
        <f>Single2String(Table1[[#This Row],[grn and red ctrace]])</f>
        <v>4414929C</v>
      </c>
      <c r="S106">
        <v>104</v>
      </c>
      <c r="T106" t="str">
        <f>DEC2HEX(Table1[[#This Row],[ZMW num]])</f>
        <v>68</v>
      </c>
      <c r="U106">
        <f>Table1[[#This Row],[ZMW num]]+1</f>
        <v>105</v>
      </c>
      <c r="V106">
        <v>9</v>
      </c>
      <c r="W106">
        <f t="shared" si="2"/>
        <v>24</v>
      </c>
      <c r="X106">
        <v>209</v>
      </c>
      <c r="Y106">
        <v>46</v>
      </c>
      <c r="Z106">
        <f>MOD(Table1[[#This Row],[ZMW num]], 2^8)</f>
        <v>104</v>
      </c>
      <c r="AA106">
        <f xml:space="preserve"> String2Single(Table1[[#This Row],[t ISIM hex]] &amp; "00")</f>
        <v>105</v>
      </c>
      <c r="AB106">
        <f>'Pulse data'!O109</f>
        <v>0</v>
      </c>
      <c r="AC106">
        <f>Table1[[#This Row],[ZMW num]]*0.01</f>
        <v>1.04</v>
      </c>
      <c r="AD106">
        <f>1+Table1[[#This Row],[t bias]]</f>
        <v>2.04</v>
      </c>
      <c r="AE106">
        <f>Table1[[#This Row],[t kinetic trace]]* String2Single(CONCATENATE(Table1[[#This Row],[t gain hex]], "00")) + String2Single(CONCATENATE(Table1[[#This Row],[t bias hex]], "00"))</f>
        <v>1.03997802734375</v>
      </c>
      <c r="AF106">
        <f xml:space="preserve"> Table1[[#This Row],[t ptrace]]*Table1[[#This Row],[ISM]]</f>
        <v>109.19769287109375</v>
      </c>
      <c r="AG106">
        <f>'Pulse data'!N109</f>
        <v>0</v>
      </c>
      <c r="AH106">
        <f>Table1[[#This Row],[t bias]]+0.5</f>
        <v>1.54</v>
      </c>
      <c r="AI106">
        <f>Table1[[#This Row],[t gain]]/2</f>
        <v>1.02</v>
      </c>
      <c r="AJ106">
        <f>Table1[[#This Row],[g kinetic trace]]* String2Single(CONCATENATE(Table1[[#This Row],[g gain hex]], "00")) + String2Single(CONCATENATE(Table1[[#This Row],[g bias hex]], "00"))</f>
        <v>1.53997802734375</v>
      </c>
      <c r="AK106">
        <f xml:space="preserve"> Table1[[#This Row],[g ptrace]]*Table1[[#This Row],[ISM]]</f>
        <v>161.69769287109375</v>
      </c>
      <c r="AL106">
        <f>'Pulse data'!M109</f>
        <v>0</v>
      </c>
      <c r="AM106">
        <f>Table1[[#This Row],[t bias]]+1</f>
        <v>2.04</v>
      </c>
      <c r="AN106">
        <f>Table1[[#This Row],[t gain]]-0.5</f>
        <v>1.54</v>
      </c>
      <c r="AO106">
        <f>Table1[[#This Row],[a kinetic trace]]* String2Single(CONCATENATE(Table1[[#This Row],[a gain hex]], "00")) + String2Single(CONCATENATE(Table1[[#This Row],[a bias hex]], "00"))</f>
        <v>2.03997802734375</v>
      </c>
      <c r="AP106">
        <f xml:space="preserve"> Table1[[#This Row],[a ptrace]]*Table1[[#This Row],[ISM]]</f>
        <v>214.19769287109375</v>
      </c>
      <c r="AQ106">
        <f>'Pulse data'!L109</f>
        <v>0</v>
      </c>
      <c r="AR106">
        <f>Table1[[#This Row],[t bias]]</f>
        <v>1.04</v>
      </c>
      <c r="AS106">
        <f>Table1[[#This Row],[t gain]]</f>
        <v>2.04</v>
      </c>
      <c r="AT106">
        <f>Table1[[#This Row],[c kinetic trace]]* String2Single(CONCATENATE(Table1[[#This Row],[c gain hex]], "00")) + String2Single(CONCATENATE(Table1[[#This Row],[c bias hex]], "00"))</f>
        <v>1.03997802734375</v>
      </c>
      <c r="AU106">
        <f xml:space="preserve"> Table1[[#This Row],[c ptrace]]*Table1[[#This Row],[ISM]]</f>
        <v>109.19769287109375</v>
      </c>
      <c r="AV106">
        <f xml:space="preserve"> Table1[[#This Row],[t ctrace]] + Table1[[#This Row],[g ctrace]] + Table1[[#This Row],[a ctrace]] + Table1[[#This Row],[c ctrace]]</f>
        <v>594.290771484375</v>
      </c>
      <c r="AW106" s="2" t="str">
        <f>DEC2HEX(Table1[[#This Row],[row]], 3)</f>
        <v>009</v>
      </c>
      <c r="AX106" s="1" t="str">
        <f>DEC2HEX(Table1[[#This Row],[col]], 3)</f>
        <v>018</v>
      </c>
      <c r="AY106" s="1" t="str">
        <f>DEC2HEX(Table1[[#This Row],[grn fsp idx]], 2)</f>
        <v>D1</v>
      </c>
      <c r="AZ106" s="1" t="str">
        <f>DEC2HEX(Table1[[#This Row],[red fsp idx]], 2)</f>
        <v>2E</v>
      </c>
      <c r="BA106" s="1" t="str">
        <f>DEC2HEX(Table1[[#This Row],[ISMI]], 2)</f>
        <v>68</v>
      </c>
      <c r="BB106" s="1">
        <f>LEN(Table1[[#This Row],[DRAM data]])</f>
        <v>64</v>
      </c>
      <c r="BC10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009018D12E683F851E40028F3FC51E3F828F40028F3FC51E3F851E40028F0002</v>
      </c>
      <c r="BV106"/>
    </row>
    <row r="107" spans="1:74" x14ac:dyDescent="0.25">
      <c r="A107" s="1" t="str">
        <f xml:space="preserve"> LEFT(Sng2String(Table1[[#This Row],[c bias]]), 6)</f>
        <v>3F8666</v>
      </c>
      <c r="B107" s="1" t="str">
        <f xml:space="preserve"> LEFT(Sng2String(Table1[[#This Row],[a bias]]), 6)</f>
        <v>400333</v>
      </c>
      <c r="C107" s="1" t="str">
        <f xml:space="preserve"> LEFT(Sng2String(Table1[[#This Row],[g bias]]), 6)</f>
        <v>3FC666</v>
      </c>
      <c r="D107" s="1" t="str">
        <f xml:space="preserve"> LEFT(Sng2String(Table1[[#This Row],[t bias]]), 6)</f>
        <v>3F8666</v>
      </c>
      <c r="E107" s="1" t="str">
        <f xml:space="preserve"> LEFT(Sng2String(Table1[[#This Row],[c gain]]), 6)</f>
        <v>400333</v>
      </c>
      <c r="F107" s="1" t="str">
        <f xml:space="preserve"> LEFT(Sng2String(Table1[[#This Row],[a gain]]), 6)</f>
        <v>3FC666</v>
      </c>
      <c r="G107" s="1" t="str">
        <f xml:space="preserve"> LEFT(Sng2String(Table1[[#This Row],[g gain]]), 6)</f>
        <v>3F8333</v>
      </c>
      <c r="H107" s="1" t="str">
        <f xml:space="preserve"> LEFT(Sng2String(Table1[[#This Row],[t gain]]), 6)</f>
        <v>400333</v>
      </c>
      <c r="I107" t="str">
        <f xml:space="preserve"> Sng2String(Table1[[#This Row],[c ptrace]])</f>
        <v>3F866600</v>
      </c>
      <c r="J107" t="str">
        <f xml:space="preserve"> Sng2String(Table1[[#This Row],[a ptrace]])</f>
        <v>40033300</v>
      </c>
      <c r="K107" t="str">
        <f xml:space="preserve"> Sng2String(Table1[[#This Row],[g ptrace]])</f>
        <v>3FC66600</v>
      </c>
      <c r="L107" t="str">
        <f>Sng2String(Table1[[#This Row],[t ptrace]])</f>
        <v>3F866600</v>
      </c>
      <c r="M107" t="str">
        <f xml:space="preserve"> INDEX(SmallFP!$A$1:$A$256, Table1[[#This Row],[ISMI]]+1)</f>
        <v>42D400</v>
      </c>
      <c r="N107" t="str">
        <f>Single2String(Table1[[#This Row],[c ctrace]])</f>
        <v>42DE98F0</v>
      </c>
      <c r="O107" t="str">
        <f>Single2String(Table1[[#This Row],[a ctrace]])</f>
        <v>43594C78</v>
      </c>
      <c r="P107" t="str">
        <f xml:space="preserve"> Single2String(Table1[[#This Row],[g ctrace]])</f>
        <v>43244C78</v>
      </c>
      <c r="Q107" t="str">
        <f xml:space="preserve"> Single2String(Table1[[#This Row],[t ctrace]])</f>
        <v>42DE98F0</v>
      </c>
      <c r="R107" t="str">
        <f>Single2String(Table1[[#This Row],[grn and red ctrace]])</f>
        <v>44170C78</v>
      </c>
      <c r="S107">
        <v>105</v>
      </c>
      <c r="T107" t="str">
        <f>DEC2HEX(Table1[[#This Row],[ZMW num]])</f>
        <v>69</v>
      </c>
      <c r="U107">
        <f>Table1[[#This Row],[ZMW num]]+1</f>
        <v>106</v>
      </c>
      <c r="V107">
        <v>9</v>
      </c>
      <c r="W107">
        <f t="shared" si="2"/>
        <v>28</v>
      </c>
      <c r="X107">
        <v>211</v>
      </c>
      <c r="Y107">
        <v>44</v>
      </c>
      <c r="Z107">
        <f>MOD(Table1[[#This Row],[ZMW num]], 2^8)</f>
        <v>105</v>
      </c>
      <c r="AA107">
        <f xml:space="preserve"> String2Single(Table1[[#This Row],[t ISIM hex]] &amp; "00")</f>
        <v>106</v>
      </c>
      <c r="AB107">
        <f>'Pulse data'!O110</f>
        <v>0</v>
      </c>
      <c r="AC107">
        <f>Table1[[#This Row],[ZMW num]]*0.01</f>
        <v>1.05</v>
      </c>
      <c r="AD107">
        <f>1+Table1[[#This Row],[t bias]]</f>
        <v>2.0499999999999998</v>
      </c>
      <c r="AE107">
        <f>Table1[[#This Row],[t kinetic trace]]* String2Single(CONCATENATE(Table1[[#This Row],[t gain hex]], "00")) + String2Single(CONCATENATE(Table1[[#This Row],[t bias hex]], "00"))</f>
        <v>1.04998779296875</v>
      </c>
      <c r="AF107">
        <f xml:space="preserve"> Table1[[#This Row],[t ptrace]]*Table1[[#This Row],[ISM]]</f>
        <v>111.2987060546875</v>
      </c>
      <c r="AG107">
        <f>'Pulse data'!N110</f>
        <v>0</v>
      </c>
      <c r="AH107">
        <f>Table1[[#This Row],[t bias]]+0.5</f>
        <v>1.55</v>
      </c>
      <c r="AI107">
        <f>Table1[[#This Row],[t gain]]/2</f>
        <v>1.0249999999999999</v>
      </c>
      <c r="AJ107">
        <f>Table1[[#This Row],[g kinetic trace]]* String2Single(CONCATENATE(Table1[[#This Row],[g gain hex]], "00")) + String2Single(CONCATENATE(Table1[[#This Row],[g bias hex]], "00"))</f>
        <v>1.54998779296875</v>
      </c>
      <c r="AK107">
        <f xml:space="preserve"> Table1[[#This Row],[g ptrace]]*Table1[[#This Row],[ISM]]</f>
        <v>164.2987060546875</v>
      </c>
      <c r="AL107">
        <f>'Pulse data'!M110</f>
        <v>0</v>
      </c>
      <c r="AM107">
        <f>Table1[[#This Row],[t bias]]+1</f>
        <v>2.0499999999999998</v>
      </c>
      <c r="AN107">
        <f>Table1[[#This Row],[t gain]]-0.5</f>
        <v>1.5499999999999998</v>
      </c>
      <c r="AO107">
        <f>Table1[[#This Row],[a kinetic trace]]* String2Single(CONCATENATE(Table1[[#This Row],[a gain hex]], "00")) + String2Single(CONCATENATE(Table1[[#This Row],[a bias hex]], "00"))</f>
        <v>2.04998779296875</v>
      </c>
      <c r="AP107">
        <f xml:space="preserve"> Table1[[#This Row],[a ptrace]]*Table1[[#This Row],[ISM]]</f>
        <v>217.2987060546875</v>
      </c>
      <c r="AQ107">
        <f>'Pulse data'!L110</f>
        <v>0</v>
      </c>
      <c r="AR107">
        <f>Table1[[#This Row],[t bias]]</f>
        <v>1.05</v>
      </c>
      <c r="AS107">
        <f>Table1[[#This Row],[t gain]]</f>
        <v>2.0499999999999998</v>
      </c>
      <c r="AT107">
        <f>Table1[[#This Row],[c kinetic trace]]* String2Single(CONCATENATE(Table1[[#This Row],[c gain hex]], "00")) + String2Single(CONCATENATE(Table1[[#This Row],[c bias hex]], "00"))</f>
        <v>1.04998779296875</v>
      </c>
      <c r="AU107">
        <f xml:space="preserve"> Table1[[#This Row],[c ptrace]]*Table1[[#This Row],[ISM]]</f>
        <v>111.2987060546875</v>
      </c>
      <c r="AV107">
        <f xml:space="preserve"> Table1[[#This Row],[t ctrace]] + Table1[[#This Row],[g ctrace]] + Table1[[#This Row],[a ctrace]] + Table1[[#This Row],[c ctrace]]</f>
        <v>604.19482421875</v>
      </c>
      <c r="AW107" s="2" t="str">
        <f>DEC2HEX(Table1[[#This Row],[row]], 3)</f>
        <v>009</v>
      </c>
      <c r="AX107" s="1" t="str">
        <f>DEC2HEX(Table1[[#This Row],[col]], 3)</f>
        <v>01C</v>
      </c>
      <c r="AY107" s="1" t="str">
        <f>DEC2HEX(Table1[[#This Row],[grn fsp idx]], 2)</f>
        <v>D3</v>
      </c>
      <c r="AZ107" s="1" t="str">
        <f>DEC2HEX(Table1[[#This Row],[red fsp idx]], 2)</f>
        <v>2C</v>
      </c>
      <c r="BA107" s="1" t="str">
        <f>DEC2HEX(Table1[[#This Row],[ISMI]], 2)</f>
        <v>69</v>
      </c>
      <c r="BB107" s="1">
        <f>LEN(Table1[[#This Row],[DRAM data]])</f>
        <v>64</v>
      </c>
      <c r="BC10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00901CD32C693F86664003333FC6663F83334003333FC6663F86664003330002</v>
      </c>
      <c r="BV107"/>
    </row>
    <row r="108" spans="1:74" x14ac:dyDescent="0.25">
      <c r="A108" s="1" t="str">
        <f xml:space="preserve"> LEFT(Sng2String(Table1[[#This Row],[c bias]]), 6)</f>
        <v>3F87AE</v>
      </c>
      <c r="B108" s="1" t="str">
        <f xml:space="preserve"> LEFT(Sng2String(Table1[[#This Row],[a bias]]), 6)</f>
        <v>4003D7</v>
      </c>
      <c r="C108" s="1" t="str">
        <f xml:space="preserve"> LEFT(Sng2String(Table1[[#This Row],[g bias]]), 6)</f>
        <v>3FC7AE</v>
      </c>
      <c r="D108" s="1" t="str">
        <f xml:space="preserve"> LEFT(Sng2String(Table1[[#This Row],[t bias]]), 6)</f>
        <v>3F87AE</v>
      </c>
      <c r="E108" s="1" t="str">
        <f xml:space="preserve"> LEFT(Sng2String(Table1[[#This Row],[c gain]]), 6)</f>
        <v>4003D7</v>
      </c>
      <c r="F108" s="1" t="str">
        <f xml:space="preserve"> LEFT(Sng2String(Table1[[#This Row],[a gain]]), 6)</f>
        <v>3FC7AE</v>
      </c>
      <c r="G108" s="1" t="str">
        <f xml:space="preserve"> LEFT(Sng2String(Table1[[#This Row],[g gain]]), 6)</f>
        <v>3F83D7</v>
      </c>
      <c r="H108" s="1" t="str">
        <f xml:space="preserve"> LEFT(Sng2String(Table1[[#This Row],[t gain]]), 6)</f>
        <v>4003D7</v>
      </c>
      <c r="I108" t="str">
        <f xml:space="preserve"> Sng2String(Table1[[#This Row],[c ptrace]])</f>
        <v>3F87AE00</v>
      </c>
      <c r="J108" t="str">
        <f xml:space="preserve"> Sng2String(Table1[[#This Row],[a ptrace]])</f>
        <v>4003D700</v>
      </c>
      <c r="K108" t="str">
        <f xml:space="preserve"> Sng2String(Table1[[#This Row],[g ptrace]])</f>
        <v>3FC7AE00</v>
      </c>
      <c r="L108" t="str">
        <f>Sng2String(Table1[[#This Row],[t ptrace]])</f>
        <v>3F87AE00</v>
      </c>
      <c r="M108" t="str">
        <f xml:space="preserve"> INDEX(SmallFP!$A$1:$A$256, Table1[[#This Row],[ISMI]]+1)</f>
        <v>42D600</v>
      </c>
      <c r="N108" t="str">
        <f>Single2String(Table1[[#This Row],[c ctrace]])</f>
        <v>42E2D6E8</v>
      </c>
      <c r="O108" t="str">
        <f>Single2String(Table1[[#This Row],[a ctrace]])</f>
        <v>435C6B74</v>
      </c>
      <c r="P108" t="str">
        <f xml:space="preserve"> Single2String(Table1[[#This Row],[g ctrace]])</f>
        <v>4326EB74</v>
      </c>
      <c r="Q108" t="str">
        <f xml:space="preserve"> Single2String(Table1[[#This Row],[t ctrace]])</f>
        <v>42E2D6E8</v>
      </c>
      <c r="R108" t="str">
        <f>Single2String(Table1[[#This Row],[grn and red ctrace]])</f>
        <v>44198B74</v>
      </c>
      <c r="S108">
        <v>106</v>
      </c>
      <c r="T108" t="str">
        <f>DEC2HEX(Table1[[#This Row],[ZMW num]])</f>
        <v>6A</v>
      </c>
      <c r="U108">
        <f>Table1[[#This Row],[ZMW num]]+1</f>
        <v>107</v>
      </c>
      <c r="V108">
        <v>9</v>
      </c>
      <c r="W108">
        <f t="shared" si="2"/>
        <v>32</v>
      </c>
      <c r="X108">
        <v>213</v>
      </c>
      <c r="Y108">
        <v>42</v>
      </c>
      <c r="Z108">
        <f>MOD(Table1[[#This Row],[ZMW num]], 2^8)</f>
        <v>106</v>
      </c>
      <c r="AA108">
        <f xml:space="preserve"> String2Single(Table1[[#This Row],[t ISIM hex]] &amp; "00")</f>
        <v>107</v>
      </c>
      <c r="AB108">
        <f>'Pulse data'!O111</f>
        <v>0</v>
      </c>
      <c r="AC108">
        <f>Table1[[#This Row],[ZMW num]]*0.01</f>
        <v>1.06</v>
      </c>
      <c r="AD108">
        <f>1+Table1[[#This Row],[t bias]]</f>
        <v>2.06</v>
      </c>
      <c r="AE108">
        <f>Table1[[#This Row],[t kinetic trace]]* String2Single(CONCATENATE(Table1[[#This Row],[t gain hex]], "00")) + String2Single(CONCATENATE(Table1[[#This Row],[t bias hex]], "00"))</f>
        <v>1.05999755859375</v>
      </c>
      <c r="AF108">
        <f xml:space="preserve"> Table1[[#This Row],[t ptrace]]*Table1[[#This Row],[ISM]]</f>
        <v>113.41973876953125</v>
      </c>
      <c r="AG108">
        <f>'Pulse data'!N111</f>
        <v>0</v>
      </c>
      <c r="AH108">
        <f>Table1[[#This Row],[t bias]]+0.5</f>
        <v>1.56</v>
      </c>
      <c r="AI108">
        <f>Table1[[#This Row],[t gain]]/2</f>
        <v>1.03</v>
      </c>
      <c r="AJ108">
        <f>Table1[[#This Row],[g kinetic trace]]* String2Single(CONCATENATE(Table1[[#This Row],[g gain hex]], "00")) + String2Single(CONCATENATE(Table1[[#This Row],[g bias hex]], "00"))</f>
        <v>1.55999755859375</v>
      </c>
      <c r="AK108">
        <f xml:space="preserve"> Table1[[#This Row],[g ptrace]]*Table1[[#This Row],[ISM]]</f>
        <v>166.91973876953125</v>
      </c>
      <c r="AL108">
        <f>'Pulse data'!M111</f>
        <v>0</v>
      </c>
      <c r="AM108">
        <f>Table1[[#This Row],[t bias]]+1</f>
        <v>2.06</v>
      </c>
      <c r="AN108">
        <f>Table1[[#This Row],[t gain]]-0.5</f>
        <v>1.56</v>
      </c>
      <c r="AO108">
        <f>Table1[[#This Row],[a kinetic trace]]* String2Single(CONCATENATE(Table1[[#This Row],[a gain hex]], "00")) + String2Single(CONCATENATE(Table1[[#This Row],[a bias hex]], "00"))</f>
        <v>2.05999755859375</v>
      </c>
      <c r="AP108">
        <f xml:space="preserve"> Table1[[#This Row],[a ptrace]]*Table1[[#This Row],[ISM]]</f>
        <v>220.41973876953125</v>
      </c>
      <c r="AQ108">
        <f>'Pulse data'!L111</f>
        <v>0</v>
      </c>
      <c r="AR108">
        <f>Table1[[#This Row],[t bias]]</f>
        <v>1.06</v>
      </c>
      <c r="AS108">
        <f>Table1[[#This Row],[t gain]]</f>
        <v>2.06</v>
      </c>
      <c r="AT108">
        <f>Table1[[#This Row],[c kinetic trace]]* String2Single(CONCATENATE(Table1[[#This Row],[c gain hex]], "00")) + String2Single(CONCATENATE(Table1[[#This Row],[c bias hex]], "00"))</f>
        <v>1.05999755859375</v>
      </c>
      <c r="AU108">
        <f xml:space="preserve"> Table1[[#This Row],[c ptrace]]*Table1[[#This Row],[ISM]]</f>
        <v>113.41973876953125</v>
      </c>
      <c r="AV108">
        <f xml:space="preserve"> Table1[[#This Row],[t ctrace]] + Table1[[#This Row],[g ctrace]] + Table1[[#This Row],[a ctrace]] + Table1[[#This Row],[c ctrace]]</f>
        <v>614.178955078125</v>
      </c>
      <c r="AW108" s="2" t="str">
        <f>DEC2HEX(Table1[[#This Row],[row]], 3)</f>
        <v>009</v>
      </c>
      <c r="AX108" s="1" t="str">
        <f>DEC2HEX(Table1[[#This Row],[col]], 3)</f>
        <v>020</v>
      </c>
      <c r="AY108" s="1" t="str">
        <f>DEC2HEX(Table1[[#This Row],[grn fsp idx]], 2)</f>
        <v>D5</v>
      </c>
      <c r="AZ108" s="1" t="str">
        <f>DEC2HEX(Table1[[#This Row],[red fsp idx]], 2)</f>
        <v>2A</v>
      </c>
      <c r="BA108" s="1" t="str">
        <f>DEC2HEX(Table1[[#This Row],[ISMI]], 2)</f>
        <v>6A</v>
      </c>
      <c r="BB108" s="1">
        <f>LEN(Table1[[#This Row],[DRAM data]])</f>
        <v>64</v>
      </c>
      <c r="BC10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009020D52A6A3F87AE4003D73FC7AE3F83D74003D73FC7AE3F87AE4003D70002</v>
      </c>
      <c r="BV108"/>
    </row>
    <row r="109" spans="1:74" x14ac:dyDescent="0.25">
      <c r="A109" s="1" t="str">
        <f xml:space="preserve"> LEFT(Sng2String(Table1[[#This Row],[c bias]]), 6)</f>
        <v>3F88F5</v>
      </c>
      <c r="B109" s="1" t="str">
        <f xml:space="preserve"> LEFT(Sng2String(Table1[[#This Row],[a bias]]), 6)</f>
        <v>40047A</v>
      </c>
      <c r="C109" s="1" t="str">
        <f xml:space="preserve"> LEFT(Sng2String(Table1[[#This Row],[g bias]]), 6)</f>
        <v>3FC8F5</v>
      </c>
      <c r="D109" s="1" t="str">
        <f xml:space="preserve"> LEFT(Sng2String(Table1[[#This Row],[t bias]]), 6)</f>
        <v>3F88F5</v>
      </c>
      <c r="E109" s="1" t="str">
        <f xml:space="preserve"> LEFT(Sng2String(Table1[[#This Row],[c gain]]), 6)</f>
        <v>40047A</v>
      </c>
      <c r="F109" s="1" t="str">
        <f xml:space="preserve"> LEFT(Sng2String(Table1[[#This Row],[a gain]]), 6)</f>
        <v>3FC8F5</v>
      </c>
      <c r="G109" s="1" t="str">
        <f xml:space="preserve"> LEFT(Sng2String(Table1[[#This Row],[g gain]]), 6)</f>
        <v>3F847A</v>
      </c>
      <c r="H109" s="1" t="str">
        <f xml:space="preserve"> LEFT(Sng2String(Table1[[#This Row],[t gain]]), 6)</f>
        <v>40047A</v>
      </c>
      <c r="I109" t="str">
        <f xml:space="preserve"> Sng2String(Table1[[#This Row],[c ptrace]])</f>
        <v>3F88F500</v>
      </c>
      <c r="J109" t="str">
        <f xml:space="preserve"> Sng2String(Table1[[#This Row],[a ptrace]])</f>
        <v>40047A00</v>
      </c>
      <c r="K109" t="str">
        <f xml:space="preserve"> Sng2String(Table1[[#This Row],[g ptrace]])</f>
        <v>3FC8F500</v>
      </c>
      <c r="L109" t="str">
        <f>Sng2String(Table1[[#This Row],[t ptrace]])</f>
        <v>3F88F500</v>
      </c>
      <c r="M109" t="str">
        <f xml:space="preserve"> INDEX(SmallFP!$A$1:$A$256, Table1[[#This Row],[ISMI]]+1)</f>
        <v>42D800</v>
      </c>
      <c r="N109" t="str">
        <f>Single2String(Table1[[#This Row],[c ctrace]])</f>
        <v>42E71D70</v>
      </c>
      <c r="O109" t="str">
        <f>Single2String(Table1[[#This Row],[a ctrace]])</f>
        <v>435F8DE0</v>
      </c>
      <c r="P109" t="str">
        <f xml:space="preserve"> Single2String(Table1[[#This Row],[g ctrace]])</f>
        <v>43298EB8</v>
      </c>
      <c r="Q109" t="str">
        <f xml:space="preserve"> Single2String(Table1[[#This Row],[t ctrace]])</f>
        <v>42E71D70</v>
      </c>
      <c r="R109" t="str">
        <f>Single2String(Table1[[#This Row],[grn and red ctrace]])</f>
        <v>441C0E82</v>
      </c>
      <c r="S109">
        <v>107</v>
      </c>
      <c r="T109" t="str">
        <f>DEC2HEX(Table1[[#This Row],[ZMW num]])</f>
        <v>6B</v>
      </c>
      <c r="U109">
        <f>Table1[[#This Row],[ZMW num]]+1</f>
        <v>108</v>
      </c>
      <c r="V109">
        <v>9</v>
      </c>
      <c r="W109">
        <f t="shared" si="2"/>
        <v>35</v>
      </c>
      <c r="X109">
        <v>215</v>
      </c>
      <c r="Y109">
        <v>40</v>
      </c>
      <c r="Z109">
        <f>MOD(Table1[[#This Row],[ZMW num]], 2^8)</f>
        <v>107</v>
      </c>
      <c r="AA109">
        <f xml:space="preserve"> String2Single(Table1[[#This Row],[t ISIM hex]] &amp; "00")</f>
        <v>108</v>
      </c>
      <c r="AB109">
        <f>'Pulse data'!O112</f>
        <v>0</v>
      </c>
      <c r="AC109">
        <f>Table1[[#This Row],[ZMW num]]*0.01</f>
        <v>1.07</v>
      </c>
      <c r="AD109">
        <f>1+Table1[[#This Row],[t bias]]</f>
        <v>2.0700000000000003</v>
      </c>
      <c r="AE109">
        <f>Table1[[#This Row],[t kinetic trace]]* String2Single(CONCATENATE(Table1[[#This Row],[t gain hex]], "00")) + String2Single(CONCATENATE(Table1[[#This Row],[t bias hex]], "00"))</f>
        <v>1.069976806640625</v>
      </c>
      <c r="AF109">
        <f xml:space="preserve"> Table1[[#This Row],[t ptrace]]*Table1[[#This Row],[ISM]]</f>
        <v>115.5574951171875</v>
      </c>
      <c r="AG109">
        <f>'Pulse data'!N112</f>
        <v>0</v>
      </c>
      <c r="AH109">
        <f>Table1[[#This Row],[t bias]]+0.5</f>
        <v>1.57</v>
      </c>
      <c r="AI109">
        <f>Table1[[#This Row],[t gain]]/2</f>
        <v>1.0350000000000001</v>
      </c>
      <c r="AJ109">
        <f>Table1[[#This Row],[g kinetic trace]]* String2Single(CONCATENATE(Table1[[#This Row],[g gain hex]], "00")) + String2Single(CONCATENATE(Table1[[#This Row],[g bias hex]], "00"))</f>
        <v>1.569976806640625</v>
      </c>
      <c r="AK109">
        <f xml:space="preserve"> Table1[[#This Row],[g ptrace]]*Table1[[#This Row],[ISM]]</f>
        <v>169.5574951171875</v>
      </c>
      <c r="AL109">
        <f>'Pulse data'!M112</f>
        <v>0</v>
      </c>
      <c r="AM109">
        <f>Table1[[#This Row],[t bias]]+1</f>
        <v>2.0700000000000003</v>
      </c>
      <c r="AN109">
        <f>Table1[[#This Row],[t gain]]-0.5</f>
        <v>1.5700000000000003</v>
      </c>
      <c r="AO109">
        <f>Table1[[#This Row],[a kinetic trace]]* String2Single(CONCATENATE(Table1[[#This Row],[a gain hex]], "00")) + String2Single(CONCATENATE(Table1[[#This Row],[a bias hex]], "00"))</f>
        <v>2.0699462890625</v>
      </c>
      <c r="AP109">
        <f xml:space="preserve"> Table1[[#This Row],[a ptrace]]*Table1[[#This Row],[ISM]]</f>
        <v>223.55419921875</v>
      </c>
      <c r="AQ109">
        <f>'Pulse data'!L112</f>
        <v>0</v>
      </c>
      <c r="AR109">
        <f>Table1[[#This Row],[t bias]]</f>
        <v>1.07</v>
      </c>
      <c r="AS109">
        <f>Table1[[#This Row],[t gain]]</f>
        <v>2.0700000000000003</v>
      </c>
      <c r="AT109">
        <f>Table1[[#This Row],[c kinetic trace]]* String2Single(CONCATENATE(Table1[[#This Row],[c gain hex]], "00")) + String2Single(CONCATENATE(Table1[[#This Row],[c bias hex]], "00"))</f>
        <v>1.069976806640625</v>
      </c>
      <c r="AU109">
        <f xml:space="preserve"> Table1[[#This Row],[c ptrace]]*Table1[[#This Row],[ISM]]</f>
        <v>115.5574951171875</v>
      </c>
      <c r="AV109">
        <f xml:space="preserve"> Table1[[#This Row],[t ctrace]] + Table1[[#This Row],[g ctrace]] + Table1[[#This Row],[a ctrace]] + Table1[[#This Row],[c ctrace]]</f>
        <v>624.2266845703125</v>
      </c>
      <c r="AW109" s="2" t="str">
        <f>DEC2HEX(Table1[[#This Row],[row]], 3)</f>
        <v>009</v>
      </c>
      <c r="AX109" s="1" t="str">
        <f>DEC2HEX(Table1[[#This Row],[col]], 3)</f>
        <v>023</v>
      </c>
      <c r="AY109" s="1" t="str">
        <f>DEC2HEX(Table1[[#This Row],[grn fsp idx]], 2)</f>
        <v>D7</v>
      </c>
      <c r="AZ109" s="1" t="str">
        <f>DEC2HEX(Table1[[#This Row],[red fsp idx]], 2)</f>
        <v>28</v>
      </c>
      <c r="BA109" s="1" t="str">
        <f>DEC2HEX(Table1[[#This Row],[ISMI]], 2)</f>
        <v>6B</v>
      </c>
      <c r="BB109" s="1">
        <f>LEN(Table1[[#This Row],[DRAM data]])</f>
        <v>64</v>
      </c>
      <c r="BC10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009023D7286B3F88F540047A3FC8F53F847A40047A3FC8F53F88F540047A0002</v>
      </c>
      <c r="BV109"/>
    </row>
    <row r="110" spans="1:74" x14ac:dyDescent="0.25">
      <c r="A110" s="1" t="str">
        <f xml:space="preserve"> LEFT(Sng2String(Table1[[#This Row],[c bias]]), 6)</f>
        <v>3F8A3D</v>
      </c>
      <c r="B110" s="1" t="str">
        <f xml:space="preserve"> LEFT(Sng2String(Table1[[#This Row],[a bias]]), 6)</f>
        <v>40051E</v>
      </c>
      <c r="C110" s="1" t="str">
        <f xml:space="preserve"> LEFT(Sng2String(Table1[[#This Row],[g bias]]), 6)</f>
        <v>3FCA3D</v>
      </c>
      <c r="D110" s="1" t="str">
        <f xml:space="preserve"> LEFT(Sng2String(Table1[[#This Row],[t bias]]), 6)</f>
        <v>3F8A3D</v>
      </c>
      <c r="E110" s="1" t="str">
        <f xml:space="preserve"> LEFT(Sng2String(Table1[[#This Row],[c gain]]), 6)</f>
        <v>40051E</v>
      </c>
      <c r="F110" s="1" t="str">
        <f xml:space="preserve"> LEFT(Sng2String(Table1[[#This Row],[a gain]]), 6)</f>
        <v>3FCA3D</v>
      </c>
      <c r="G110" s="1" t="str">
        <f xml:space="preserve"> LEFT(Sng2String(Table1[[#This Row],[g gain]]), 6)</f>
        <v>3F851E</v>
      </c>
      <c r="H110" s="1" t="str">
        <f xml:space="preserve"> LEFT(Sng2String(Table1[[#This Row],[t gain]]), 6)</f>
        <v>40051E</v>
      </c>
      <c r="I110" t="str">
        <f xml:space="preserve"> Sng2String(Table1[[#This Row],[c ptrace]])</f>
        <v>3F8A3D00</v>
      </c>
      <c r="J110" t="str">
        <f xml:space="preserve"> Sng2String(Table1[[#This Row],[a ptrace]])</f>
        <v>40051E00</v>
      </c>
      <c r="K110" t="str">
        <f xml:space="preserve"> Sng2String(Table1[[#This Row],[g ptrace]])</f>
        <v>3FCA3D00</v>
      </c>
      <c r="L110" t="str">
        <f>Sng2String(Table1[[#This Row],[t ptrace]])</f>
        <v>3F8A3D00</v>
      </c>
      <c r="M110" t="str">
        <f xml:space="preserve"> INDEX(SmallFP!$A$1:$A$256, Table1[[#This Row],[ISMI]]+1)</f>
        <v>42DA00</v>
      </c>
      <c r="N110" t="str">
        <f>Single2String(Table1[[#This Row],[c ctrace]])</f>
        <v>42EB6FE4</v>
      </c>
      <c r="O110" t="str">
        <f>Single2String(Table1[[#This Row],[a ctrace]])</f>
        <v>4362B718</v>
      </c>
      <c r="P110" t="str">
        <f xml:space="preserve"> Single2String(Table1[[#This Row],[g ctrace]])</f>
        <v>432C37F2</v>
      </c>
      <c r="Q110" t="str">
        <f xml:space="preserve"> Single2String(Table1[[#This Row],[t ctrace]])</f>
        <v>42EB6FE4</v>
      </c>
      <c r="R110" t="str">
        <f>Single2String(Table1[[#This Row],[grn and red ctrace]])</f>
        <v>441E97BC</v>
      </c>
      <c r="S110">
        <v>108</v>
      </c>
      <c r="T110" t="str">
        <f>DEC2HEX(Table1[[#This Row],[ZMW num]])</f>
        <v>6C</v>
      </c>
      <c r="U110">
        <f>Table1[[#This Row],[ZMW num]]+1</f>
        <v>109</v>
      </c>
      <c r="V110">
        <v>9</v>
      </c>
      <c r="W110">
        <f t="shared" si="2"/>
        <v>40</v>
      </c>
      <c r="X110">
        <v>217</v>
      </c>
      <c r="Y110">
        <v>38</v>
      </c>
      <c r="Z110">
        <f>MOD(Table1[[#This Row],[ZMW num]], 2^8)</f>
        <v>108</v>
      </c>
      <c r="AA110">
        <f xml:space="preserve"> String2Single(Table1[[#This Row],[t ISIM hex]] &amp; "00")</f>
        <v>109</v>
      </c>
      <c r="AB110">
        <f>'Pulse data'!O113</f>
        <v>0</v>
      </c>
      <c r="AC110">
        <f>Table1[[#This Row],[ZMW num]]*0.01</f>
        <v>1.08</v>
      </c>
      <c r="AD110">
        <f>1+Table1[[#This Row],[t bias]]</f>
        <v>2.08</v>
      </c>
      <c r="AE110">
        <f>Table1[[#This Row],[t kinetic trace]]* String2Single(CONCATENATE(Table1[[#This Row],[t gain hex]], "00")) + String2Single(CONCATENATE(Table1[[#This Row],[t bias hex]], "00"))</f>
        <v>1.079986572265625</v>
      </c>
      <c r="AF110">
        <f xml:space="preserve"> Table1[[#This Row],[t ptrace]]*Table1[[#This Row],[ISM]]</f>
        <v>117.71853637695312</v>
      </c>
      <c r="AG110">
        <f>'Pulse data'!N113</f>
        <v>0</v>
      </c>
      <c r="AH110">
        <f>Table1[[#This Row],[t bias]]+0.5</f>
        <v>1.58</v>
      </c>
      <c r="AI110">
        <f>Table1[[#This Row],[t gain]]/2</f>
        <v>1.04</v>
      </c>
      <c r="AJ110">
        <f>Table1[[#This Row],[g kinetic trace]]* String2Single(CONCATENATE(Table1[[#This Row],[g gain hex]], "00")) + String2Single(CONCATENATE(Table1[[#This Row],[g bias hex]], "00"))</f>
        <v>1.579986572265625</v>
      </c>
      <c r="AK110">
        <f xml:space="preserve"> Table1[[#This Row],[g ptrace]]*Table1[[#This Row],[ISM]]</f>
        <v>172.21853637695312</v>
      </c>
      <c r="AL110">
        <f>'Pulse data'!M113</f>
        <v>0</v>
      </c>
      <c r="AM110">
        <f>Table1[[#This Row],[t bias]]+1</f>
        <v>2.08</v>
      </c>
      <c r="AN110">
        <f>Table1[[#This Row],[t gain]]-0.5</f>
        <v>1.58</v>
      </c>
      <c r="AO110">
        <f>Table1[[#This Row],[a kinetic trace]]* String2Single(CONCATENATE(Table1[[#This Row],[a gain hex]], "00")) + String2Single(CONCATENATE(Table1[[#This Row],[a bias hex]], "00"))</f>
        <v>2.0799560546875</v>
      </c>
      <c r="AP110">
        <f xml:space="preserve"> Table1[[#This Row],[a ptrace]]*Table1[[#This Row],[ISM]]</f>
        <v>226.7152099609375</v>
      </c>
      <c r="AQ110">
        <f>'Pulse data'!L113</f>
        <v>0</v>
      </c>
      <c r="AR110">
        <f>Table1[[#This Row],[t bias]]</f>
        <v>1.08</v>
      </c>
      <c r="AS110">
        <f>Table1[[#This Row],[t gain]]</f>
        <v>2.08</v>
      </c>
      <c r="AT110">
        <f>Table1[[#This Row],[c kinetic trace]]* String2Single(CONCATENATE(Table1[[#This Row],[c gain hex]], "00")) + String2Single(CONCATENATE(Table1[[#This Row],[c bias hex]], "00"))</f>
        <v>1.079986572265625</v>
      </c>
      <c r="AU110">
        <f xml:space="preserve"> Table1[[#This Row],[c ptrace]]*Table1[[#This Row],[ISM]]</f>
        <v>117.71853637695312</v>
      </c>
      <c r="AV110">
        <f xml:space="preserve"> Table1[[#This Row],[t ctrace]] + Table1[[#This Row],[g ctrace]] + Table1[[#This Row],[a ctrace]] + Table1[[#This Row],[c ctrace]]</f>
        <v>634.37081909179687</v>
      </c>
      <c r="AW110" s="2" t="str">
        <f>DEC2HEX(Table1[[#This Row],[row]], 3)</f>
        <v>009</v>
      </c>
      <c r="AX110" s="1" t="str">
        <f>DEC2HEX(Table1[[#This Row],[col]], 3)</f>
        <v>028</v>
      </c>
      <c r="AY110" s="1" t="str">
        <f>DEC2HEX(Table1[[#This Row],[grn fsp idx]], 2)</f>
        <v>D9</v>
      </c>
      <c r="AZ110" s="1" t="str">
        <f>DEC2HEX(Table1[[#This Row],[red fsp idx]], 2)</f>
        <v>26</v>
      </c>
      <c r="BA110" s="1" t="str">
        <f>DEC2HEX(Table1[[#This Row],[ISMI]], 2)</f>
        <v>6C</v>
      </c>
      <c r="BB110" s="1">
        <f>LEN(Table1[[#This Row],[DRAM data]])</f>
        <v>64</v>
      </c>
      <c r="BC11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009028D9266C3F8A3D40051E3FCA3D3F851E40051E3FCA3D3F8A3D40051E0002</v>
      </c>
      <c r="BV110"/>
    </row>
    <row r="111" spans="1:74" x14ac:dyDescent="0.25">
      <c r="A111" s="1" t="str">
        <f xml:space="preserve"> LEFT(Sng2String(Table1[[#This Row],[c bias]]), 6)</f>
        <v>3F8B85</v>
      </c>
      <c r="B111" s="1" t="str">
        <f xml:space="preserve"> LEFT(Sng2String(Table1[[#This Row],[a bias]]), 6)</f>
        <v>4005C2</v>
      </c>
      <c r="C111" s="1" t="str">
        <f xml:space="preserve"> LEFT(Sng2String(Table1[[#This Row],[g bias]]), 6)</f>
        <v>3FCB85</v>
      </c>
      <c r="D111" s="1" t="str">
        <f xml:space="preserve"> LEFT(Sng2String(Table1[[#This Row],[t bias]]), 6)</f>
        <v>3F8B85</v>
      </c>
      <c r="E111" s="1" t="str">
        <f xml:space="preserve"> LEFT(Sng2String(Table1[[#This Row],[c gain]]), 6)</f>
        <v>4005C2</v>
      </c>
      <c r="F111" s="1" t="str">
        <f xml:space="preserve"> LEFT(Sng2String(Table1[[#This Row],[a gain]]), 6)</f>
        <v>3FCB85</v>
      </c>
      <c r="G111" s="1" t="str">
        <f xml:space="preserve"> LEFT(Sng2String(Table1[[#This Row],[g gain]]), 6)</f>
        <v>3F85C2</v>
      </c>
      <c r="H111" s="1" t="str">
        <f xml:space="preserve"> LEFT(Sng2String(Table1[[#This Row],[t gain]]), 6)</f>
        <v>4005C2</v>
      </c>
      <c r="I111" t="str">
        <f xml:space="preserve"> Sng2String(Table1[[#This Row],[c ptrace]])</f>
        <v>3F8B8500</v>
      </c>
      <c r="J111" t="str">
        <f xml:space="preserve"> Sng2String(Table1[[#This Row],[a ptrace]])</f>
        <v>4005C200</v>
      </c>
      <c r="K111" t="str">
        <f xml:space="preserve"> Sng2String(Table1[[#This Row],[g ptrace]])</f>
        <v>3FCB8500</v>
      </c>
      <c r="L111" t="str">
        <f>Sng2String(Table1[[#This Row],[t ptrace]])</f>
        <v>3F8B8500</v>
      </c>
      <c r="M111" t="str">
        <f xml:space="preserve"> INDEX(SmallFP!$A$1:$A$256, Table1[[#This Row],[ISMI]]+1)</f>
        <v>42DC00</v>
      </c>
      <c r="N111" t="str">
        <f>Single2String(Table1[[#This Row],[c ctrace]])</f>
        <v>42EFCC98</v>
      </c>
      <c r="O111" t="str">
        <f>Single2String(Table1[[#This Row],[a ctrace]])</f>
        <v>4365E570</v>
      </c>
      <c r="P111" t="str">
        <f xml:space="preserve"> Single2String(Table1[[#This Row],[g ctrace]])</f>
        <v>432EE64C</v>
      </c>
      <c r="Q111" t="str">
        <f xml:space="preserve"> Single2String(Table1[[#This Row],[t ctrace]])</f>
        <v>42EFCC98</v>
      </c>
      <c r="R111" t="str">
        <f>Single2String(Table1[[#This Row],[grn and red ctrace]])</f>
        <v>44212615</v>
      </c>
      <c r="S111">
        <v>109</v>
      </c>
      <c r="T111" t="str">
        <f>DEC2HEX(Table1[[#This Row],[ZMW num]])</f>
        <v>6D</v>
      </c>
      <c r="U111">
        <f>Table1[[#This Row],[ZMW num]]+1</f>
        <v>110</v>
      </c>
      <c r="V111">
        <v>9</v>
      </c>
      <c r="W111">
        <f t="shared" si="2"/>
        <v>44</v>
      </c>
      <c r="X111">
        <v>219</v>
      </c>
      <c r="Y111">
        <v>36</v>
      </c>
      <c r="Z111">
        <f>MOD(Table1[[#This Row],[ZMW num]], 2^8)</f>
        <v>109</v>
      </c>
      <c r="AA111">
        <f xml:space="preserve"> String2Single(Table1[[#This Row],[t ISIM hex]] &amp; "00")</f>
        <v>110</v>
      </c>
      <c r="AB111">
        <f>'Pulse data'!O114</f>
        <v>0</v>
      </c>
      <c r="AC111">
        <f>Table1[[#This Row],[ZMW num]]*0.01</f>
        <v>1.0900000000000001</v>
      </c>
      <c r="AD111">
        <f>1+Table1[[#This Row],[t bias]]</f>
        <v>2.09</v>
      </c>
      <c r="AE111">
        <f>Table1[[#This Row],[t kinetic trace]]* String2Single(CONCATENATE(Table1[[#This Row],[t gain hex]], "00")) + String2Single(CONCATENATE(Table1[[#This Row],[t bias hex]], "00"))</f>
        <v>1.089996337890625</v>
      </c>
      <c r="AF111">
        <f xml:space="preserve"> Table1[[#This Row],[t ptrace]]*Table1[[#This Row],[ISM]]</f>
        <v>119.89959716796875</v>
      </c>
      <c r="AG111">
        <f>'Pulse data'!N114</f>
        <v>0</v>
      </c>
      <c r="AH111">
        <f>Table1[[#This Row],[t bias]]+0.5</f>
        <v>1.59</v>
      </c>
      <c r="AI111">
        <f>Table1[[#This Row],[t gain]]/2</f>
        <v>1.0449999999999999</v>
      </c>
      <c r="AJ111">
        <f>Table1[[#This Row],[g kinetic trace]]* String2Single(CONCATENATE(Table1[[#This Row],[g gain hex]], "00")) + String2Single(CONCATENATE(Table1[[#This Row],[g bias hex]], "00"))</f>
        <v>1.589996337890625</v>
      </c>
      <c r="AK111">
        <f xml:space="preserve"> Table1[[#This Row],[g ptrace]]*Table1[[#This Row],[ISM]]</f>
        <v>174.89959716796875</v>
      </c>
      <c r="AL111">
        <f>'Pulse data'!M114</f>
        <v>0</v>
      </c>
      <c r="AM111">
        <f>Table1[[#This Row],[t bias]]+1</f>
        <v>2.09</v>
      </c>
      <c r="AN111">
        <f>Table1[[#This Row],[t gain]]-0.5</f>
        <v>1.5899999999999999</v>
      </c>
      <c r="AO111">
        <f>Table1[[#This Row],[a kinetic trace]]* String2Single(CONCATENATE(Table1[[#This Row],[a gain hex]], "00")) + String2Single(CONCATENATE(Table1[[#This Row],[a bias hex]], "00"))</f>
        <v>2.0899658203125</v>
      </c>
      <c r="AP111">
        <f xml:space="preserve"> Table1[[#This Row],[a ptrace]]*Table1[[#This Row],[ISM]]</f>
        <v>229.896240234375</v>
      </c>
      <c r="AQ111">
        <f>'Pulse data'!L114</f>
        <v>0</v>
      </c>
      <c r="AR111">
        <f>Table1[[#This Row],[t bias]]</f>
        <v>1.0900000000000001</v>
      </c>
      <c r="AS111">
        <f>Table1[[#This Row],[t gain]]</f>
        <v>2.09</v>
      </c>
      <c r="AT111">
        <f>Table1[[#This Row],[c kinetic trace]]* String2Single(CONCATENATE(Table1[[#This Row],[c gain hex]], "00")) + String2Single(CONCATENATE(Table1[[#This Row],[c bias hex]], "00"))</f>
        <v>1.089996337890625</v>
      </c>
      <c r="AU111">
        <f xml:space="preserve"> Table1[[#This Row],[c ptrace]]*Table1[[#This Row],[ISM]]</f>
        <v>119.89959716796875</v>
      </c>
      <c r="AV111">
        <f xml:space="preserve"> Table1[[#This Row],[t ctrace]] + Table1[[#This Row],[g ctrace]] + Table1[[#This Row],[a ctrace]] + Table1[[#This Row],[c ctrace]]</f>
        <v>644.59503173828125</v>
      </c>
      <c r="AW111" s="2" t="str">
        <f>DEC2HEX(Table1[[#This Row],[row]], 3)</f>
        <v>009</v>
      </c>
      <c r="AX111" s="1" t="str">
        <f>DEC2HEX(Table1[[#This Row],[col]], 3)</f>
        <v>02C</v>
      </c>
      <c r="AY111" s="1" t="str">
        <f>DEC2HEX(Table1[[#This Row],[grn fsp idx]], 2)</f>
        <v>DB</v>
      </c>
      <c r="AZ111" s="1" t="str">
        <f>DEC2HEX(Table1[[#This Row],[red fsp idx]], 2)</f>
        <v>24</v>
      </c>
      <c r="BA111" s="1" t="str">
        <f>DEC2HEX(Table1[[#This Row],[ISMI]], 2)</f>
        <v>6D</v>
      </c>
      <c r="BB111" s="1">
        <f>LEN(Table1[[#This Row],[DRAM data]])</f>
        <v>64</v>
      </c>
      <c r="BC11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00902CDB246D3F8B854005C23FCB853F85C24005C23FCB853F8B854005C20002</v>
      </c>
      <c r="BV111"/>
    </row>
    <row r="112" spans="1:74" x14ac:dyDescent="0.25">
      <c r="A112" s="1" t="str">
        <f xml:space="preserve"> LEFT(Sng2String(Table1[[#This Row],[c bias]]), 6)</f>
        <v>3F8CCC</v>
      </c>
      <c r="B112" s="1" t="str">
        <f xml:space="preserve"> LEFT(Sng2String(Table1[[#This Row],[a bias]]), 6)</f>
        <v>400666</v>
      </c>
      <c r="C112" s="1" t="str">
        <f xml:space="preserve"> LEFT(Sng2String(Table1[[#This Row],[g bias]]), 6)</f>
        <v>3FCCCC</v>
      </c>
      <c r="D112" s="1" t="str">
        <f xml:space="preserve"> LEFT(Sng2String(Table1[[#This Row],[t bias]]), 6)</f>
        <v>3F8CCC</v>
      </c>
      <c r="E112" s="1" t="str">
        <f xml:space="preserve"> LEFT(Sng2String(Table1[[#This Row],[c gain]]), 6)</f>
        <v>400666</v>
      </c>
      <c r="F112" s="1" t="str">
        <f xml:space="preserve"> LEFT(Sng2String(Table1[[#This Row],[a gain]]), 6)</f>
        <v>3FCCCC</v>
      </c>
      <c r="G112" s="1" t="str">
        <f xml:space="preserve"> LEFT(Sng2String(Table1[[#This Row],[g gain]]), 6)</f>
        <v>3F8666</v>
      </c>
      <c r="H112" s="1" t="str">
        <f xml:space="preserve"> LEFT(Sng2String(Table1[[#This Row],[t gain]]), 6)</f>
        <v>400666</v>
      </c>
      <c r="I112" t="str">
        <f xml:space="preserve"> Sng2String(Table1[[#This Row],[c ptrace]])</f>
        <v>3F8CCC00</v>
      </c>
      <c r="J112" t="str">
        <f xml:space="preserve"> Sng2String(Table1[[#This Row],[a ptrace]])</f>
        <v>40066600</v>
      </c>
      <c r="K112" t="str">
        <f xml:space="preserve"> Sng2String(Table1[[#This Row],[g ptrace]])</f>
        <v>3FCCCC00</v>
      </c>
      <c r="L112" t="str">
        <f>Sng2String(Table1[[#This Row],[t ptrace]])</f>
        <v>3F8CCC00</v>
      </c>
      <c r="M112" t="str">
        <f xml:space="preserve"> INDEX(SmallFP!$A$1:$A$256, Table1[[#This Row],[ISMI]]+1)</f>
        <v>42DE00</v>
      </c>
      <c r="N112" t="str">
        <f>Single2String(Table1[[#This Row],[c ctrace]])</f>
        <v>42F431D0</v>
      </c>
      <c r="O112" t="str">
        <f>Single2String(Table1[[#This Row],[a ctrace]])</f>
        <v>436918E8</v>
      </c>
      <c r="P112" t="str">
        <f xml:space="preserve"> Single2String(Table1[[#This Row],[g ctrace]])</f>
        <v>433198E8</v>
      </c>
      <c r="Q112" t="str">
        <f xml:space="preserve"> Single2String(Table1[[#This Row],[t ctrace]])</f>
        <v>42F431D0</v>
      </c>
      <c r="R112" t="str">
        <f>Single2String(Table1[[#This Row],[grn and red ctrace]])</f>
        <v>4423B8E8</v>
      </c>
      <c r="S112">
        <v>110</v>
      </c>
      <c r="T112" t="str">
        <f>DEC2HEX(Table1[[#This Row],[ZMW num]])</f>
        <v>6E</v>
      </c>
      <c r="U112">
        <f>Table1[[#This Row],[ZMW num]]+1</f>
        <v>111</v>
      </c>
      <c r="V112">
        <v>9</v>
      </c>
      <c r="W112">
        <f t="shared" si="2"/>
        <v>45</v>
      </c>
      <c r="X112">
        <v>221</v>
      </c>
      <c r="Y112">
        <v>34</v>
      </c>
      <c r="Z112">
        <f>MOD(Table1[[#This Row],[ZMW num]], 2^8)</f>
        <v>110</v>
      </c>
      <c r="AA112">
        <f xml:space="preserve"> String2Single(Table1[[#This Row],[t ISIM hex]] &amp; "00")</f>
        <v>111</v>
      </c>
      <c r="AB112">
        <f>'Pulse data'!O115</f>
        <v>0</v>
      </c>
      <c r="AC112">
        <f>Table1[[#This Row],[ZMW num]]*0.01</f>
        <v>1.1000000000000001</v>
      </c>
      <c r="AD112">
        <f>1+Table1[[#This Row],[t bias]]</f>
        <v>2.1</v>
      </c>
      <c r="AE112">
        <f>Table1[[#This Row],[t kinetic trace]]* String2Single(CONCATENATE(Table1[[#This Row],[t gain hex]], "00")) + String2Single(CONCATENATE(Table1[[#This Row],[t bias hex]], "00"))</f>
        <v>1.0999755859375</v>
      </c>
      <c r="AF112">
        <f xml:space="preserve"> Table1[[#This Row],[t ptrace]]*Table1[[#This Row],[ISM]]</f>
        <v>122.0972900390625</v>
      </c>
      <c r="AG112">
        <f>'Pulse data'!N115</f>
        <v>0</v>
      </c>
      <c r="AH112">
        <f>Table1[[#This Row],[t bias]]+0.5</f>
        <v>1.6</v>
      </c>
      <c r="AI112">
        <f>Table1[[#This Row],[t gain]]/2</f>
        <v>1.05</v>
      </c>
      <c r="AJ112">
        <f>Table1[[#This Row],[g kinetic trace]]* String2Single(CONCATENATE(Table1[[#This Row],[g gain hex]], "00")) + String2Single(CONCATENATE(Table1[[#This Row],[g bias hex]], "00"))</f>
        <v>1.5999755859375</v>
      </c>
      <c r="AK112">
        <f xml:space="preserve"> Table1[[#This Row],[g ptrace]]*Table1[[#This Row],[ISM]]</f>
        <v>177.5972900390625</v>
      </c>
      <c r="AL112">
        <f>'Pulse data'!M115</f>
        <v>0</v>
      </c>
      <c r="AM112">
        <f>Table1[[#This Row],[t bias]]+1</f>
        <v>2.1</v>
      </c>
      <c r="AN112">
        <f>Table1[[#This Row],[t gain]]-0.5</f>
        <v>1.6</v>
      </c>
      <c r="AO112">
        <f>Table1[[#This Row],[a kinetic trace]]* String2Single(CONCATENATE(Table1[[#This Row],[a gain hex]], "00")) + String2Single(CONCATENATE(Table1[[#This Row],[a bias hex]], "00"))</f>
        <v>2.0999755859375</v>
      </c>
      <c r="AP112">
        <f xml:space="preserve"> Table1[[#This Row],[a ptrace]]*Table1[[#This Row],[ISM]]</f>
        <v>233.0972900390625</v>
      </c>
      <c r="AQ112">
        <f>'Pulse data'!L115</f>
        <v>0</v>
      </c>
      <c r="AR112">
        <f>Table1[[#This Row],[t bias]]</f>
        <v>1.1000000000000001</v>
      </c>
      <c r="AS112">
        <f>Table1[[#This Row],[t gain]]</f>
        <v>2.1</v>
      </c>
      <c r="AT112">
        <f>Table1[[#This Row],[c kinetic trace]]* String2Single(CONCATENATE(Table1[[#This Row],[c gain hex]], "00")) + String2Single(CONCATENATE(Table1[[#This Row],[c bias hex]], "00"))</f>
        <v>1.0999755859375</v>
      </c>
      <c r="AU112">
        <f xml:space="preserve"> Table1[[#This Row],[c ptrace]]*Table1[[#This Row],[ISM]]</f>
        <v>122.0972900390625</v>
      </c>
      <c r="AV112">
        <f xml:space="preserve"> Table1[[#This Row],[t ctrace]] + Table1[[#This Row],[g ctrace]] + Table1[[#This Row],[a ctrace]] + Table1[[#This Row],[c ctrace]]</f>
        <v>654.88916015625</v>
      </c>
      <c r="AW112" s="2" t="str">
        <f>DEC2HEX(Table1[[#This Row],[row]], 3)</f>
        <v>009</v>
      </c>
      <c r="AX112" s="1" t="str">
        <f>DEC2HEX(Table1[[#This Row],[col]], 3)</f>
        <v>02D</v>
      </c>
      <c r="AY112" s="1" t="str">
        <f>DEC2HEX(Table1[[#This Row],[grn fsp idx]], 2)</f>
        <v>DD</v>
      </c>
      <c r="AZ112" s="1" t="str">
        <f>DEC2HEX(Table1[[#This Row],[red fsp idx]], 2)</f>
        <v>22</v>
      </c>
      <c r="BA112" s="1" t="str">
        <f>DEC2HEX(Table1[[#This Row],[ISMI]], 2)</f>
        <v>6E</v>
      </c>
      <c r="BB112" s="1">
        <f>LEN(Table1[[#This Row],[DRAM data]])</f>
        <v>64</v>
      </c>
      <c r="BC11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00902DDD226E3F8CCC4006663FCCCC3F86664006663FCCCC3F8CCC4006660002</v>
      </c>
      <c r="BV112"/>
    </row>
    <row r="113" spans="1:74" x14ac:dyDescent="0.25">
      <c r="A113" s="1" t="str">
        <f xml:space="preserve"> LEFT(Sng2String(Table1[[#This Row],[c bias]]), 6)</f>
        <v>3F8E14</v>
      </c>
      <c r="B113" s="1" t="str">
        <f xml:space="preserve"> LEFT(Sng2String(Table1[[#This Row],[a bias]]), 6)</f>
        <v>40070A</v>
      </c>
      <c r="C113" s="1" t="str">
        <f xml:space="preserve"> LEFT(Sng2String(Table1[[#This Row],[g bias]]), 6)</f>
        <v>3FCE14</v>
      </c>
      <c r="D113" s="1" t="str">
        <f xml:space="preserve"> LEFT(Sng2String(Table1[[#This Row],[t bias]]), 6)</f>
        <v>3F8E14</v>
      </c>
      <c r="E113" s="1" t="str">
        <f xml:space="preserve"> LEFT(Sng2String(Table1[[#This Row],[c gain]]), 6)</f>
        <v>40070A</v>
      </c>
      <c r="F113" s="1" t="str">
        <f xml:space="preserve"> LEFT(Sng2String(Table1[[#This Row],[a gain]]), 6)</f>
        <v>3FCE14</v>
      </c>
      <c r="G113" s="1" t="str">
        <f xml:space="preserve"> LEFT(Sng2String(Table1[[#This Row],[g gain]]), 6)</f>
        <v>3F870A</v>
      </c>
      <c r="H113" s="1" t="str">
        <f xml:space="preserve"> LEFT(Sng2String(Table1[[#This Row],[t gain]]), 6)</f>
        <v>40070A</v>
      </c>
      <c r="I113" t="str">
        <f xml:space="preserve"> Sng2String(Table1[[#This Row],[c ptrace]])</f>
        <v>3F8E1400</v>
      </c>
      <c r="J113" t="str">
        <f xml:space="preserve"> Sng2String(Table1[[#This Row],[a ptrace]])</f>
        <v>40070A00</v>
      </c>
      <c r="K113" t="str">
        <f xml:space="preserve"> Sng2String(Table1[[#This Row],[g ptrace]])</f>
        <v>3FCE1400</v>
      </c>
      <c r="L113" t="str">
        <f>Sng2String(Table1[[#This Row],[t ptrace]])</f>
        <v>3F8E1400</v>
      </c>
      <c r="M113" t="str">
        <f xml:space="preserve"> INDEX(SmallFP!$A$1:$A$256, Table1[[#This Row],[ISMI]]+1)</f>
        <v>42E000</v>
      </c>
      <c r="N113" t="str">
        <f>Single2String(Table1[[#This Row],[c ctrace]])</f>
        <v>42F8A300</v>
      </c>
      <c r="O113" t="str">
        <f>Single2String(Table1[[#This Row],[a ctrace]])</f>
        <v>436C5180</v>
      </c>
      <c r="P113" t="str">
        <f xml:space="preserve"> Single2String(Table1[[#This Row],[g ctrace]])</f>
        <v>43345180</v>
      </c>
      <c r="Q113" t="str">
        <f xml:space="preserve"> Single2String(Table1[[#This Row],[t ctrace]])</f>
        <v>42F8A300</v>
      </c>
      <c r="R113" t="str">
        <f>Single2String(Table1[[#This Row],[grn and red ctrace]])</f>
        <v>44265180</v>
      </c>
      <c r="S113">
        <v>111</v>
      </c>
      <c r="T113" t="str">
        <f>DEC2HEX(Table1[[#This Row],[ZMW num]])</f>
        <v>6F</v>
      </c>
      <c r="U113">
        <f>Table1[[#This Row],[ZMW num]]+1</f>
        <v>112</v>
      </c>
      <c r="V113">
        <v>9</v>
      </c>
      <c r="W113">
        <f t="shared" si="2"/>
        <v>50</v>
      </c>
      <c r="X113">
        <v>223</v>
      </c>
      <c r="Y113">
        <v>32</v>
      </c>
      <c r="Z113">
        <f>MOD(Table1[[#This Row],[ZMW num]], 2^8)</f>
        <v>111</v>
      </c>
      <c r="AA113">
        <f xml:space="preserve"> String2Single(Table1[[#This Row],[t ISIM hex]] &amp; "00")</f>
        <v>112</v>
      </c>
      <c r="AB113">
        <f>'Pulse data'!O116</f>
        <v>0</v>
      </c>
      <c r="AC113">
        <f>Table1[[#This Row],[ZMW num]]*0.01</f>
        <v>1.1100000000000001</v>
      </c>
      <c r="AD113">
        <f>1+Table1[[#This Row],[t bias]]</f>
        <v>2.1100000000000003</v>
      </c>
      <c r="AE113">
        <f>Table1[[#This Row],[t kinetic trace]]* String2Single(CONCATENATE(Table1[[#This Row],[t gain hex]], "00")) + String2Single(CONCATENATE(Table1[[#This Row],[t bias hex]], "00"))</f>
        <v>1.1099853515625</v>
      </c>
      <c r="AF113">
        <f xml:space="preserve"> Table1[[#This Row],[t ptrace]]*Table1[[#This Row],[ISM]]</f>
        <v>124.318359375</v>
      </c>
      <c r="AG113">
        <f>'Pulse data'!N116</f>
        <v>0</v>
      </c>
      <c r="AH113">
        <f>Table1[[#This Row],[t bias]]+0.5</f>
        <v>1.61</v>
      </c>
      <c r="AI113">
        <f>Table1[[#This Row],[t gain]]/2</f>
        <v>1.0550000000000002</v>
      </c>
      <c r="AJ113">
        <f>Table1[[#This Row],[g kinetic trace]]* String2Single(CONCATENATE(Table1[[#This Row],[g gain hex]], "00")) + String2Single(CONCATENATE(Table1[[#This Row],[g bias hex]], "00"))</f>
        <v>1.6099853515625</v>
      </c>
      <c r="AK113">
        <f xml:space="preserve"> Table1[[#This Row],[g ptrace]]*Table1[[#This Row],[ISM]]</f>
        <v>180.318359375</v>
      </c>
      <c r="AL113">
        <f>'Pulse data'!M116</f>
        <v>0</v>
      </c>
      <c r="AM113">
        <f>Table1[[#This Row],[t bias]]+1</f>
        <v>2.1100000000000003</v>
      </c>
      <c r="AN113">
        <f>Table1[[#This Row],[t gain]]-0.5</f>
        <v>1.6100000000000003</v>
      </c>
      <c r="AO113">
        <f>Table1[[#This Row],[a kinetic trace]]* String2Single(CONCATENATE(Table1[[#This Row],[a gain hex]], "00")) + String2Single(CONCATENATE(Table1[[#This Row],[a bias hex]], "00"))</f>
        <v>2.1099853515625</v>
      </c>
      <c r="AP113">
        <f xml:space="preserve"> Table1[[#This Row],[a ptrace]]*Table1[[#This Row],[ISM]]</f>
        <v>236.318359375</v>
      </c>
      <c r="AQ113">
        <f>'Pulse data'!L116</f>
        <v>0</v>
      </c>
      <c r="AR113">
        <f>Table1[[#This Row],[t bias]]</f>
        <v>1.1100000000000001</v>
      </c>
      <c r="AS113">
        <f>Table1[[#This Row],[t gain]]</f>
        <v>2.1100000000000003</v>
      </c>
      <c r="AT113">
        <f>Table1[[#This Row],[c kinetic trace]]* String2Single(CONCATENATE(Table1[[#This Row],[c gain hex]], "00")) + String2Single(CONCATENATE(Table1[[#This Row],[c bias hex]], "00"))</f>
        <v>1.1099853515625</v>
      </c>
      <c r="AU113">
        <f xml:space="preserve"> Table1[[#This Row],[c ptrace]]*Table1[[#This Row],[ISM]]</f>
        <v>124.318359375</v>
      </c>
      <c r="AV113">
        <f xml:space="preserve"> Table1[[#This Row],[t ctrace]] + Table1[[#This Row],[g ctrace]] + Table1[[#This Row],[a ctrace]] + Table1[[#This Row],[c ctrace]]</f>
        <v>665.2734375</v>
      </c>
      <c r="AW113" s="2" t="str">
        <f>DEC2HEX(Table1[[#This Row],[row]], 3)</f>
        <v>009</v>
      </c>
      <c r="AX113" s="1" t="str">
        <f>DEC2HEX(Table1[[#This Row],[col]], 3)</f>
        <v>032</v>
      </c>
      <c r="AY113" s="1" t="str">
        <f>DEC2HEX(Table1[[#This Row],[grn fsp idx]], 2)</f>
        <v>DF</v>
      </c>
      <c r="AZ113" s="1" t="str">
        <f>DEC2HEX(Table1[[#This Row],[red fsp idx]], 2)</f>
        <v>20</v>
      </c>
      <c r="BA113" s="1" t="str">
        <f>DEC2HEX(Table1[[#This Row],[ISMI]], 2)</f>
        <v>6F</v>
      </c>
      <c r="BB113" s="1">
        <f>LEN(Table1[[#This Row],[DRAM data]])</f>
        <v>64</v>
      </c>
      <c r="BC11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009032DF206F3F8E1440070A3FCE143F870A40070A3FCE143F8E1440070A0002</v>
      </c>
      <c r="BV113"/>
    </row>
    <row r="114" spans="1:74" x14ac:dyDescent="0.25">
      <c r="A114" s="1" t="str">
        <f xml:space="preserve"> LEFT(Sng2String(Table1[[#This Row],[c bias]]), 6)</f>
        <v>3F8F5C</v>
      </c>
      <c r="B114" s="1" t="str">
        <f xml:space="preserve"> LEFT(Sng2String(Table1[[#This Row],[a bias]]), 6)</f>
        <v>4007AE</v>
      </c>
      <c r="C114" s="1" t="str">
        <f xml:space="preserve"> LEFT(Sng2String(Table1[[#This Row],[g bias]]), 6)</f>
        <v>3FCF5C</v>
      </c>
      <c r="D114" s="1" t="str">
        <f xml:space="preserve"> LEFT(Sng2String(Table1[[#This Row],[t bias]]), 6)</f>
        <v>3F8F5C</v>
      </c>
      <c r="E114" s="1" t="str">
        <f xml:space="preserve"> LEFT(Sng2String(Table1[[#This Row],[c gain]]), 6)</f>
        <v>4007AE</v>
      </c>
      <c r="F114" s="1" t="str">
        <f xml:space="preserve"> LEFT(Sng2String(Table1[[#This Row],[a gain]]), 6)</f>
        <v>3FCF5C</v>
      </c>
      <c r="G114" s="1" t="str">
        <f xml:space="preserve"> LEFT(Sng2String(Table1[[#This Row],[g gain]]), 6)</f>
        <v>3F87AE</v>
      </c>
      <c r="H114" s="1" t="str">
        <f xml:space="preserve"> LEFT(Sng2String(Table1[[#This Row],[t gain]]), 6)</f>
        <v>4007AE</v>
      </c>
      <c r="I114" t="str">
        <f xml:space="preserve"> Sng2String(Table1[[#This Row],[c ptrace]])</f>
        <v>3F8F5C00</v>
      </c>
      <c r="J114" t="str">
        <f xml:space="preserve"> Sng2String(Table1[[#This Row],[a ptrace]])</f>
        <v>4007AE00</v>
      </c>
      <c r="K114" t="str">
        <f xml:space="preserve"> Sng2String(Table1[[#This Row],[g ptrace]])</f>
        <v>3FCF5C00</v>
      </c>
      <c r="L114" t="str">
        <f>Sng2String(Table1[[#This Row],[t ptrace]])</f>
        <v>3F8F5C00</v>
      </c>
      <c r="M114" t="str">
        <f xml:space="preserve"> INDEX(SmallFP!$A$1:$A$256, Table1[[#This Row],[ISMI]]+1)</f>
        <v>42E200</v>
      </c>
      <c r="N114" t="str">
        <f>Single2String(Table1[[#This Row],[c ctrace]])</f>
        <v>42FD1E70</v>
      </c>
      <c r="O114" t="str">
        <f>Single2String(Table1[[#This Row],[a ctrace]])</f>
        <v>436F8F38</v>
      </c>
      <c r="P114" t="str">
        <f xml:space="preserve"> Single2String(Table1[[#This Row],[g ctrace]])</f>
        <v>43370F38</v>
      </c>
      <c r="Q114" t="str">
        <f xml:space="preserve"> Single2String(Table1[[#This Row],[t ctrace]])</f>
        <v>42FD1E70</v>
      </c>
      <c r="R114" t="str">
        <f>Single2String(Table1[[#This Row],[grn and red ctrace]])</f>
        <v>4428EF38</v>
      </c>
      <c r="S114">
        <v>112</v>
      </c>
      <c r="T114" t="str">
        <f>DEC2HEX(Table1[[#This Row],[ZMW num]])</f>
        <v>70</v>
      </c>
      <c r="U114">
        <f>Table1[[#This Row],[ZMW num]]+1</f>
        <v>113</v>
      </c>
      <c r="V114">
        <v>9</v>
      </c>
      <c r="W114">
        <f t="shared" si="2"/>
        <v>54</v>
      </c>
      <c r="X114">
        <v>225</v>
      </c>
      <c r="Y114">
        <v>30</v>
      </c>
      <c r="Z114">
        <f>MOD(Table1[[#This Row],[ZMW num]], 2^8)</f>
        <v>112</v>
      </c>
      <c r="AA114">
        <f xml:space="preserve"> String2Single(Table1[[#This Row],[t ISIM hex]] &amp; "00")</f>
        <v>113</v>
      </c>
      <c r="AB114">
        <f>'Pulse data'!O117</f>
        <v>0</v>
      </c>
      <c r="AC114">
        <f>Table1[[#This Row],[ZMW num]]*0.01</f>
        <v>1.1200000000000001</v>
      </c>
      <c r="AD114">
        <f>1+Table1[[#This Row],[t bias]]</f>
        <v>2.12</v>
      </c>
      <c r="AE114">
        <f>Table1[[#This Row],[t kinetic trace]]* String2Single(CONCATENATE(Table1[[#This Row],[t gain hex]], "00")) + String2Single(CONCATENATE(Table1[[#This Row],[t bias hex]], "00"))</f>
        <v>1.1199951171875</v>
      </c>
      <c r="AF114">
        <f xml:space="preserve"> Table1[[#This Row],[t ptrace]]*Table1[[#This Row],[ISM]]</f>
        <v>126.5594482421875</v>
      </c>
      <c r="AG114">
        <f>'Pulse data'!N117</f>
        <v>0</v>
      </c>
      <c r="AH114">
        <f>Table1[[#This Row],[t bias]]+0.5</f>
        <v>1.62</v>
      </c>
      <c r="AI114">
        <f>Table1[[#This Row],[t gain]]/2</f>
        <v>1.06</v>
      </c>
      <c r="AJ114">
        <f>Table1[[#This Row],[g kinetic trace]]* String2Single(CONCATENATE(Table1[[#This Row],[g gain hex]], "00")) + String2Single(CONCATENATE(Table1[[#This Row],[g bias hex]], "00"))</f>
        <v>1.6199951171875</v>
      </c>
      <c r="AK114">
        <f xml:space="preserve"> Table1[[#This Row],[g ptrace]]*Table1[[#This Row],[ISM]]</f>
        <v>183.0594482421875</v>
      </c>
      <c r="AL114">
        <f>'Pulse data'!M117</f>
        <v>0</v>
      </c>
      <c r="AM114">
        <f>Table1[[#This Row],[t bias]]+1</f>
        <v>2.12</v>
      </c>
      <c r="AN114">
        <f>Table1[[#This Row],[t gain]]-0.5</f>
        <v>1.62</v>
      </c>
      <c r="AO114">
        <f>Table1[[#This Row],[a kinetic trace]]* String2Single(CONCATENATE(Table1[[#This Row],[a gain hex]], "00")) + String2Single(CONCATENATE(Table1[[#This Row],[a bias hex]], "00"))</f>
        <v>2.1199951171875</v>
      </c>
      <c r="AP114">
        <f xml:space="preserve"> Table1[[#This Row],[a ptrace]]*Table1[[#This Row],[ISM]]</f>
        <v>239.5594482421875</v>
      </c>
      <c r="AQ114">
        <f>'Pulse data'!L117</f>
        <v>0</v>
      </c>
      <c r="AR114">
        <f>Table1[[#This Row],[t bias]]</f>
        <v>1.1200000000000001</v>
      </c>
      <c r="AS114">
        <f>Table1[[#This Row],[t gain]]</f>
        <v>2.12</v>
      </c>
      <c r="AT114">
        <f>Table1[[#This Row],[c kinetic trace]]* String2Single(CONCATENATE(Table1[[#This Row],[c gain hex]], "00")) + String2Single(CONCATENATE(Table1[[#This Row],[c bias hex]], "00"))</f>
        <v>1.1199951171875</v>
      </c>
      <c r="AU114">
        <f xml:space="preserve"> Table1[[#This Row],[c ptrace]]*Table1[[#This Row],[ISM]]</f>
        <v>126.5594482421875</v>
      </c>
      <c r="AV114">
        <f xml:space="preserve"> Table1[[#This Row],[t ctrace]] + Table1[[#This Row],[g ctrace]] + Table1[[#This Row],[a ctrace]] + Table1[[#This Row],[c ctrace]]</f>
        <v>675.73779296875</v>
      </c>
      <c r="AW114" s="2" t="str">
        <f>DEC2HEX(Table1[[#This Row],[row]], 3)</f>
        <v>009</v>
      </c>
      <c r="AX114" s="1" t="str">
        <f>DEC2HEX(Table1[[#This Row],[col]], 3)</f>
        <v>036</v>
      </c>
      <c r="AY114" s="1" t="str">
        <f>DEC2HEX(Table1[[#This Row],[grn fsp idx]], 2)</f>
        <v>E1</v>
      </c>
      <c r="AZ114" s="1" t="str">
        <f>DEC2HEX(Table1[[#This Row],[red fsp idx]], 2)</f>
        <v>1E</v>
      </c>
      <c r="BA114" s="1" t="str">
        <f>DEC2HEX(Table1[[#This Row],[ISMI]], 2)</f>
        <v>70</v>
      </c>
      <c r="BB114" s="1">
        <f>LEN(Table1[[#This Row],[DRAM data]])</f>
        <v>64</v>
      </c>
      <c r="BC11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009036E11E703F8F5C4007AE3FCF5C3F87AE4007AE3FCF5C3F8F5C4007AE0002</v>
      </c>
      <c r="BV114"/>
    </row>
    <row r="115" spans="1:74" x14ac:dyDescent="0.25">
      <c r="A115" s="1" t="str">
        <f xml:space="preserve"> LEFT(Sng2String(Table1[[#This Row],[c bias]]), 6)</f>
        <v>3F90A3</v>
      </c>
      <c r="B115" s="1" t="str">
        <f xml:space="preserve"> LEFT(Sng2String(Table1[[#This Row],[a bias]]), 6)</f>
        <v>400851</v>
      </c>
      <c r="C115" s="1" t="str">
        <f xml:space="preserve"> LEFT(Sng2String(Table1[[#This Row],[g bias]]), 6)</f>
        <v>3FD0A3</v>
      </c>
      <c r="D115" s="1" t="str">
        <f xml:space="preserve"> LEFT(Sng2String(Table1[[#This Row],[t bias]]), 6)</f>
        <v>3F90A3</v>
      </c>
      <c r="E115" s="1" t="str">
        <f xml:space="preserve"> LEFT(Sng2String(Table1[[#This Row],[c gain]]), 6)</f>
        <v>400851</v>
      </c>
      <c r="F115" s="1" t="str">
        <f xml:space="preserve"> LEFT(Sng2String(Table1[[#This Row],[a gain]]), 6)</f>
        <v>3FD0A3</v>
      </c>
      <c r="G115" s="1" t="str">
        <f xml:space="preserve"> LEFT(Sng2String(Table1[[#This Row],[g gain]]), 6)</f>
        <v>3F8851</v>
      </c>
      <c r="H115" s="1" t="str">
        <f xml:space="preserve"> LEFT(Sng2String(Table1[[#This Row],[t gain]]), 6)</f>
        <v>400851</v>
      </c>
      <c r="I115" t="str">
        <f xml:space="preserve"> Sng2String(Table1[[#This Row],[c ptrace]])</f>
        <v>3F90A300</v>
      </c>
      <c r="J115" t="str">
        <f xml:space="preserve"> Sng2String(Table1[[#This Row],[a ptrace]])</f>
        <v>40085100</v>
      </c>
      <c r="K115" t="str">
        <f xml:space="preserve"> Sng2String(Table1[[#This Row],[g ptrace]])</f>
        <v>3FD0A300</v>
      </c>
      <c r="L115" t="str">
        <f>Sng2String(Table1[[#This Row],[t ptrace]])</f>
        <v>3F90A300</v>
      </c>
      <c r="M115" t="str">
        <f xml:space="preserve"> INDEX(SmallFP!$A$1:$A$256, Table1[[#This Row],[ISMI]]+1)</f>
        <v>42E400</v>
      </c>
      <c r="N115" t="str">
        <f>Single2String(Table1[[#This Row],[c ctrace]])</f>
        <v>4300D12C</v>
      </c>
      <c r="O115" t="str">
        <f>Single2String(Table1[[#This Row],[a ctrace]])</f>
        <v>4372D048</v>
      </c>
      <c r="P115" t="str">
        <f xml:space="preserve"> Single2String(Table1[[#This Row],[g ctrace]])</f>
        <v>4339D12C</v>
      </c>
      <c r="Q115" t="str">
        <f xml:space="preserve"> Single2String(Table1[[#This Row],[t ctrace]])</f>
        <v>4300D12C</v>
      </c>
      <c r="R115" t="str">
        <f>Single2String(Table1[[#This Row],[grn and red ctrace]])</f>
        <v>442B90F3</v>
      </c>
      <c r="S115">
        <v>113</v>
      </c>
      <c r="T115" t="str">
        <f>DEC2HEX(Table1[[#This Row],[ZMW num]])</f>
        <v>71</v>
      </c>
      <c r="U115">
        <f>Table1[[#This Row],[ZMW num]]+1</f>
        <v>114</v>
      </c>
      <c r="V115">
        <v>9</v>
      </c>
      <c r="W115">
        <f t="shared" si="2"/>
        <v>57</v>
      </c>
      <c r="X115">
        <v>227</v>
      </c>
      <c r="Y115">
        <v>28</v>
      </c>
      <c r="Z115">
        <f>MOD(Table1[[#This Row],[ZMW num]], 2^8)</f>
        <v>113</v>
      </c>
      <c r="AA115">
        <f xml:space="preserve"> String2Single(Table1[[#This Row],[t ISIM hex]] &amp; "00")</f>
        <v>114</v>
      </c>
      <c r="AB115">
        <f>'Pulse data'!O118</f>
        <v>0</v>
      </c>
      <c r="AC115">
        <f>Table1[[#This Row],[ZMW num]]*0.01</f>
        <v>1.1300000000000001</v>
      </c>
      <c r="AD115">
        <f>1+Table1[[#This Row],[t bias]]</f>
        <v>2.13</v>
      </c>
      <c r="AE115">
        <f>Table1[[#This Row],[t kinetic trace]]* String2Single(CONCATENATE(Table1[[#This Row],[t gain hex]], "00")) + String2Single(CONCATENATE(Table1[[#This Row],[t bias hex]], "00"))</f>
        <v>1.129974365234375</v>
      </c>
      <c r="AF115">
        <f xml:space="preserve"> Table1[[#This Row],[t ptrace]]*Table1[[#This Row],[ISM]]</f>
        <v>128.81707763671875</v>
      </c>
      <c r="AG115">
        <f>'Pulse data'!N118</f>
        <v>0</v>
      </c>
      <c r="AH115">
        <f>Table1[[#This Row],[t bias]]+0.5</f>
        <v>1.6300000000000001</v>
      </c>
      <c r="AI115">
        <f>Table1[[#This Row],[t gain]]/2</f>
        <v>1.0649999999999999</v>
      </c>
      <c r="AJ115">
        <f>Table1[[#This Row],[g kinetic trace]]* String2Single(CONCATENATE(Table1[[#This Row],[g gain hex]], "00")) + String2Single(CONCATENATE(Table1[[#This Row],[g bias hex]], "00"))</f>
        <v>1.629974365234375</v>
      </c>
      <c r="AK115">
        <f xml:space="preserve"> Table1[[#This Row],[g ptrace]]*Table1[[#This Row],[ISM]]</f>
        <v>185.81707763671875</v>
      </c>
      <c r="AL115">
        <f>'Pulse data'!M118</f>
        <v>0</v>
      </c>
      <c r="AM115">
        <f>Table1[[#This Row],[t bias]]+1</f>
        <v>2.13</v>
      </c>
      <c r="AN115">
        <f>Table1[[#This Row],[t gain]]-0.5</f>
        <v>1.63</v>
      </c>
      <c r="AO115">
        <f>Table1[[#This Row],[a kinetic trace]]* String2Single(CONCATENATE(Table1[[#This Row],[a gain hex]], "00")) + String2Single(CONCATENATE(Table1[[#This Row],[a bias hex]], "00"))</f>
        <v>2.12994384765625</v>
      </c>
      <c r="AP115">
        <f xml:space="preserve"> Table1[[#This Row],[a ptrace]]*Table1[[#This Row],[ISM]]</f>
        <v>242.8135986328125</v>
      </c>
      <c r="AQ115">
        <f>'Pulse data'!L118</f>
        <v>0</v>
      </c>
      <c r="AR115">
        <f>Table1[[#This Row],[t bias]]</f>
        <v>1.1300000000000001</v>
      </c>
      <c r="AS115">
        <f>Table1[[#This Row],[t gain]]</f>
        <v>2.13</v>
      </c>
      <c r="AT115">
        <f>Table1[[#This Row],[c kinetic trace]]* String2Single(CONCATENATE(Table1[[#This Row],[c gain hex]], "00")) + String2Single(CONCATENATE(Table1[[#This Row],[c bias hex]], "00"))</f>
        <v>1.129974365234375</v>
      </c>
      <c r="AU115">
        <f xml:space="preserve"> Table1[[#This Row],[c ptrace]]*Table1[[#This Row],[ISM]]</f>
        <v>128.81707763671875</v>
      </c>
      <c r="AV115">
        <f xml:space="preserve"> Table1[[#This Row],[t ctrace]] + Table1[[#This Row],[g ctrace]] + Table1[[#This Row],[a ctrace]] + Table1[[#This Row],[c ctrace]]</f>
        <v>686.26483154296875</v>
      </c>
      <c r="AW115" s="2" t="str">
        <f>DEC2HEX(Table1[[#This Row],[row]], 3)</f>
        <v>009</v>
      </c>
      <c r="AX115" s="1" t="str">
        <f>DEC2HEX(Table1[[#This Row],[col]], 3)</f>
        <v>039</v>
      </c>
      <c r="AY115" s="1" t="str">
        <f>DEC2HEX(Table1[[#This Row],[grn fsp idx]], 2)</f>
        <v>E3</v>
      </c>
      <c r="AZ115" s="1" t="str">
        <f>DEC2HEX(Table1[[#This Row],[red fsp idx]], 2)</f>
        <v>1C</v>
      </c>
      <c r="BA115" s="1" t="str">
        <f>DEC2HEX(Table1[[#This Row],[ISMI]], 2)</f>
        <v>71</v>
      </c>
      <c r="BB115" s="1">
        <f>LEN(Table1[[#This Row],[DRAM data]])</f>
        <v>64</v>
      </c>
      <c r="BC11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009039E31C713F90A34008513FD0A33F88514008513FD0A33F90A34008510002</v>
      </c>
      <c r="BV115"/>
    </row>
    <row r="116" spans="1:74" x14ac:dyDescent="0.25">
      <c r="A116" s="1" t="str">
        <f xml:space="preserve"> LEFT(Sng2String(Table1[[#This Row],[c bias]]), 6)</f>
        <v>3F91EB</v>
      </c>
      <c r="B116" s="1" t="str">
        <f xml:space="preserve"> LEFT(Sng2String(Table1[[#This Row],[a bias]]), 6)</f>
        <v>4008F5</v>
      </c>
      <c r="C116" s="1" t="str">
        <f xml:space="preserve"> LEFT(Sng2String(Table1[[#This Row],[g bias]]), 6)</f>
        <v>3FD1EB</v>
      </c>
      <c r="D116" s="1" t="str">
        <f xml:space="preserve"> LEFT(Sng2String(Table1[[#This Row],[t bias]]), 6)</f>
        <v>3F91EB</v>
      </c>
      <c r="E116" s="1" t="str">
        <f xml:space="preserve"> LEFT(Sng2String(Table1[[#This Row],[c gain]]), 6)</f>
        <v>4008F5</v>
      </c>
      <c r="F116" s="1" t="str">
        <f xml:space="preserve"> LEFT(Sng2String(Table1[[#This Row],[a gain]]), 6)</f>
        <v>3FD1EB</v>
      </c>
      <c r="G116" s="1" t="str">
        <f xml:space="preserve"> LEFT(Sng2String(Table1[[#This Row],[g gain]]), 6)</f>
        <v>3F88F5</v>
      </c>
      <c r="H116" s="1" t="str">
        <f xml:space="preserve"> LEFT(Sng2String(Table1[[#This Row],[t gain]]), 6)</f>
        <v>4008F5</v>
      </c>
      <c r="I116" t="str">
        <f xml:space="preserve"> Sng2String(Table1[[#This Row],[c ptrace]])</f>
        <v>3F91EB00</v>
      </c>
      <c r="J116" t="str">
        <f xml:space="preserve"> Sng2String(Table1[[#This Row],[a ptrace]])</f>
        <v>4008F500</v>
      </c>
      <c r="K116" t="str">
        <f xml:space="preserve"> Sng2String(Table1[[#This Row],[g ptrace]])</f>
        <v>3FD1EB00</v>
      </c>
      <c r="L116" t="str">
        <f>Sng2String(Table1[[#This Row],[t ptrace]])</f>
        <v>3F91EB00</v>
      </c>
      <c r="M116" t="str">
        <f xml:space="preserve"> INDEX(SmallFP!$A$1:$A$256, Table1[[#This Row],[ISMI]]+1)</f>
        <v>42E600</v>
      </c>
      <c r="N116" t="str">
        <f>Single2String(Table1[[#This Row],[c ctrace]])</f>
        <v>43031922</v>
      </c>
      <c r="O116" t="str">
        <f>Single2String(Table1[[#This Row],[a ctrace]])</f>
        <v>4376183C</v>
      </c>
      <c r="P116" t="str">
        <f xml:space="preserve"> Single2String(Table1[[#This Row],[g ctrace]])</f>
        <v>433C9922</v>
      </c>
      <c r="Q116" t="str">
        <f xml:space="preserve"> Single2String(Table1[[#This Row],[t ctrace]])</f>
        <v>43031922</v>
      </c>
      <c r="R116" t="str">
        <f>Single2String(Table1[[#This Row],[grn and red ctrace]])</f>
        <v>442E38E8</v>
      </c>
      <c r="S116">
        <v>114</v>
      </c>
      <c r="T116" t="str">
        <f>DEC2HEX(Table1[[#This Row],[ZMW num]])</f>
        <v>72</v>
      </c>
      <c r="U116">
        <f>Table1[[#This Row],[ZMW num]]+1</f>
        <v>115</v>
      </c>
      <c r="V116">
        <v>9</v>
      </c>
      <c r="W116">
        <f t="shared" si="2"/>
        <v>60</v>
      </c>
      <c r="X116">
        <v>229</v>
      </c>
      <c r="Y116">
        <v>26</v>
      </c>
      <c r="Z116">
        <f>MOD(Table1[[#This Row],[ZMW num]], 2^8)</f>
        <v>114</v>
      </c>
      <c r="AA116">
        <f xml:space="preserve"> String2Single(Table1[[#This Row],[t ISIM hex]] &amp; "00")</f>
        <v>115</v>
      </c>
      <c r="AB116">
        <f>'Pulse data'!O119</f>
        <v>0</v>
      </c>
      <c r="AC116">
        <f>Table1[[#This Row],[ZMW num]]*0.01</f>
        <v>1.1400000000000001</v>
      </c>
      <c r="AD116">
        <f>1+Table1[[#This Row],[t bias]]</f>
        <v>2.14</v>
      </c>
      <c r="AE116">
        <f>Table1[[#This Row],[t kinetic trace]]* String2Single(CONCATENATE(Table1[[#This Row],[t gain hex]], "00")) + String2Single(CONCATENATE(Table1[[#This Row],[t bias hex]], "00"))</f>
        <v>1.139984130859375</v>
      </c>
      <c r="AF116">
        <f xml:space="preserve"> Table1[[#This Row],[t ptrace]]*Table1[[#This Row],[ISM]]</f>
        <v>131.09817504882812</v>
      </c>
      <c r="AG116">
        <f>'Pulse data'!N119</f>
        <v>0</v>
      </c>
      <c r="AH116">
        <f>Table1[[#This Row],[t bias]]+0.5</f>
        <v>1.6400000000000001</v>
      </c>
      <c r="AI116">
        <f>Table1[[#This Row],[t gain]]/2</f>
        <v>1.07</v>
      </c>
      <c r="AJ116">
        <f>Table1[[#This Row],[g kinetic trace]]* String2Single(CONCATENATE(Table1[[#This Row],[g gain hex]], "00")) + String2Single(CONCATENATE(Table1[[#This Row],[g bias hex]], "00"))</f>
        <v>1.639984130859375</v>
      </c>
      <c r="AK116">
        <f xml:space="preserve"> Table1[[#This Row],[g ptrace]]*Table1[[#This Row],[ISM]]</f>
        <v>188.59817504882812</v>
      </c>
      <c r="AL116">
        <f>'Pulse data'!M119</f>
        <v>0</v>
      </c>
      <c r="AM116">
        <f>Table1[[#This Row],[t bias]]+1</f>
        <v>2.14</v>
      </c>
      <c r="AN116">
        <f>Table1[[#This Row],[t gain]]-0.5</f>
        <v>1.6400000000000001</v>
      </c>
      <c r="AO116">
        <f>Table1[[#This Row],[a kinetic trace]]* String2Single(CONCATENATE(Table1[[#This Row],[a gain hex]], "00")) + String2Single(CONCATENATE(Table1[[#This Row],[a bias hex]], "00"))</f>
        <v>2.13995361328125</v>
      </c>
      <c r="AP116">
        <f xml:space="preserve"> Table1[[#This Row],[a ptrace]]*Table1[[#This Row],[ISM]]</f>
        <v>246.09466552734375</v>
      </c>
      <c r="AQ116">
        <f>'Pulse data'!L119</f>
        <v>0</v>
      </c>
      <c r="AR116">
        <f>Table1[[#This Row],[t bias]]</f>
        <v>1.1400000000000001</v>
      </c>
      <c r="AS116">
        <f>Table1[[#This Row],[t gain]]</f>
        <v>2.14</v>
      </c>
      <c r="AT116">
        <f>Table1[[#This Row],[c kinetic trace]]* String2Single(CONCATENATE(Table1[[#This Row],[c gain hex]], "00")) + String2Single(CONCATENATE(Table1[[#This Row],[c bias hex]], "00"))</f>
        <v>1.139984130859375</v>
      </c>
      <c r="AU116">
        <f xml:space="preserve"> Table1[[#This Row],[c ptrace]]*Table1[[#This Row],[ISM]]</f>
        <v>131.09817504882812</v>
      </c>
      <c r="AV116">
        <f xml:space="preserve"> Table1[[#This Row],[t ctrace]] + Table1[[#This Row],[g ctrace]] + Table1[[#This Row],[a ctrace]] + Table1[[#This Row],[c ctrace]]</f>
        <v>696.88919067382812</v>
      </c>
      <c r="AW116" s="2" t="str">
        <f>DEC2HEX(Table1[[#This Row],[row]], 3)</f>
        <v>009</v>
      </c>
      <c r="AX116" s="1" t="str">
        <f>DEC2HEX(Table1[[#This Row],[col]], 3)</f>
        <v>03C</v>
      </c>
      <c r="AY116" s="1" t="str">
        <f>DEC2HEX(Table1[[#This Row],[grn fsp idx]], 2)</f>
        <v>E5</v>
      </c>
      <c r="AZ116" s="1" t="str">
        <f>DEC2HEX(Table1[[#This Row],[red fsp idx]], 2)</f>
        <v>1A</v>
      </c>
      <c r="BA116" s="1" t="str">
        <f>DEC2HEX(Table1[[#This Row],[ISMI]], 2)</f>
        <v>72</v>
      </c>
      <c r="BB116" s="1">
        <f>LEN(Table1[[#This Row],[DRAM data]])</f>
        <v>64</v>
      </c>
      <c r="BC11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00903CE51A723F91EB4008F53FD1EB3F88F54008F53FD1EB3F91EB4008F50002</v>
      </c>
      <c r="BV116"/>
    </row>
    <row r="117" spans="1:74" x14ac:dyDescent="0.25">
      <c r="A117" s="1" t="str">
        <f xml:space="preserve"> LEFT(Sng2String(Table1[[#This Row],[c bias]]), 6)</f>
        <v>3F9333</v>
      </c>
      <c r="B117" s="1" t="str">
        <f xml:space="preserve"> LEFT(Sng2String(Table1[[#This Row],[a bias]]), 6)</f>
        <v>400999</v>
      </c>
      <c r="C117" s="1" t="str">
        <f xml:space="preserve"> LEFT(Sng2String(Table1[[#This Row],[g bias]]), 6)</f>
        <v>3FD333</v>
      </c>
      <c r="D117" s="1" t="str">
        <f xml:space="preserve"> LEFT(Sng2String(Table1[[#This Row],[t bias]]), 6)</f>
        <v>3F9333</v>
      </c>
      <c r="E117" s="1" t="str">
        <f xml:space="preserve"> LEFT(Sng2String(Table1[[#This Row],[c gain]]), 6)</f>
        <v>400999</v>
      </c>
      <c r="F117" s="1" t="str">
        <f xml:space="preserve"> LEFT(Sng2String(Table1[[#This Row],[a gain]]), 6)</f>
        <v>3FD333</v>
      </c>
      <c r="G117" s="1" t="str">
        <f xml:space="preserve"> LEFT(Sng2String(Table1[[#This Row],[g gain]]), 6)</f>
        <v>3F8999</v>
      </c>
      <c r="H117" s="1" t="str">
        <f xml:space="preserve"> LEFT(Sng2String(Table1[[#This Row],[t gain]]), 6)</f>
        <v>400999</v>
      </c>
      <c r="I117" t="str">
        <f xml:space="preserve"> Sng2String(Table1[[#This Row],[c ptrace]])</f>
        <v>3F933300</v>
      </c>
      <c r="J117" t="str">
        <f xml:space="preserve"> Sng2String(Table1[[#This Row],[a ptrace]])</f>
        <v>40099900</v>
      </c>
      <c r="K117" t="str">
        <f xml:space="preserve"> Sng2String(Table1[[#This Row],[g ptrace]])</f>
        <v>3FD33300</v>
      </c>
      <c r="L117" t="str">
        <f>Sng2String(Table1[[#This Row],[t ptrace]])</f>
        <v>3F933300</v>
      </c>
      <c r="M117" t="str">
        <f xml:space="preserve"> INDEX(SmallFP!$A$1:$A$256, Table1[[#This Row],[ISMI]]+1)</f>
        <v>42E800</v>
      </c>
      <c r="N117" t="str">
        <f>Single2String(Table1[[#This Row],[c ctrace]])</f>
        <v>43056638</v>
      </c>
      <c r="O117" t="str">
        <f>Single2String(Table1[[#This Row],[a ctrace]])</f>
        <v>43796550</v>
      </c>
      <c r="P117" t="str">
        <f xml:space="preserve"> Single2String(Table1[[#This Row],[g ctrace]])</f>
        <v>433F6638</v>
      </c>
      <c r="Q117" t="str">
        <f xml:space="preserve"> Single2String(Table1[[#This Row],[t ctrace]])</f>
        <v>43056638</v>
      </c>
      <c r="R117" t="str">
        <f>Single2String(Table1[[#This Row],[grn and red ctrace]])</f>
        <v>4430E5FE</v>
      </c>
      <c r="S117">
        <v>115</v>
      </c>
      <c r="T117" t="str">
        <f>DEC2HEX(Table1[[#This Row],[ZMW num]])</f>
        <v>73</v>
      </c>
      <c r="U117">
        <f>Table1[[#This Row],[ZMW num]]+1</f>
        <v>116</v>
      </c>
      <c r="V117">
        <v>9</v>
      </c>
      <c r="W117">
        <f t="shared" si="2"/>
        <v>64</v>
      </c>
      <c r="X117">
        <v>231</v>
      </c>
      <c r="Y117">
        <v>24</v>
      </c>
      <c r="Z117">
        <f>MOD(Table1[[#This Row],[ZMW num]], 2^8)</f>
        <v>115</v>
      </c>
      <c r="AA117">
        <f xml:space="preserve"> String2Single(Table1[[#This Row],[t ISIM hex]] &amp; "00")</f>
        <v>116</v>
      </c>
      <c r="AB117">
        <f>'Pulse data'!O120</f>
        <v>0</v>
      </c>
      <c r="AC117">
        <f>Table1[[#This Row],[ZMW num]]*0.01</f>
        <v>1.1500000000000001</v>
      </c>
      <c r="AD117">
        <f>1+Table1[[#This Row],[t bias]]</f>
        <v>2.1500000000000004</v>
      </c>
      <c r="AE117">
        <f>Table1[[#This Row],[t kinetic trace]]* String2Single(CONCATENATE(Table1[[#This Row],[t gain hex]], "00")) + String2Single(CONCATENATE(Table1[[#This Row],[t bias hex]], "00"))</f>
        <v>1.149993896484375</v>
      </c>
      <c r="AF117">
        <f xml:space="preserve"> Table1[[#This Row],[t ptrace]]*Table1[[#This Row],[ISM]]</f>
        <v>133.3992919921875</v>
      </c>
      <c r="AG117">
        <f>'Pulse data'!N120</f>
        <v>0</v>
      </c>
      <c r="AH117">
        <f>Table1[[#This Row],[t bias]]+0.5</f>
        <v>1.6500000000000001</v>
      </c>
      <c r="AI117">
        <f>Table1[[#This Row],[t gain]]/2</f>
        <v>1.0750000000000002</v>
      </c>
      <c r="AJ117">
        <f>Table1[[#This Row],[g kinetic trace]]* String2Single(CONCATENATE(Table1[[#This Row],[g gain hex]], "00")) + String2Single(CONCATENATE(Table1[[#This Row],[g bias hex]], "00"))</f>
        <v>1.649993896484375</v>
      </c>
      <c r="AK117">
        <f xml:space="preserve"> Table1[[#This Row],[g ptrace]]*Table1[[#This Row],[ISM]]</f>
        <v>191.3992919921875</v>
      </c>
      <c r="AL117">
        <f>'Pulse data'!M120</f>
        <v>0</v>
      </c>
      <c r="AM117">
        <f>Table1[[#This Row],[t bias]]+1</f>
        <v>2.1500000000000004</v>
      </c>
      <c r="AN117">
        <f>Table1[[#This Row],[t gain]]-0.5</f>
        <v>1.6500000000000004</v>
      </c>
      <c r="AO117">
        <f>Table1[[#This Row],[a kinetic trace]]* String2Single(CONCATENATE(Table1[[#This Row],[a gain hex]], "00")) + String2Single(CONCATENATE(Table1[[#This Row],[a bias hex]], "00"))</f>
        <v>2.14996337890625</v>
      </c>
      <c r="AP117">
        <f xml:space="preserve"> Table1[[#This Row],[a ptrace]]*Table1[[#This Row],[ISM]]</f>
        <v>249.395751953125</v>
      </c>
      <c r="AQ117">
        <f>'Pulse data'!L120</f>
        <v>0</v>
      </c>
      <c r="AR117">
        <f>Table1[[#This Row],[t bias]]</f>
        <v>1.1500000000000001</v>
      </c>
      <c r="AS117">
        <f>Table1[[#This Row],[t gain]]</f>
        <v>2.1500000000000004</v>
      </c>
      <c r="AT117">
        <f>Table1[[#This Row],[c kinetic trace]]* String2Single(CONCATENATE(Table1[[#This Row],[c gain hex]], "00")) + String2Single(CONCATENATE(Table1[[#This Row],[c bias hex]], "00"))</f>
        <v>1.149993896484375</v>
      </c>
      <c r="AU117">
        <f xml:space="preserve"> Table1[[#This Row],[c ptrace]]*Table1[[#This Row],[ISM]]</f>
        <v>133.3992919921875</v>
      </c>
      <c r="AV117">
        <f xml:space="preserve"> Table1[[#This Row],[t ctrace]] + Table1[[#This Row],[g ctrace]] + Table1[[#This Row],[a ctrace]] + Table1[[#This Row],[c ctrace]]</f>
        <v>707.5936279296875</v>
      </c>
      <c r="AW117" s="2" t="str">
        <f>DEC2HEX(Table1[[#This Row],[row]], 3)</f>
        <v>009</v>
      </c>
      <c r="AX117" s="1" t="str">
        <f>DEC2HEX(Table1[[#This Row],[col]], 3)</f>
        <v>040</v>
      </c>
      <c r="AY117" s="1" t="str">
        <f>DEC2HEX(Table1[[#This Row],[grn fsp idx]], 2)</f>
        <v>E7</v>
      </c>
      <c r="AZ117" s="1" t="str">
        <f>DEC2HEX(Table1[[#This Row],[red fsp idx]], 2)</f>
        <v>18</v>
      </c>
      <c r="BA117" s="1" t="str">
        <f>DEC2HEX(Table1[[#This Row],[ISMI]], 2)</f>
        <v>73</v>
      </c>
      <c r="BB117" s="1">
        <f>LEN(Table1[[#This Row],[DRAM data]])</f>
        <v>64</v>
      </c>
      <c r="BC11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009040E718733F93334009993FD3333F89994009993FD3333F93334009990002</v>
      </c>
      <c r="BV117"/>
    </row>
    <row r="118" spans="1:74" x14ac:dyDescent="0.25">
      <c r="A118" s="1" t="str">
        <f xml:space="preserve"> LEFT(Sng2String(Table1[[#This Row],[c bias]]), 6)</f>
        <v>3F947A</v>
      </c>
      <c r="B118" s="1" t="str">
        <f xml:space="preserve"> LEFT(Sng2String(Table1[[#This Row],[a bias]]), 6)</f>
        <v>400A3D</v>
      </c>
      <c r="C118" s="1" t="str">
        <f xml:space="preserve"> LEFT(Sng2String(Table1[[#This Row],[g bias]]), 6)</f>
        <v>3FD47A</v>
      </c>
      <c r="D118" s="1" t="str">
        <f xml:space="preserve"> LEFT(Sng2String(Table1[[#This Row],[t bias]]), 6)</f>
        <v>3F947A</v>
      </c>
      <c r="E118" s="1" t="str">
        <f xml:space="preserve"> LEFT(Sng2String(Table1[[#This Row],[c gain]]), 6)</f>
        <v>400A3D</v>
      </c>
      <c r="F118" s="1" t="str">
        <f xml:space="preserve"> LEFT(Sng2String(Table1[[#This Row],[a gain]]), 6)</f>
        <v>3FD47A</v>
      </c>
      <c r="G118" s="1" t="str">
        <f xml:space="preserve"> LEFT(Sng2String(Table1[[#This Row],[g gain]]), 6)</f>
        <v>3F8A3D</v>
      </c>
      <c r="H118" s="1" t="str">
        <f xml:space="preserve"> LEFT(Sng2String(Table1[[#This Row],[t gain]]), 6)</f>
        <v>400A3D</v>
      </c>
      <c r="I118" t="str">
        <f xml:space="preserve"> Sng2String(Table1[[#This Row],[c ptrace]])</f>
        <v>3F947A00</v>
      </c>
      <c r="J118" t="str">
        <f xml:space="preserve"> Sng2String(Table1[[#This Row],[a ptrace]])</f>
        <v>400A3D00</v>
      </c>
      <c r="K118" t="str">
        <f xml:space="preserve"> Sng2String(Table1[[#This Row],[g ptrace]])</f>
        <v>3FD47A00</v>
      </c>
      <c r="L118" t="str">
        <f>Sng2String(Table1[[#This Row],[t ptrace]])</f>
        <v>3F947A00</v>
      </c>
      <c r="M118" t="str">
        <f xml:space="preserve"> INDEX(SmallFP!$A$1:$A$256, Table1[[#This Row],[ISMI]]+1)</f>
        <v>42EA00</v>
      </c>
      <c r="N118" t="str">
        <f>Single2String(Table1[[#This Row],[c ctrace]])</f>
        <v>4307B784</v>
      </c>
      <c r="O118" t="str">
        <f>Single2String(Table1[[#This Row],[a ctrace]])</f>
        <v>437CB784</v>
      </c>
      <c r="P118" t="str">
        <f xml:space="preserve"> Single2String(Table1[[#This Row],[g ctrace]])</f>
        <v>43423784</v>
      </c>
      <c r="Q118" t="str">
        <f xml:space="preserve"> Single2String(Table1[[#This Row],[t ctrace]])</f>
        <v>4307B784</v>
      </c>
      <c r="R118" t="str">
        <f>Single2String(Table1[[#This Row],[grn and red ctrace]])</f>
        <v>44339784</v>
      </c>
      <c r="S118">
        <v>116</v>
      </c>
      <c r="T118" t="str">
        <f>DEC2HEX(Table1[[#This Row],[ZMW num]])</f>
        <v>74</v>
      </c>
      <c r="U118">
        <f>Table1[[#This Row],[ZMW num]]+1</f>
        <v>117</v>
      </c>
      <c r="V118">
        <v>9</v>
      </c>
      <c r="W118">
        <f t="shared" si="2"/>
        <v>66</v>
      </c>
      <c r="X118">
        <v>233</v>
      </c>
      <c r="Y118">
        <v>22</v>
      </c>
      <c r="Z118">
        <f>MOD(Table1[[#This Row],[ZMW num]], 2^8)</f>
        <v>116</v>
      </c>
      <c r="AA118">
        <f xml:space="preserve"> String2Single(Table1[[#This Row],[t ISIM hex]] &amp; "00")</f>
        <v>117</v>
      </c>
      <c r="AB118">
        <f>'Pulse data'!O121</f>
        <v>0</v>
      </c>
      <c r="AC118">
        <f>Table1[[#This Row],[ZMW num]]*0.01</f>
        <v>1.1599999999999999</v>
      </c>
      <c r="AD118">
        <f>1+Table1[[#This Row],[t bias]]</f>
        <v>2.16</v>
      </c>
      <c r="AE118">
        <f>Table1[[#This Row],[t kinetic trace]]* String2Single(CONCATENATE(Table1[[#This Row],[t gain hex]], "00")) + String2Single(CONCATENATE(Table1[[#This Row],[t bias hex]], "00"))</f>
        <v>1.15997314453125</v>
      </c>
      <c r="AF118">
        <f xml:space="preserve"> Table1[[#This Row],[t ptrace]]*Table1[[#This Row],[ISM]]</f>
        <v>135.71685791015625</v>
      </c>
      <c r="AG118">
        <f>'Pulse data'!N121</f>
        <v>0</v>
      </c>
      <c r="AH118">
        <f>Table1[[#This Row],[t bias]]+0.5</f>
        <v>1.66</v>
      </c>
      <c r="AI118">
        <f>Table1[[#This Row],[t gain]]/2</f>
        <v>1.08</v>
      </c>
      <c r="AJ118">
        <f>Table1[[#This Row],[g kinetic trace]]* String2Single(CONCATENATE(Table1[[#This Row],[g gain hex]], "00")) + String2Single(CONCATENATE(Table1[[#This Row],[g bias hex]], "00"))</f>
        <v>1.65997314453125</v>
      </c>
      <c r="AK118">
        <f xml:space="preserve"> Table1[[#This Row],[g ptrace]]*Table1[[#This Row],[ISM]]</f>
        <v>194.21685791015625</v>
      </c>
      <c r="AL118">
        <f>'Pulse data'!M121</f>
        <v>0</v>
      </c>
      <c r="AM118">
        <f>Table1[[#This Row],[t bias]]+1</f>
        <v>2.16</v>
      </c>
      <c r="AN118">
        <f>Table1[[#This Row],[t gain]]-0.5</f>
        <v>1.6600000000000001</v>
      </c>
      <c r="AO118">
        <f>Table1[[#This Row],[a kinetic trace]]* String2Single(CONCATENATE(Table1[[#This Row],[a gain hex]], "00")) + String2Single(CONCATENATE(Table1[[#This Row],[a bias hex]], "00"))</f>
        <v>2.15997314453125</v>
      </c>
      <c r="AP118">
        <f xml:space="preserve"> Table1[[#This Row],[a ptrace]]*Table1[[#This Row],[ISM]]</f>
        <v>252.71685791015625</v>
      </c>
      <c r="AQ118">
        <f>'Pulse data'!L121</f>
        <v>0</v>
      </c>
      <c r="AR118">
        <f>Table1[[#This Row],[t bias]]</f>
        <v>1.1599999999999999</v>
      </c>
      <c r="AS118">
        <f>Table1[[#This Row],[t gain]]</f>
        <v>2.16</v>
      </c>
      <c r="AT118">
        <f>Table1[[#This Row],[c kinetic trace]]* String2Single(CONCATENATE(Table1[[#This Row],[c gain hex]], "00")) + String2Single(CONCATENATE(Table1[[#This Row],[c bias hex]], "00"))</f>
        <v>1.15997314453125</v>
      </c>
      <c r="AU118">
        <f xml:space="preserve"> Table1[[#This Row],[c ptrace]]*Table1[[#This Row],[ISM]]</f>
        <v>135.71685791015625</v>
      </c>
      <c r="AV118">
        <f xml:space="preserve"> Table1[[#This Row],[t ctrace]] + Table1[[#This Row],[g ctrace]] + Table1[[#This Row],[a ctrace]] + Table1[[#This Row],[c ctrace]]</f>
        <v>718.367431640625</v>
      </c>
      <c r="AW118" s="2" t="str">
        <f>DEC2HEX(Table1[[#This Row],[row]], 3)</f>
        <v>009</v>
      </c>
      <c r="AX118" s="1" t="str">
        <f>DEC2HEX(Table1[[#This Row],[col]], 3)</f>
        <v>042</v>
      </c>
      <c r="AY118" s="1" t="str">
        <f>DEC2HEX(Table1[[#This Row],[grn fsp idx]], 2)</f>
        <v>E9</v>
      </c>
      <c r="AZ118" s="1" t="str">
        <f>DEC2HEX(Table1[[#This Row],[red fsp idx]], 2)</f>
        <v>16</v>
      </c>
      <c r="BA118" s="1" t="str">
        <f>DEC2HEX(Table1[[#This Row],[ISMI]], 2)</f>
        <v>74</v>
      </c>
      <c r="BB118" s="1">
        <f>LEN(Table1[[#This Row],[DRAM data]])</f>
        <v>64</v>
      </c>
      <c r="BC11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009042E916743F947A400A3D3FD47A3F8A3D400A3D3FD47A3F947A400A3D0002</v>
      </c>
      <c r="BV118"/>
    </row>
    <row r="119" spans="1:74" x14ac:dyDescent="0.25">
      <c r="A119" s="1" t="str">
        <f xml:space="preserve"> LEFT(Sng2String(Table1[[#This Row],[c bias]]), 6)</f>
        <v>3F95C2</v>
      </c>
      <c r="B119" s="1" t="str">
        <f xml:space="preserve"> LEFT(Sng2String(Table1[[#This Row],[a bias]]), 6)</f>
        <v>400AE1</v>
      </c>
      <c r="C119" s="1" t="str">
        <f xml:space="preserve"> LEFT(Sng2String(Table1[[#This Row],[g bias]]), 6)</f>
        <v>3FD5C2</v>
      </c>
      <c r="D119" s="1" t="str">
        <f xml:space="preserve"> LEFT(Sng2String(Table1[[#This Row],[t bias]]), 6)</f>
        <v>3F95C2</v>
      </c>
      <c r="E119" s="1" t="str">
        <f xml:space="preserve"> LEFT(Sng2String(Table1[[#This Row],[c gain]]), 6)</f>
        <v>400AE1</v>
      </c>
      <c r="F119" s="1" t="str">
        <f xml:space="preserve"> LEFT(Sng2String(Table1[[#This Row],[a gain]]), 6)</f>
        <v>3FD5C2</v>
      </c>
      <c r="G119" s="1" t="str">
        <f xml:space="preserve"> LEFT(Sng2String(Table1[[#This Row],[g gain]]), 6)</f>
        <v>3F8AE1</v>
      </c>
      <c r="H119" s="1" t="str">
        <f xml:space="preserve"> LEFT(Sng2String(Table1[[#This Row],[t gain]]), 6)</f>
        <v>400AE1</v>
      </c>
      <c r="I119" t="str">
        <f xml:space="preserve"> Sng2String(Table1[[#This Row],[c ptrace]])</f>
        <v>3F95C200</v>
      </c>
      <c r="J119" t="str">
        <f xml:space="preserve"> Sng2String(Table1[[#This Row],[a ptrace]])</f>
        <v>400AE100</v>
      </c>
      <c r="K119" t="str">
        <f xml:space="preserve"> Sng2String(Table1[[#This Row],[g ptrace]])</f>
        <v>3FD5C200</v>
      </c>
      <c r="L119" t="str">
        <f>Sng2String(Table1[[#This Row],[t ptrace]])</f>
        <v>3F95C200</v>
      </c>
      <c r="M119" t="str">
        <f xml:space="preserve"> INDEX(SmallFP!$A$1:$A$256, Table1[[#This Row],[ISMI]]+1)</f>
        <v>42EC00</v>
      </c>
      <c r="N119" t="str">
        <f>Single2String(Table1[[#This Row],[c ctrace]])</f>
        <v>430A0ED8</v>
      </c>
      <c r="O119" t="str">
        <f>Single2String(Table1[[#This Row],[a ctrace]])</f>
        <v>4380076C</v>
      </c>
      <c r="P119" t="str">
        <f xml:space="preserve"> Single2String(Table1[[#This Row],[g ctrace]])</f>
        <v>43450ED8</v>
      </c>
      <c r="Q119" t="str">
        <f xml:space="preserve"> Single2String(Table1[[#This Row],[t ctrace]])</f>
        <v>430A0ED8</v>
      </c>
      <c r="R119" t="str">
        <f>Single2String(Table1[[#This Row],[grn and red ctrace]])</f>
        <v>44364ED8</v>
      </c>
      <c r="S119">
        <v>117</v>
      </c>
      <c r="T119" t="str">
        <f>DEC2HEX(Table1[[#This Row],[ZMW num]])</f>
        <v>75</v>
      </c>
      <c r="U119">
        <f>Table1[[#This Row],[ZMW num]]+1</f>
        <v>118</v>
      </c>
      <c r="V119">
        <v>9</v>
      </c>
      <c r="W119">
        <f t="shared" si="2"/>
        <v>69</v>
      </c>
      <c r="X119">
        <v>235</v>
      </c>
      <c r="Y119">
        <v>20</v>
      </c>
      <c r="Z119">
        <f>MOD(Table1[[#This Row],[ZMW num]], 2^8)</f>
        <v>117</v>
      </c>
      <c r="AA119">
        <f xml:space="preserve"> String2Single(Table1[[#This Row],[t ISIM hex]] &amp; "00")</f>
        <v>118</v>
      </c>
      <c r="AB119">
        <f>'Pulse data'!O122</f>
        <v>0</v>
      </c>
      <c r="AC119">
        <f>Table1[[#This Row],[ZMW num]]*0.01</f>
        <v>1.17</v>
      </c>
      <c r="AD119">
        <f>1+Table1[[#This Row],[t bias]]</f>
        <v>2.17</v>
      </c>
      <c r="AE119">
        <f>Table1[[#This Row],[t kinetic trace]]* String2Single(CONCATENATE(Table1[[#This Row],[t gain hex]], "00")) + String2Single(CONCATENATE(Table1[[#This Row],[t bias hex]], "00"))</f>
        <v>1.16998291015625</v>
      </c>
      <c r="AF119">
        <f xml:space="preserve"> Table1[[#This Row],[t ptrace]]*Table1[[#This Row],[ISM]]</f>
        <v>138.0579833984375</v>
      </c>
      <c r="AG119">
        <f>'Pulse data'!N122</f>
        <v>0</v>
      </c>
      <c r="AH119">
        <f>Table1[[#This Row],[t bias]]+0.5</f>
        <v>1.67</v>
      </c>
      <c r="AI119">
        <f>Table1[[#This Row],[t gain]]/2</f>
        <v>1.085</v>
      </c>
      <c r="AJ119">
        <f>Table1[[#This Row],[g kinetic trace]]* String2Single(CONCATENATE(Table1[[#This Row],[g gain hex]], "00")) + String2Single(CONCATENATE(Table1[[#This Row],[g bias hex]], "00"))</f>
        <v>1.66998291015625</v>
      </c>
      <c r="AK119">
        <f xml:space="preserve"> Table1[[#This Row],[g ptrace]]*Table1[[#This Row],[ISM]]</f>
        <v>197.0579833984375</v>
      </c>
      <c r="AL119">
        <f>'Pulse data'!M122</f>
        <v>0</v>
      </c>
      <c r="AM119">
        <f>Table1[[#This Row],[t bias]]+1</f>
        <v>2.17</v>
      </c>
      <c r="AN119">
        <f>Table1[[#This Row],[t gain]]-0.5</f>
        <v>1.67</v>
      </c>
      <c r="AO119">
        <f>Table1[[#This Row],[a kinetic trace]]* String2Single(CONCATENATE(Table1[[#This Row],[a gain hex]], "00")) + String2Single(CONCATENATE(Table1[[#This Row],[a bias hex]], "00"))</f>
        <v>2.16998291015625</v>
      </c>
      <c r="AP119">
        <f xml:space="preserve"> Table1[[#This Row],[a ptrace]]*Table1[[#This Row],[ISM]]</f>
        <v>256.0579833984375</v>
      </c>
      <c r="AQ119">
        <f>'Pulse data'!L122</f>
        <v>0</v>
      </c>
      <c r="AR119">
        <f>Table1[[#This Row],[t bias]]</f>
        <v>1.17</v>
      </c>
      <c r="AS119">
        <f>Table1[[#This Row],[t gain]]</f>
        <v>2.17</v>
      </c>
      <c r="AT119">
        <f>Table1[[#This Row],[c kinetic trace]]* String2Single(CONCATENATE(Table1[[#This Row],[c gain hex]], "00")) + String2Single(CONCATENATE(Table1[[#This Row],[c bias hex]], "00"))</f>
        <v>1.16998291015625</v>
      </c>
      <c r="AU119">
        <f xml:space="preserve"> Table1[[#This Row],[c ptrace]]*Table1[[#This Row],[ISM]]</f>
        <v>138.0579833984375</v>
      </c>
      <c r="AV119">
        <f xml:space="preserve"> Table1[[#This Row],[t ctrace]] + Table1[[#This Row],[g ctrace]] + Table1[[#This Row],[a ctrace]] + Table1[[#This Row],[c ctrace]]</f>
        <v>729.23193359375</v>
      </c>
      <c r="AW119" s="2" t="str">
        <f>DEC2HEX(Table1[[#This Row],[row]], 3)</f>
        <v>009</v>
      </c>
      <c r="AX119" s="1" t="str">
        <f>DEC2HEX(Table1[[#This Row],[col]], 3)</f>
        <v>045</v>
      </c>
      <c r="AY119" s="1" t="str">
        <f>DEC2HEX(Table1[[#This Row],[grn fsp idx]], 2)</f>
        <v>EB</v>
      </c>
      <c r="AZ119" s="1" t="str">
        <f>DEC2HEX(Table1[[#This Row],[red fsp idx]], 2)</f>
        <v>14</v>
      </c>
      <c r="BA119" s="1" t="str">
        <f>DEC2HEX(Table1[[#This Row],[ISMI]], 2)</f>
        <v>75</v>
      </c>
      <c r="BB119" s="1">
        <f>LEN(Table1[[#This Row],[DRAM data]])</f>
        <v>64</v>
      </c>
      <c r="BC11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009045EB14753F95C2400AE13FD5C23F8AE1400AE13FD5C23F95C2400AE10002</v>
      </c>
      <c r="BV119"/>
    </row>
    <row r="120" spans="1:74" x14ac:dyDescent="0.25">
      <c r="A120" s="1" t="str">
        <f xml:space="preserve"> LEFT(Sng2String(Table1[[#This Row],[c bias]]), 6)</f>
        <v>3F970A</v>
      </c>
      <c r="B120" s="1" t="str">
        <f xml:space="preserve"> LEFT(Sng2String(Table1[[#This Row],[a bias]]), 6)</f>
        <v>400B85</v>
      </c>
      <c r="C120" s="1" t="str">
        <f xml:space="preserve"> LEFT(Sng2String(Table1[[#This Row],[g bias]]), 6)</f>
        <v>3FD70A</v>
      </c>
      <c r="D120" s="1" t="str">
        <f xml:space="preserve"> LEFT(Sng2String(Table1[[#This Row],[t bias]]), 6)</f>
        <v>3F970A</v>
      </c>
      <c r="E120" s="1" t="str">
        <f xml:space="preserve"> LEFT(Sng2String(Table1[[#This Row],[c gain]]), 6)</f>
        <v>400B85</v>
      </c>
      <c r="F120" s="1" t="str">
        <f xml:space="preserve"> LEFT(Sng2String(Table1[[#This Row],[a gain]]), 6)</f>
        <v>3FD70A</v>
      </c>
      <c r="G120" s="1" t="str">
        <f xml:space="preserve"> LEFT(Sng2String(Table1[[#This Row],[g gain]]), 6)</f>
        <v>3F8B85</v>
      </c>
      <c r="H120" s="1" t="str">
        <f xml:space="preserve"> LEFT(Sng2String(Table1[[#This Row],[t gain]]), 6)</f>
        <v>400B85</v>
      </c>
      <c r="I120" t="str">
        <f xml:space="preserve"> Sng2String(Table1[[#This Row],[c ptrace]])</f>
        <v>3F970A00</v>
      </c>
      <c r="J120" t="str">
        <f xml:space="preserve"> Sng2String(Table1[[#This Row],[a ptrace]])</f>
        <v>400B8500</v>
      </c>
      <c r="K120" t="str">
        <f xml:space="preserve"> Sng2String(Table1[[#This Row],[g ptrace]])</f>
        <v>3FD70A00</v>
      </c>
      <c r="L120" t="str">
        <f>Sng2String(Table1[[#This Row],[t ptrace]])</f>
        <v>3F970A00</v>
      </c>
      <c r="M120" t="str">
        <f xml:space="preserve"> INDEX(SmallFP!$A$1:$A$256, Table1[[#This Row],[ISMI]]+1)</f>
        <v>42EE00</v>
      </c>
      <c r="N120" t="str">
        <f>Single2String(Table1[[#This Row],[c ctrace]])</f>
        <v>430C6B4C</v>
      </c>
      <c r="O120" t="str">
        <f>Single2String(Table1[[#This Row],[a ctrace]])</f>
        <v>4381B5A6</v>
      </c>
      <c r="P120" t="str">
        <f xml:space="preserve"> Single2String(Table1[[#This Row],[g ctrace]])</f>
        <v>4347EB4C</v>
      </c>
      <c r="Q120" t="str">
        <f xml:space="preserve"> Single2String(Table1[[#This Row],[t ctrace]])</f>
        <v>430C6B4C</v>
      </c>
      <c r="R120" t="str">
        <f>Single2String(Table1[[#This Row],[grn and red ctrace]])</f>
        <v>44390B4C</v>
      </c>
      <c r="S120">
        <v>118</v>
      </c>
      <c r="T120" t="str">
        <f>DEC2HEX(Table1[[#This Row],[ZMW num]])</f>
        <v>76</v>
      </c>
      <c r="U120">
        <f>Table1[[#This Row],[ZMW num]]+1</f>
        <v>119</v>
      </c>
      <c r="V120">
        <v>9</v>
      </c>
      <c r="W120">
        <f t="shared" si="2"/>
        <v>72</v>
      </c>
      <c r="X120">
        <v>237</v>
      </c>
      <c r="Y120">
        <v>18</v>
      </c>
      <c r="Z120">
        <f>MOD(Table1[[#This Row],[ZMW num]], 2^8)</f>
        <v>118</v>
      </c>
      <c r="AA120">
        <f xml:space="preserve"> String2Single(Table1[[#This Row],[t ISIM hex]] &amp; "00")</f>
        <v>119</v>
      </c>
      <c r="AB120">
        <f>'Pulse data'!O123</f>
        <v>0</v>
      </c>
      <c r="AC120">
        <f>Table1[[#This Row],[ZMW num]]*0.01</f>
        <v>1.18</v>
      </c>
      <c r="AD120">
        <f>1+Table1[[#This Row],[t bias]]</f>
        <v>2.1799999999999997</v>
      </c>
      <c r="AE120">
        <f>Table1[[#This Row],[t kinetic trace]]* String2Single(CONCATENATE(Table1[[#This Row],[t gain hex]], "00")) + String2Single(CONCATENATE(Table1[[#This Row],[t bias hex]], "00"))</f>
        <v>1.17999267578125</v>
      </c>
      <c r="AF120">
        <f xml:space="preserve"> Table1[[#This Row],[t ptrace]]*Table1[[#This Row],[ISM]]</f>
        <v>140.41912841796875</v>
      </c>
      <c r="AG120">
        <f>'Pulse data'!N123</f>
        <v>0</v>
      </c>
      <c r="AH120">
        <f>Table1[[#This Row],[t bias]]+0.5</f>
        <v>1.68</v>
      </c>
      <c r="AI120">
        <f>Table1[[#This Row],[t gain]]/2</f>
        <v>1.0899999999999999</v>
      </c>
      <c r="AJ120">
        <f>Table1[[#This Row],[g kinetic trace]]* String2Single(CONCATENATE(Table1[[#This Row],[g gain hex]], "00")) + String2Single(CONCATENATE(Table1[[#This Row],[g bias hex]], "00"))</f>
        <v>1.67999267578125</v>
      </c>
      <c r="AK120">
        <f xml:space="preserve"> Table1[[#This Row],[g ptrace]]*Table1[[#This Row],[ISM]]</f>
        <v>199.91912841796875</v>
      </c>
      <c r="AL120">
        <f>'Pulse data'!M123</f>
        <v>0</v>
      </c>
      <c r="AM120">
        <f>Table1[[#This Row],[t bias]]+1</f>
        <v>2.1799999999999997</v>
      </c>
      <c r="AN120">
        <f>Table1[[#This Row],[t gain]]-0.5</f>
        <v>1.6799999999999997</v>
      </c>
      <c r="AO120">
        <f>Table1[[#This Row],[a kinetic trace]]* String2Single(CONCATENATE(Table1[[#This Row],[a gain hex]], "00")) + String2Single(CONCATENATE(Table1[[#This Row],[a bias hex]], "00"))</f>
        <v>2.17999267578125</v>
      </c>
      <c r="AP120">
        <f xml:space="preserve"> Table1[[#This Row],[a ptrace]]*Table1[[#This Row],[ISM]]</f>
        <v>259.41912841796875</v>
      </c>
      <c r="AQ120">
        <f>'Pulse data'!L123</f>
        <v>0</v>
      </c>
      <c r="AR120">
        <f>Table1[[#This Row],[t bias]]</f>
        <v>1.18</v>
      </c>
      <c r="AS120">
        <f>Table1[[#This Row],[t gain]]</f>
        <v>2.1799999999999997</v>
      </c>
      <c r="AT120">
        <f>Table1[[#This Row],[c kinetic trace]]* String2Single(CONCATENATE(Table1[[#This Row],[c gain hex]], "00")) + String2Single(CONCATENATE(Table1[[#This Row],[c bias hex]], "00"))</f>
        <v>1.17999267578125</v>
      </c>
      <c r="AU120">
        <f xml:space="preserve"> Table1[[#This Row],[c ptrace]]*Table1[[#This Row],[ISM]]</f>
        <v>140.41912841796875</v>
      </c>
      <c r="AV120">
        <f xml:space="preserve"> Table1[[#This Row],[t ctrace]] + Table1[[#This Row],[g ctrace]] + Table1[[#This Row],[a ctrace]] + Table1[[#This Row],[c ctrace]]</f>
        <v>740.176513671875</v>
      </c>
      <c r="AW120" s="2" t="str">
        <f>DEC2HEX(Table1[[#This Row],[row]], 3)</f>
        <v>009</v>
      </c>
      <c r="AX120" s="1" t="str">
        <f>DEC2HEX(Table1[[#This Row],[col]], 3)</f>
        <v>048</v>
      </c>
      <c r="AY120" s="1" t="str">
        <f>DEC2HEX(Table1[[#This Row],[grn fsp idx]], 2)</f>
        <v>ED</v>
      </c>
      <c r="AZ120" s="1" t="str">
        <f>DEC2HEX(Table1[[#This Row],[red fsp idx]], 2)</f>
        <v>12</v>
      </c>
      <c r="BA120" s="1" t="str">
        <f>DEC2HEX(Table1[[#This Row],[ISMI]], 2)</f>
        <v>76</v>
      </c>
      <c r="BB120" s="1">
        <f>LEN(Table1[[#This Row],[DRAM data]])</f>
        <v>64</v>
      </c>
      <c r="BC12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009048ED12763F970A400B853FD70A3F8B85400B853FD70A3F970A400B850002</v>
      </c>
      <c r="BV120"/>
    </row>
    <row r="121" spans="1:74" x14ac:dyDescent="0.25">
      <c r="A121" s="1" t="str">
        <f xml:space="preserve"> LEFT(Sng2String(Table1[[#This Row],[c bias]]), 6)</f>
        <v>3F9851</v>
      </c>
      <c r="B121" s="1" t="str">
        <f xml:space="preserve"> LEFT(Sng2String(Table1[[#This Row],[a bias]]), 6)</f>
        <v>400C28</v>
      </c>
      <c r="C121" s="1" t="str">
        <f xml:space="preserve"> LEFT(Sng2String(Table1[[#This Row],[g bias]]), 6)</f>
        <v>3FD851</v>
      </c>
      <c r="D121" s="1" t="str">
        <f xml:space="preserve"> LEFT(Sng2String(Table1[[#This Row],[t bias]]), 6)</f>
        <v>3F9851</v>
      </c>
      <c r="E121" s="1" t="str">
        <f xml:space="preserve"> LEFT(Sng2String(Table1[[#This Row],[c gain]]), 6)</f>
        <v>400C28</v>
      </c>
      <c r="F121" s="1" t="str">
        <f xml:space="preserve"> LEFT(Sng2String(Table1[[#This Row],[a gain]]), 6)</f>
        <v>3FD851</v>
      </c>
      <c r="G121" s="1" t="str">
        <f xml:space="preserve"> LEFT(Sng2String(Table1[[#This Row],[g gain]]), 6)</f>
        <v>3F8C28</v>
      </c>
      <c r="H121" s="1" t="str">
        <f xml:space="preserve"> LEFT(Sng2String(Table1[[#This Row],[t gain]]), 6)</f>
        <v>400C28</v>
      </c>
      <c r="I121" t="str">
        <f xml:space="preserve"> Sng2String(Table1[[#This Row],[c ptrace]])</f>
        <v>3F985100</v>
      </c>
      <c r="J121" t="str">
        <f xml:space="preserve"> Sng2String(Table1[[#This Row],[a ptrace]])</f>
        <v>400C2800</v>
      </c>
      <c r="K121" t="str">
        <f xml:space="preserve"> Sng2String(Table1[[#This Row],[g ptrace]])</f>
        <v>3FD85100</v>
      </c>
      <c r="L121" t="str">
        <f>Sng2String(Table1[[#This Row],[t ptrace]])</f>
        <v>3F985100</v>
      </c>
      <c r="M121" t="str">
        <f xml:space="preserve"> INDEX(SmallFP!$A$1:$A$256, Table1[[#This Row],[ISMI]]+1)</f>
        <v>42F000</v>
      </c>
      <c r="N121" t="str">
        <f>Single2String(Table1[[#This Row],[c ctrace]])</f>
        <v>430ECBF0</v>
      </c>
      <c r="O121" t="str">
        <f>Single2String(Table1[[#This Row],[a ctrace]])</f>
        <v>43836580</v>
      </c>
      <c r="P121" t="str">
        <f xml:space="preserve"> Single2String(Table1[[#This Row],[g ctrace]])</f>
        <v>434ACBF0</v>
      </c>
      <c r="Q121" t="str">
        <f xml:space="preserve"> Single2String(Table1[[#This Row],[t ctrace]])</f>
        <v>430ECBF0</v>
      </c>
      <c r="R121" t="str">
        <f>Single2String(Table1[[#This Row],[grn and red ctrace]])</f>
        <v>443BCBB4</v>
      </c>
      <c r="S121">
        <v>119</v>
      </c>
      <c r="T121" t="str">
        <f>DEC2HEX(Table1[[#This Row],[ZMW num]])</f>
        <v>77</v>
      </c>
      <c r="U121">
        <f>Table1[[#This Row],[ZMW num]]+1</f>
        <v>120</v>
      </c>
      <c r="V121">
        <v>9</v>
      </c>
      <c r="W121">
        <f t="shared" si="2"/>
        <v>75</v>
      </c>
      <c r="X121">
        <v>239</v>
      </c>
      <c r="Y121">
        <v>16</v>
      </c>
      <c r="Z121">
        <f>MOD(Table1[[#This Row],[ZMW num]], 2^8)</f>
        <v>119</v>
      </c>
      <c r="AA121">
        <f xml:space="preserve"> String2Single(Table1[[#This Row],[t ISIM hex]] &amp; "00")</f>
        <v>120</v>
      </c>
      <c r="AB121">
        <f>'Pulse data'!O124</f>
        <v>0</v>
      </c>
      <c r="AC121">
        <f>Table1[[#This Row],[ZMW num]]*0.01</f>
        <v>1.19</v>
      </c>
      <c r="AD121">
        <f>1+Table1[[#This Row],[t bias]]</f>
        <v>2.19</v>
      </c>
      <c r="AE121">
        <f>Table1[[#This Row],[t kinetic trace]]* String2Single(CONCATENATE(Table1[[#This Row],[t gain hex]], "00")) + String2Single(CONCATENATE(Table1[[#This Row],[t bias hex]], "00"))</f>
        <v>1.189971923828125</v>
      </c>
      <c r="AF121">
        <f xml:space="preserve"> Table1[[#This Row],[t ptrace]]*Table1[[#This Row],[ISM]]</f>
        <v>142.796630859375</v>
      </c>
      <c r="AG121">
        <f>'Pulse data'!N124</f>
        <v>0</v>
      </c>
      <c r="AH121">
        <f>Table1[[#This Row],[t bias]]+0.5</f>
        <v>1.69</v>
      </c>
      <c r="AI121">
        <f>Table1[[#This Row],[t gain]]/2</f>
        <v>1.095</v>
      </c>
      <c r="AJ121">
        <f>Table1[[#This Row],[g kinetic trace]]* String2Single(CONCATENATE(Table1[[#This Row],[g gain hex]], "00")) + String2Single(CONCATENATE(Table1[[#This Row],[g bias hex]], "00"))</f>
        <v>1.689971923828125</v>
      </c>
      <c r="AK121">
        <f xml:space="preserve"> Table1[[#This Row],[g ptrace]]*Table1[[#This Row],[ISM]]</f>
        <v>202.796630859375</v>
      </c>
      <c r="AL121">
        <f>'Pulse data'!M124</f>
        <v>0</v>
      </c>
      <c r="AM121">
        <f>Table1[[#This Row],[t bias]]+1</f>
        <v>2.19</v>
      </c>
      <c r="AN121">
        <f>Table1[[#This Row],[t gain]]-0.5</f>
        <v>1.69</v>
      </c>
      <c r="AO121">
        <f>Table1[[#This Row],[a kinetic trace]]* String2Single(CONCATENATE(Table1[[#This Row],[a gain hex]], "00")) + String2Single(CONCATENATE(Table1[[#This Row],[a bias hex]], "00"))</f>
        <v>2.18994140625</v>
      </c>
      <c r="AP121">
        <f xml:space="preserve"> Table1[[#This Row],[a ptrace]]*Table1[[#This Row],[ISM]]</f>
        <v>262.79296875</v>
      </c>
      <c r="AQ121">
        <f>'Pulse data'!L124</f>
        <v>0</v>
      </c>
      <c r="AR121">
        <f>Table1[[#This Row],[t bias]]</f>
        <v>1.19</v>
      </c>
      <c r="AS121">
        <f>Table1[[#This Row],[t gain]]</f>
        <v>2.19</v>
      </c>
      <c r="AT121">
        <f>Table1[[#This Row],[c kinetic trace]]* String2Single(CONCATENATE(Table1[[#This Row],[c gain hex]], "00")) + String2Single(CONCATENATE(Table1[[#This Row],[c bias hex]], "00"))</f>
        <v>1.189971923828125</v>
      </c>
      <c r="AU121">
        <f xml:space="preserve"> Table1[[#This Row],[c ptrace]]*Table1[[#This Row],[ISM]]</f>
        <v>142.796630859375</v>
      </c>
      <c r="AV121">
        <f xml:space="preserve"> Table1[[#This Row],[t ctrace]] + Table1[[#This Row],[g ctrace]] + Table1[[#This Row],[a ctrace]] + Table1[[#This Row],[c ctrace]]</f>
        <v>751.182861328125</v>
      </c>
      <c r="AW121" s="2" t="str">
        <f>DEC2HEX(Table1[[#This Row],[row]], 3)</f>
        <v>009</v>
      </c>
      <c r="AX121" s="1" t="str">
        <f>DEC2HEX(Table1[[#This Row],[col]], 3)</f>
        <v>04B</v>
      </c>
      <c r="AY121" s="1" t="str">
        <f>DEC2HEX(Table1[[#This Row],[grn fsp idx]], 2)</f>
        <v>EF</v>
      </c>
      <c r="AZ121" s="1" t="str">
        <f>DEC2HEX(Table1[[#This Row],[red fsp idx]], 2)</f>
        <v>10</v>
      </c>
      <c r="BA121" s="1" t="str">
        <f>DEC2HEX(Table1[[#This Row],[ISMI]], 2)</f>
        <v>77</v>
      </c>
      <c r="BB121" s="1">
        <f>LEN(Table1[[#This Row],[DRAM data]])</f>
        <v>64</v>
      </c>
      <c r="BC12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00904BEF10773F9851400C283FD8513F8C28400C283FD8513F9851400C280002</v>
      </c>
      <c r="BV121"/>
    </row>
    <row r="122" spans="1:74" x14ac:dyDescent="0.25">
      <c r="A122" s="1" t="str">
        <f xml:space="preserve"> LEFT(Sng2String(Table1[[#This Row],[c bias]]), 6)</f>
        <v>3F9999</v>
      </c>
      <c r="B122" s="1" t="str">
        <f xml:space="preserve"> LEFT(Sng2String(Table1[[#This Row],[a bias]]), 6)</f>
        <v>400CCC</v>
      </c>
      <c r="C122" s="1" t="str">
        <f xml:space="preserve"> LEFT(Sng2String(Table1[[#This Row],[g bias]]), 6)</f>
        <v>3FD999</v>
      </c>
      <c r="D122" s="1" t="str">
        <f xml:space="preserve"> LEFT(Sng2String(Table1[[#This Row],[t bias]]), 6)</f>
        <v>3F9999</v>
      </c>
      <c r="E122" s="1" t="str">
        <f xml:space="preserve"> LEFT(Sng2String(Table1[[#This Row],[c gain]]), 6)</f>
        <v>400CCC</v>
      </c>
      <c r="F122" s="1" t="str">
        <f xml:space="preserve"> LEFT(Sng2String(Table1[[#This Row],[a gain]]), 6)</f>
        <v>3FD999</v>
      </c>
      <c r="G122" s="1" t="str">
        <f xml:space="preserve"> LEFT(Sng2String(Table1[[#This Row],[g gain]]), 6)</f>
        <v>3F8CCC</v>
      </c>
      <c r="H122" s="1" t="str">
        <f xml:space="preserve"> LEFT(Sng2String(Table1[[#This Row],[t gain]]), 6)</f>
        <v>400CCC</v>
      </c>
      <c r="I122" t="str">
        <f xml:space="preserve"> Sng2String(Table1[[#This Row],[c ptrace]])</f>
        <v>3F999900</v>
      </c>
      <c r="J122" t="str">
        <f xml:space="preserve"> Sng2String(Table1[[#This Row],[a ptrace]])</f>
        <v>400CCC00</v>
      </c>
      <c r="K122" t="str">
        <f xml:space="preserve"> Sng2String(Table1[[#This Row],[g ptrace]])</f>
        <v>3FD99900</v>
      </c>
      <c r="L122" t="str">
        <f>Sng2String(Table1[[#This Row],[t ptrace]])</f>
        <v>3F999900</v>
      </c>
      <c r="M122" t="str">
        <f xml:space="preserve"> INDEX(SmallFP!$A$1:$A$256, Table1[[#This Row],[ISMI]]+1)</f>
        <v>42F200</v>
      </c>
      <c r="N122" t="str">
        <f>Single2String(Table1[[#This Row],[c ctrace]])</f>
        <v>431132A2</v>
      </c>
      <c r="O122" t="str">
        <f>Single2String(Table1[[#This Row],[a ctrace]])</f>
        <v>438518D8</v>
      </c>
      <c r="P122" t="str">
        <f xml:space="preserve"> Single2String(Table1[[#This Row],[g ctrace]])</f>
        <v>434DB2A2</v>
      </c>
      <c r="Q122" t="str">
        <f xml:space="preserve"> Single2String(Table1[[#This Row],[t ctrace]])</f>
        <v>431132A2</v>
      </c>
      <c r="R122" t="str">
        <f>Single2String(Table1[[#This Row],[grn and red ctrace]])</f>
        <v>443E9266</v>
      </c>
      <c r="S122">
        <v>120</v>
      </c>
      <c r="T122" t="str">
        <f>DEC2HEX(Table1[[#This Row],[ZMW num]])</f>
        <v>78</v>
      </c>
      <c r="U122">
        <f>Table1[[#This Row],[ZMW num]]+1</f>
        <v>121</v>
      </c>
      <c r="V122">
        <v>9</v>
      </c>
      <c r="W122">
        <f t="shared" si="2"/>
        <v>80</v>
      </c>
      <c r="X122">
        <v>241</v>
      </c>
      <c r="Y122">
        <v>14</v>
      </c>
      <c r="Z122">
        <f>MOD(Table1[[#This Row],[ZMW num]], 2^8)</f>
        <v>120</v>
      </c>
      <c r="AA122">
        <f xml:space="preserve"> String2Single(Table1[[#This Row],[t ISIM hex]] &amp; "00")</f>
        <v>121</v>
      </c>
      <c r="AB122">
        <f>'Pulse data'!O125</f>
        <v>0</v>
      </c>
      <c r="AC122">
        <f>Table1[[#This Row],[ZMW num]]*0.01</f>
        <v>1.2</v>
      </c>
      <c r="AD122">
        <f>1+Table1[[#This Row],[t bias]]</f>
        <v>2.2000000000000002</v>
      </c>
      <c r="AE122">
        <f>Table1[[#This Row],[t kinetic trace]]* String2Single(CONCATENATE(Table1[[#This Row],[t gain hex]], "00")) + String2Single(CONCATENATE(Table1[[#This Row],[t bias hex]], "00"))</f>
        <v>1.199981689453125</v>
      </c>
      <c r="AF122">
        <f xml:space="preserve"> Table1[[#This Row],[t ptrace]]*Table1[[#This Row],[ISM]]</f>
        <v>145.19778442382812</v>
      </c>
      <c r="AG122">
        <f>'Pulse data'!N125</f>
        <v>0</v>
      </c>
      <c r="AH122">
        <f>Table1[[#This Row],[t bias]]+0.5</f>
        <v>1.7</v>
      </c>
      <c r="AI122">
        <f>Table1[[#This Row],[t gain]]/2</f>
        <v>1.1000000000000001</v>
      </c>
      <c r="AJ122">
        <f>Table1[[#This Row],[g kinetic trace]]* String2Single(CONCATENATE(Table1[[#This Row],[g gain hex]], "00")) + String2Single(CONCATENATE(Table1[[#This Row],[g bias hex]], "00"))</f>
        <v>1.699981689453125</v>
      </c>
      <c r="AK122">
        <f xml:space="preserve"> Table1[[#This Row],[g ptrace]]*Table1[[#This Row],[ISM]]</f>
        <v>205.69778442382812</v>
      </c>
      <c r="AL122">
        <f>'Pulse data'!M125</f>
        <v>0</v>
      </c>
      <c r="AM122">
        <f>Table1[[#This Row],[t bias]]+1</f>
        <v>2.2000000000000002</v>
      </c>
      <c r="AN122">
        <f>Table1[[#This Row],[t gain]]-0.5</f>
        <v>1.7000000000000002</v>
      </c>
      <c r="AO122">
        <f>Table1[[#This Row],[a kinetic trace]]* String2Single(CONCATENATE(Table1[[#This Row],[a gain hex]], "00")) + String2Single(CONCATENATE(Table1[[#This Row],[a bias hex]], "00"))</f>
        <v>2.199951171875</v>
      </c>
      <c r="AP122">
        <f xml:space="preserve"> Table1[[#This Row],[a ptrace]]*Table1[[#This Row],[ISM]]</f>
        <v>266.194091796875</v>
      </c>
      <c r="AQ122">
        <f>'Pulse data'!L125</f>
        <v>0</v>
      </c>
      <c r="AR122">
        <f>Table1[[#This Row],[t bias]]</f>
        <v>1.2</v>
      </c>
      <c r="AS122">
        <f>Table1[[#This Row],[t gain]]</f>
        <v>2.2000000000000002</v>
      </c>
      <c r="AT122">
        <f>Table1[[#This Row],[c kinetic trace]]* String2Single(CONCATENATE(Table1[[#This Row],[c gain hex]], "00")) + String2Single(CONCATENATE(Table1[[#This Row],[c bias hex]], "00"))</f>
        <v>1.199981689453125</v>
      </c>
      <c r="AU122">
        <f xml:space="preserve"> Table1[[#This Row],[c ptrace]]*Table1[[#This Row],[ISM]]</f>
        <v>145.19778442382812</v>
      </c>
      <c r="AV122">
        <f xml:space="preserve"> Table1[[#This Row],[t ctrace]] + Table1[[#This Row],[g ctrace]] + Table1[[#This Row],[a ctrace]] + Table1[[#This Row],[c ctrace]]</f>
        <v>762.28744506835937</v>
      </c>
      <c r="AW122" s="2" t="str">
        <f>DEC2HEX(Table1[[#This Row],[row]], 3)</f>
        <v>009</v>
      </c>
      <c r="AX122" s="1" t="str">
        <f>DEC2HEX(Table1[[#This Row],[col]], 3)</f>
        <v>050</v>
      </c>
      <c r="AY122" s="1" t="str">
        <f>DEC2HEX(Table1[[#This Row],[grn fsp idx]], 2)</f>
        <v>F1</v>
      </c>
      <c r="AZ122" s="1" t="str">
        <f>DEC2HEX(Table1[[#This Row],[red fsp idx]], 2)</f>
        <v>0E</v>
      </c>
      <c r="BA122" s="1" t="str">
        <f>DEC2HEX(Table1[[#This Row],[ISMI]], 2)</f>
        <v>78</v>
      </c>
      <c r="BB122" s="1">
        <f>LEN(Table1[[#This Row],[DRAM data]])</f>
        <v>64</v>
      </c>
      <c r="BC12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009050F10E783F9999400CCC3FD9993F8CCC400CCC3FD9993F9999400CCC0002</v>
      </c>
      <c r="BV122"/>
    </row>
    <row r="123" spans="1:74" x14ac:dyDescent="0.25">
      <c r="A123" s="1" t="str">
        <f xml:space="preserve"> LEFT(Sng2String(Table1[[#This Row],[c bias]]), 6)</f>
        <v>3F9AE1</v>
      </c>
      <c r="B123" s="1" t="str">
        <f xml:space="preserve"> LEFT(Sng2String(Table1[[#This Row],[a bias]]), 6)</f>
        <v>400D70</v>
      </c>
      <c r="C123" s="1" t="str">
        <f xml:space="preserve"> LEFT(Sng2String(Table1[[#This Row],[g bias]]), 6)</f>
        <v>3FDAE1</v>
      </c>
      <c r="D123" s="1" t="str">
        <f xml:space="preserve"> LEFT(Sng2String(Table1[[#This Row],[t bias]]), 6)</f>
        <v>3F9AE1</v>
      </c>
      <c r="E123" s="1" t="str">
        <f xml:space="preserve"> LEFT(Sng2String(Table1[[#This Row],[c gain]]), 6)</f>
        <v>400D70</v>
      </c>
      <c r="F123" s="1" t="str">
        <f xml:space="preserve"> LEFT(Sng2String(Table1[[#This Row],[a gain]]), 6)</f>
        <v>3FDAE1</v>
      </c>
      <c r="G123" s="1" t="str">
        <f xml:space="preserve"> LEFT(Sng2String(Table1[[#This Row],[g gain]]), 6)</f>
        <v>3F8D70</v>
      </c>
      <c r="H123" s="1" t="str">
        <f xml:space="preserve"> LEFT(Sng2String(Table1[[#This Row],[t gain]]), 6)</f>
        <v>400D70</v>
      </c>
      <c r="I123" t="str">
        <f xml:space="preserve"> Sng2String(Table1[[#This Row],[c ptrace]])</f>
        <v>3F9AE100</v>
      </c>
      <c r="J123" t="str">
        <f xml:space="preserve"> Sng2String(Table1[[#This Row],[a ptrace]])</f>
        <v>400D7000</v>
      </c>
      <c r="K123" t="str">
        <f xml:space="preserve"> Sng2String(Table1[[#This Row],[g ptrace]])</f>
        <v>3FDAE100</v>
      </c>
      <c r="L123" t="str">
        <f>Sng2String(Table1[[#This Row],[t ptrace]])</f>
        <v>3F9AE100</v>
      </c>
      <c r="M123" t="str">
        <f xml:space="preserve"> INDEX(SmallFP!$A$1:$A$256, Table1[[#This Row],[ISMI]]+1)</f>
        <v>42F400</v>
      </c>
      <c r="N123" t="str">
        <f>Single2String(Table1[[#This Row],[c ctrace]])</f>
        <v>43139E74</v>
      </c>
      <c r="O123" t="str">
        <f>Single2String(Table1[[#This Row],[a ctrace]])</f>
        <v>4386CEC0</v>
      </c>
      <c r="P123" t="str">
        <f xml:space="preserve"> Single2String(Table1[[#This Row],[g ctrace]])</f>
        <v>43509E74</v>
      </c>
      <c r="Q123" t="str">
        <f xml:space="preserve"> Single2String(Table1[[#This Row],[t ctrace]])</f>
        <v>43139E74</v>
      </c>
      <c r="R123" t="str">
        <f>Single2String(Table1[[#This Row],[grn and red ctrace]])</f>
        <v>44415E37</v>
      </c>
      <c r="S123">
        <v>121</v>
      </c>
      <c r="T123" t="str">
        <f>DEC2HEX(Table1[[#This Row],[ZMW num]])</f>
        <v>79</v>
      </c>
      <c r="U123">
        <f>Table1[[#This Row],[ZMW num]]+1</f>
        <v>122</v>
      </c>
      <c r="V123">
        <v>9</v>
      </c>
      <c r="W123">
        <f t="shared" si="2"/>
        <v>87</v>
      </c>
      <c r="X123">
        <v>243</v>
      </c>
      <c r="Y123">
        <v>12</v>
      </c>
      <c r="Z123">
        <f>MOD(Table1[[#This Row],[ZMW num]], 2^8)</f>
        <v>121</v>
      </c>
      <c r="AA123">
        <f xml:space="preserve"> String2Single(Table1[[#This Row],[t ISIM hex]] &amp; "00")</f>
        <v>122</v>
      </c>
      <c r="AB123">
        <f>'Pulse data'!O126</f>
        <v>0</v>
      </c>
      <c r="AC123">
        <f>Table1[[#This Row],[ZMW num]]*0.01</f>
        <v>1.21</v>
      </c>
      <c r="AD123">
        <f>1+Table1[[#This Row],[t bias]]</f>
        <v>2.21</v>
      </c>
      <c r="AE123">
        <f>Table1[[#This Row],[t kinetic trace]]* String2Single(CONCATENATE(Table1[[#This Row],[t gain hex]], "00")) + String2Single(CONCATENATE(Table1[[#This Row],[t bias hex]], "00"))</f>
        <v>1.209991455078125</v>
      </c>
      <c r="AF123">
        <f xml:space="preserve"> Table1[[#This Row],[t ptrace]]*Table1[[#This Row],[ISM]]</f>
        <v>147.61895751953125</v>
      </c>
      <c r="AG123">
        <f>'Pulse data'!N126</f>
        <v>0</v>
      </c>
      <c r="AH123">
        <f>Table1[[#This Row],[t bias]]+0.5</f>
        <v>1.71</v>
      </c>
      <c r="AI123">
        <f>Table1[[#This Row],[t gain]]/2</f>
        <v>1.105</v>
      </c>
      <c r="AJ123">
        <f>Table1[[#This Row],[g kinetic trace]]* String2Single(CONCATENATE(Table1[[#This Row],[g gain hex]], "00")) + String2Single(CONCATENATE(Table1[[#This Row],[g bias hex]], "00"))</f>
        <v>1.709991455078125</v>
      </c>
      <c r="AK123">
        <f xml:space="preserve"> Table1[[#This Row],[g ptrace]]*Table1[[#This Row],[ISM]]</f>
        <v>208.61895751953125</v>
      </c>
      <c r="AL123">
        <f>'Pulse data'!M126</f>
        <v>0</v>
      </c>
      <c r="AM123">
        <f>Table1[[#This Row],[t bias]]+1</f>
        <v>2.21</v>
      </c>
      <c r="AN123">
        <f>Table1[[#This Row],[t gain]]-0.5</f>
        <v>1.71</v>
      </c>
      <c r="AO123">
        <f>Table1[[#This Row],[a kinetic trace]]* String2Single(CONCATENATE(Table1[[#This Row],[a gain hex]], "00")) + String2Single(CONCATENATE(Table1[[#This Row],[a bias hex]], "00"))</f>
        <v>2.2099609375</v>
      </c>
      <c r="AP123">
        <f xml:space="preserve"> Table1[[#This Row],[a ptrace]]*Table1[[#This Row],[ISM]]</f>
        <v>269.615234375</v>
      </c>
      <c r="AQ123">
        <f>'Pulse data'!L126</f>
        <v>0</v>
      </c>
      <c r="AR123">
        <f>Table1[[#This Row],[t bias]]</f>
        <v>1.21</v>
      </c>
      <c r="AS123">
        <f>Table1[[#This Row],[t gain]]</f>
        <v>2.21</v>
      </c>
      <c r="AT123">
        <f>Table1[[#This Row],[c kinetic trace]]* String2Single(CONCATENATE(Table1[[#This Row],[c gain hex]], "00")) + String2Single(CONCATENATE(Table1[[#This Row],[c bias hex]], "00"))</f>
        <v>1.209991455078125</v>
      </c>
      <c r="AU123">
        <f xml:space="preserve"> Table1[[#This Row],[c ptrace]]*Table1[[#This Row],[ISM]]</f>
        <v>147.61895751953125</v>
      </c>
      <c r="AV123">
        <f xml:space="preserve"> Table1[[#This Row],[t ctrace]] + Table1[[#This Row],[g ctrace]] + Table1[[#This Row],[a ctrace]] + Table1[[#This Row],[c ctrace]]</f>
        <v>773.47210693359375</v>
      </c>
      <c r="AW123" s="2" t="str">
        <f>DEC2HEX(Table1[[#This Row],[row]], 3)</f>
        <v>009</v>
      </c>
      <c r="AX123" s="1" t="str">
        <f>DEC2HEX(Table1[[#This Row],[col]], 3)</f>
        <v>057</v>
      </c>
      <c r="AY123" s="1" t="str">
        <f>DEC2HEX(Table1[[#This Row],[grn fsp idx]], 2)</f>
        <v>F3</v>
      </c>
      <c r="AZ123" s="1" t="str">
        <f>DEC2HEX(Table1[[#This Row],[red fsp idx]], 2)</f>
        <v>0C</v>
      </c>
      <c r="BA123" s="1" t="str">
        <f>DEC2HEX(Table1[[#This Row],[ISMI]], 2)</f>
        <v>79</v>
      </c>
      <c r="BB123" s="1">
        <f>LEN(Table1[[#This Row],[DRAM data]])</f>
        <v>64</v>
      </c>
      <c r="BC12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009057F30C793F9AE1400D703FDAE13F8D70400D703FDAE13F9AE1400D700002</v>
      </c>
      <c r="BV123"/>
    </row>
    <row r="124" spans="1:74" x14ac:dyDescent="0.25">
      <c r="A124" s="1" t="str">
        <f xml:space="preserve"> LEFT(Sng2String(Table1[[#This Row],[c bias]]), 6)</f>
        <v>3F9C28</v>
      </c>
      <c r="B124" s="1" t="str">
        <f xml:space="preserve"> LEFT(Sng2String(Table1[[#This Row],[a bias]]), 6)</f>
        <v>400E14</v>
      </c>
      <c r="C124" s="1" t="str">
        <f xml:space="preserve"> LEFT(Sng2String(Table1[[#This Row],[g bias]]), 6)</f>
        <v>3FDC28</v>
      </c>
      <c r="D124" s="1" t="str">
        <f xml:space="preserve"> LEFT(Sng2String(Table1[[#This Row],[t bias]]), 6)</f>
        <v>3F9C28</v>
      </c>
      <c r="E124" s="1" t="str">
        <f xml:space="preserve"> LEFT(Sng2String(Table1[[#This Row],[c gain]]), 6)</f>
        <v>400E14</v>
      </c>
      <c r="F124" s="1" t="str">
        <f xml:space="preserve"> LEFT(Sng2String(Table1[[#This Row],[a gain]]), 6)</f>
        <v>3FDC28</v>
      </c>
      <c r="G124" s="1" t="str">
        <f xml:space="preserve"> LEFT(Sng2String(Table1[[#This Row],[g gain]]), 6)</f>
        <v>3F8E14</v>
      </c>
      <c r="H124" s="1" t="str">
        <f xml:space="preserve"> LEFT(Sng2String(Table1[[#This Row],[t gain]]), 6)</f>
        <v>400E14</v>
      </c>
      <c r="I124" t="str">
        <f xml:space="preserve"> Sng2String(Table1[[#This Row],[c ptrace]])</f>
        <v>3F9C2800</v>
      </c>
      <c r="J124" t="str">
        <f xml:space="preserve"> Sng2String(Table1[[#This Row],[a ptrace]])</f>
        <v>400E1400</v>
      </c>
      <c r="K124" t="str">
        <f xml:space="preserve"> Sng2String(Table1[[#This Row],[g ptrace]])</f>
        <v>3FDC2800</v>
      </c>
      <c r="L124" t="str">
        <f>Sng2String(Table1[[#This Row],[t ptrace]])</f>
        <v>3F9C2800</v>
      </c>
      <c r="M124" t="str">
        <f xml:space="preserve"> INDEX(SmallFP!$A$1:$A$256, Table1[[#This Row],[ISMI]]+1)</f>
        <v>42F600</v>
      </c>
      <c r="N124" t="str">
        <f>Single2String(Table1[[#This Row],[c ctrace]])</f>
        <v>43160E70</v>
      </c>
      <c r="O124" t="str">
        <f>Single2String(Table1[[#This Row],[a ctrace]])</f>
        <v>43888738</v>
      </c>
      <c r="P124" t="str">
        <f xml:space="preserve"> Single2String(Table1[[#This Row],[g ctrace]])</f>
        <v>43538E70</v>
      </c>
      <c r="Q124" t="str">
        <f xml:space="preserve"> Single2String(Table1[[#This Row],[t ctrace]])</f>
        <v>43160E70</v>
      </c>
      <c r="R124" t="str">
        <f>Single2String(Table1[[#This Row],[grn and red ctrace]])</f>
        <v>44442E70</v>
      </c>
      <c r="S124">
        <v>122</v>
      </c>
      <c r="T124" t="str">
        <f>DEC2HEX(Table1[[#This Row],[ZMW num]])</f>
        <v>7A</v>
      </c>
      <c r="U124">
        <f>Table1[[#This Row],[ZMW num]]+1</f>
        <v>123</v>
      </c>
      <c r="V124">
        <v>9</v>
      </c>
      <c r="W124">
        <f t="shared" si="2"/>
        <v>93</v>
      </c>
      <c r="X124">
        <v>245</v>
      </c>
      <c r="Y124">
        <v>10</v>
      </c>
      <c r="Z124">
        <f>MOD(Table1[[#This Row],[ZMW num]], 2^8)</f>
        <v>122</v>
      </c>
      <c r="AA124">
        <f xml:space="preserve"> String2Single(Table1[[#This Row],[t ISIM hex]] &amp; "00")</f>
        <v>123</v>
      </c>
      <c r="AB124">
        <f>'Pulse data'!O127</f>
        <v>0</v>
      </c>
      <c r="AC124">
        <f>Table1[[#This Row],[ZMW num]]*0.01</f>
        <v>1.22</v>
      </c>
      <c r="AD124">
        <f>1+Table1[[#This Row],[t bias]]</f>
        <v>2.2199999999999998</v>
      </c>
      <c r="AE124">
        <f>Table1[[#This Row],[t kinetic trace]]* String2Single(CONCATENATE(Table1[[#This Row],[t gain hex]], "00")) + String2Single(CONCATENATE(Table1[[#This Row],[t bias hex]], "00"))</f>
        <v>1.219970703125</v>
      </c>
      <c r="AF124">
        <f xml:space="preserve"> Table1[[#This Row],[t ptrace]]*Table1[[#This Row],[ISM]]</f>
        <v>150.056396484375</v>
      </c>
      <c r="AG124">
        <f>'Pulse data'!N127</f>
        <v>0</v>
      </c>
      <c r="AH124">
        <f>Table1[[#This Row],[t bias]]+0.5</f>
        <v>1.72</v>
      </c>
      <c r="AI124">
        <f>Table1[[#This Row],[t gain]]/2</f>
        <v>1.1099999999999999</v>
      </c>
      <c r="AJ124">
        <f>Table1[[#This Row],[g kinetic trace]]* String2Single(CONCATENATE(Table1[[#This Row],[g gain hex]], "00")) + String2Single(CONCATENATE(Table1[[#This Row],[g bias hex]], "00"))</f>
        <v>1.719970703125</v>
      </c>
      <c r="AK124">
        <f xml:space="preserve"> Table1[[#This Row],[g ptrace]]*Table1[[#This Row],[ISM]]</f>
        <v>211.556396484375</v>
      </c>
      <c r="AL124">
        <f>'Pulse data'!M127</f>
        <v>0</v>
      </c>
      <c r="AM124">
        <f>Table1[[#This Row],[t bias]]+1</f>
        <v>2.2199999999999998</v>
      </c>
      <c r="AN124">
        <f>Table1[[#This Row],[t gain]]-0.5</f>
        <v>1.7199999999999998</v>
      </c>
      <c r="AO124">
        <f>Table1[[#This Row],[a kinetic trace]]* String2Single(CONCATENATE(Table1[[#This Row],[a gain hex]], "00")) + String2Single(CONCATENATE(Table1[[#This Row],[a bias hex]], "00"))</f>
        <v>2.219970703125</v>
      </c>
      <c r="AP124">
        <f xml:space="preserve"> Table1[[#This Row],[a ptrace]]*Table1[[#This Row],[ISM]]</f>
        <v>273.056396484375</v>
      </c>
      <c r="AQ124">
        <f>'Pulse data'!L127</f>
        <v>0</v>
      </c>
      <c r="AR124">
        <f>Table1[[#This Row],[t bias]]</f>
        <v>1.22</v>
      </c>
      <c r="AS124">
        <f>Table1[[#This Row],[t gain]]</f>
        <v>2.2199999999999998</v>
      </c>
      <c r="AT124">
        <f>Table1[[#This Row],[c kinetic trace]]* String2Single(CONCATENATE(Table1[[#This Row],[c gain hex]], "00")) + String2Single(CONCATENATE(Table1[[#This Row],[c bias hex]], "00"))</f>
        <v>1.219970703125</v>
      </c>
      <c r="AU124">
        <f xml:space="preserve"> Table1[[#This Row],[c ptrace]]*Table1[[#This Row],[ISM]]</f>
        <v>150.056396484375</v>
      </c>
      <c r="AV124">
        <f xml:space="preserve"> Table1[[#This Row],[t ctrace]] + Table1[[#This Row],[g ctrace]] + Table1[[#This Row],[a ctrace]] + Table1[[#This Row],[c ctrace]]</f>
        <v>784.7255859375</v>
      </c>
      <c r="AW124" s="2" t="str">
        <f>DEC2HEX(Table1[[#This Row],[row]], 3)</f>
        <v>009</v>
      </c>
      <c r="AX124" s="1" t="str">
        <f>DEC2HEX(Table1[[#This Row],[col]], 3)</f>
        <v>05D</v>
      </c>
      <c r="AY124" s="1" t="str">
        <f>DEC2HEX(Table1[[#This Row],[grn fsp idx]], 2)</f>
        <v>F5</v>
      </c>
      <c r="AZ124" s="1" t="str">
        <f>DEC2HEX(Table1[[#This Row],[red fsp idx]], 2)</f>
        <v>0A</v>
      </c>
      <c r="BA124" s="1" t="str">
        <f>DEC2HEX(Table1[[#This Row],[ISMI]], 2)</f>
        <v>7A</v>
      </c>
      <c r="BB124" s="1">
        <f>LEN(Table1[[#This Row],[DRAM data]])</f>
        <v>64</v>
      </c>
      <c r="BC12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00905DF50A7A3F9C28400E143FDC283F8E14400E143FDC283F9C28400E140002</v>
      </c>
      <c r="BV124"/>
    </row>
    <row r="125" spans="1:74" x14ac:dyDescent="0.25">
      <c r="A125" s="1" t="str">
        <f xml:space="preserve"> LEFT(Sng2String(Table1[[#This Row],[c bias]]), 6)</f>
        <v>3F9D70</v>
      </c>
      <c r="B125" s="1" t="str">
        <f xml:space="preserve"> LEFT(Sng2String(Table1[[#This Row],[a bias]]), 6)</f>
        <v>400EB8</v>
      </c>
      <c r="C125" s="1" t="str">
        <f xml:space="preserve"> LEFT(Sng2String(Table1[[#This Row],[g bias]]), 6)</f>
        <v>3FDD70</v>
      </c>
      <c r="D125" s="1" t="str">
        <f xml:space="preserve"> LEFT(Sng2String(Table1[[#This Row],[t bias]]), 6)</f>
        <v>3F9D70</v>
      </c>
      <c r="E125" s="1" t="str">
        <f xml:space="preserve"> LEFT(Sng2String(Table1[[#This Row],[c gain]]), 6)</f>
        <v>400EB8</v>
      </c>
      <c r="F125" s="1" t="str">
        <f xml:space="preserve"> LEFT(Sng2String(Table1[[#This Row],[a gain]]), 6)</f>
        <v>3FDD70</v>
      </c>
      <c r="G125" s="1" t="str">
        <f xml:space="preserve"> LEFT(Sng2String(Table1[[#This Row],[g gain]]), 6)</f>
        <v>3F8EB8</v>
      </c>
      <c r="H125" s="1" t="str">
        <f xml:space="preserve"> LEFT(Sng2String(Table1[[#This Row],[t gain]]), 6)</f>
        <v>400EB8</v>
      </c>
      <c r="I125" t="str">
        <f xml:space="preserve"> Sng2String(Table1[[#This Row],[c ptrace]])</f>
        <v>3F9D7000</v>
      </c>
      <c r="J125" t="str">
        <f xml:space="preserve"> Sng2String(Table1[[#This Row],[a ptrace]])</f>
        <v>400EB800</v>
      </c>
      <c r="K125" t="str">
        <f xml:space="preserve"> Sng2String(Table1[[#This Row],[g ptrace]])</f>
        <v>3FDD7000</v>
      </c>
      <c r="L125" t="str">
        <f>Sng2String(Table1[[#This Row],[t ptrace]])</f>
        <v>3F9D7000</v>
      </c>
      <c r="M125" t="str">
        <f xml:space="preserve"> INDEX(SmallFP!$A$1:$A$256, Table1[[#This Row],[ISMI]]+1)</f>
        <v>42F800</v>
      </c>
      <c r="N125" t="str">
        <f>Single2String(Table1[[#This Row],[c ctrace]])</f>
        <v>43188480</v>
      </c>
      <c r="O125" t="str">
        <f>Single2String(Table1[[#This Row],[a ctrace]])</f>
        <v>438A4240</v>
      </c>
      <c r="P125" t="str">
        <f xml:space="preserve"> Single2String(Table1[[#This Row],[g ctrace]])</f>
        <v>43568480</v>
      </c>
      <c r="Q125" t="str">
        <f xml:space="preserve"> Single2String(Table1[[#This Row],[t ctrace]])</f>
        <v>43188480</v>
      </c>
      <c r="R125" t="str">
        <f>Single2String(Table1[[#This Row],[grn and red ctrace]])</f>
        <v>44470480</v>
      </c>
      <c r="S125">
        <v>123</v>
      </c>
      <c r="T125" t="str">
        <f>DEC2HEX(Table1[[#This Row],[ZMW num]])</f>
        <v>7B</v>
      </c>
      <c r="U125">
        <f>Table1[[#This Row],[ZMW num]]+1</f>
        <v>124</v>
      </c>
      <c r="V125">
        <v>9</v>
      </c>
      <c r="W125">
        <f t="shared" si="2"/>
        <v>100</v>
      </c>
      <c r="X125">
        <v>247</v>
      </c>
      <c r="Y125">
        <v>8</v>
      </c>
      <c r="Z125">
        <f>MOD(Table1[[#This Row],[ZMW num]], 2^8)</f>
        <v>123</v>
      </c>
      <c r="AA125">
        <f xml:space="preserve"> String2Single(Table1[[#This Row],[t ISIM hex]] &amp; "00")</f>
        <v>124</v>
      </c>
      <c r="AB125">
        <f>'Pulse data'!O128</f>
        <v>0</v>
      </c>
      <c r="AC125">
        <f>Table1[[#This Row],[ZMW num]]*0.01</f>
        <v>1.23</v>
      </c>
      <c r="AD125">
        <f>1+Table1[[#This Row],[t bias]]</f>
        <v>2.23</v>
      </c>
      <c r="AE125">
        <f>Table1[[#This Row],[t kinetic trace]]* String2Single(CONCATENATE(Table1[[#This Row],[t gain hex]], "00")) + String2Single(CONCATENATE(Table1[[#This Row],[t bias hex]], "00"))</f>
        <v>1.22998046875</v>
      </c>
      <c r="AF125">
        <f xml:space="preserve"> Table1[[#This Row],[t ptrace]]*Table1[[#This Row],[ISM]]</f>
        <v>152.517578125</v>
      </c>
      <c r="AG125">
        <f>'Pulse data'!N128</f>
        <v>0</v>
      </c>
      <c r="AH125">
        <f>Table1[[#This Row],[t bias]]+0.5</f>
        <v>1.73</v>
      </c>
      <c r="AI125">
        <f>Table1[[#This Row],[t gain]]/2</f>
        <v>1.115</v>
      </c>
      <c r="AJ125">
        <f>Table1[[#This Row],[g kinetic trace]]* String2Single(CONCATENATE(Table1[[#This Row],[g gain hex]], "00")) + String2Single(CONCATENATE(Table1[[#This Row],[g bias hex]], "00"))</f>
        <v>1.72998046875</v>
      </c>
      <c r="AK125">
        <f xml:space="preserve"> Table1[[#This Row],[g ptrace]]*Table1[[#This Row],[ISM]]</f>
        <v>214.517578125</v>
      </c>
      <c r="AL125">
        <f>'Pulse data'!M128</f>
        <v>0</v>
      </c>
      <c r="AM125">
        <f>Table1[[#This Row],[t bias]]+1</f>
        <v>2.23</v>
      </c>
      <c r="AN125">
        <f>Table1[[#This Row],[t gain]]-0.5</f>
        <v>1.73</v>
      </c>
      <c r="AO125">
        <f>Table1[[#This Row],[a kinetic trace]]* String2Single(CONCATENATE(Table1[[#This Row],[a gain hex]], "00")) + String2Single(CONCATENATE(Table1[[#This Row],[a bias hex]], "00"))</f>
        <v>2.22998046875</v>
      </c>
      <c r="AP125">
        <f xml:space="preserve"> Table1[[#This Row],[a ptrace]]*Table1[[#This Row],[ISM]]</f>
        <v>276.517578125</v>
      </c>
      <c r="AQ125">
        <f>'Pulse data'!L128</f>
        <v>0</v>
      </c>
      <c r="AR125">
        <f>Table1[[#This Row],[t bias]]</f>
        <v>1.23</v>
      </c>
      <c r="AS125">
        <f>Table1[[#This Row],[t gain]]</f>
        <v>2.23</v>
      </c>
      <c r="AT125">
        <f>Table1[[#This Row],[c kinetic trace]]* String2Single(CONCATENATE(Table1[[#This Row],[c gain hex]], "00")) + String2Single(CONCATENATE(Table1[[#This Row],[c bias hex]], "00"))</f>
        <v>1.22998046875</v>
      </c>
      <c r="AU125">
        <f xml:space="preserve"> Table1[[#This Row],[c ptrace]]*Table1[[#This Row],[ISM]]</f>
        <v>152.517578125</v>
      </c>
      <c r="AV125">
        <f xml:space="preserve"> Table1[[#This Row],[t ctrace]] + Table1[[#This Row],[g ctrace]] + Table1[[#This Row],[a ctrace]] + Table1[[#This Row],[c ctrace]]</f>
        <v>796.0703125</v>
      </c>
      <c r="AW125" s="2" t="str">
        <f>DEC2HEX(Table1[[#This Row],[row]], 3)</f>
        <v>009</v>
      </c>
      <c r="AX125" s="1" t="str">
        <f>DEC2HEX(Table1[[#This Row],[col]], 3)</f>
        <v>064</v>
      </c>
      <c r="AY125" s="1" t="str">
        <f>DEC2HEX(Table1[[#This Row],[grn fsp idx]], 2)</f>
        <v>F7</v>
      </c>
      <c r="AZ125" s="1" t="str">
        <f>DEC2HEX(Table1[[#This Row],[red fsp idx]], 2)</f>
        <v>08</v>
      </c>
      <c r="BA125" s="1" t="str">
        <f>DEC2HEX(Table1[[#This Row],[ISMI]], 2)</f>
        <v>7B</v>
      </c>
      <c r="BB125" s="1">
        <f>LEN(Table1[[#This Row],[DRAM data]])</f>
        <v>64</v>
      </c>
      <c r="BC12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009064F7087B3F9D70400EB83FDD703F8EB8400EB83FDD703F9D70400EB80002</v>
      </c>
      <c r="BV125"/>
    </row>
    <row r="126" spans="1:74" x14ac:dyDescent="0.25">
      <c r="A126" s="1" t="str">
        <f xml:space="preserve"> LEFT(Sng2String(Table1[[#This Row],[c bias]]), 6)</f>
        <v>3F9EB8</v>
      </c>
      <c r="B126" s="1" t="str">
        <f xml:space="preserve"> LEFT(Sng2String(Table1[[#This Row],[a bias]]), 6)</f>
        <v>400F5C</v>
      </c>
      <c r="C126" s="1" t="str">
        <f xml:space="preserve"> LEFT(Sng2String(Table1[[#This Row],[g bias]]), 6)</f>
        <v>3FDEB8</v>
      </c>
      <c r="D126" s="1" t="str">
        <f xml:space="preserve"> LEFT(Sng2String(Table1[[#This Row],[t bias]]), 6)</f>
        <v>3F9EB8</v>
      </c>
      <c r="E126" s="1" t="str">
        <f xml:space="preserve"> LEFT(Sng2String(Table1[[#This Row],[c gain]]), 6)</f>
        <v>400F5C</v>
      </c>
      <c r="F126" s="1" t="str">
        <f xml:space="preserve"> LEFT(Sng2String(Table1[[#This Row],[a gain]]), 6)</f>
        <v>3FDEB8</v>
      </c>
      <c r="G126" s="1" t="str">
        <f xml:space="preserve"> LEFT(Sng2String(Table1[[#This Row],[g gain]]), 6)</f>
        <v>3F8F5C</v>
      </c>
      <c r="H126" s="1" t="str">
        <f xml:space="preserve"> LEFT(Sng2String(Table1[[#This Row],[t gain]]), 6)</f>
        <v>400F5C</v>
      </c>
      <c r="I126" t="str">
        <f xml:space="preserve"> Sng2String(Table1[[#This Row],[c ptrace]])</f>
        <v>3F9EB800</v>
      </c>
      <c r="J126" t="str">
        <f xml:space="preserve"> Sng2String(Table1[[#This Row],[a ptrace]])</f>
        <v>400F5C00</v>
      </c>
      <c r="K126" t="str">
        <f xml:space="preserve"> Sng2String(Table1[[#This Row],[g ptrace]])</f>
        <v>3FDEB800</v>
      </c>
      <c r="L126" t="str">
        <f>Sng2String(Table1[[#This Row],[t ptrace]])</f>
        <v>3F9EB800</v>
      </c>
      <c r="M126" t="str">
        <f xml:space="preserve"> INDEX(SmallFP!$A$1:$A$256, Table1[[#This Row],[ISMI]]+1)</f>
        <v>42FA00</v>
      </c>
      <c r="N126" t="str">
        <f>Single2String(Table1[[#This Row],[c ctrace]])</f>
        <v>431AFFB0</v>
      </c>
      <c r="O126" t="str">
        <f>Single2String(Table1[[#This Row],[a ctrace]])</f>
        <v>438BFFD8</v>
      </c>
      <c r="P126" t="str">
        <f xml:space="preserve"> Single2String(Table1[[#This Row],[g ctrace]])</f>
        <v>43597FB0</v>
      </c>
      <c r="Q126" t="str">
        <f xml:space="preserve"> Single2String(Table1[[#This Row],[t ctrace]])</f>
        <v>431AFFB0</v>
      </c>
      <c r="R126" t="str">
        <f>Single2String(Table1[[#This Row],[grn and red ctrace]])</f>
        <v>4449DFB0</v>
      </c>
      <c r="S126">
        <v>124</v>
      </c>
      <c r="T126" t="str">
        <f>DEC2HEX(Table1[[#This Row],[ZMW num]])</f>
        <v>7C</v>
      </c>
      <c r="U126">
        <f>Table1[[#This Row],[ZMW num]]+1</f>
        <v>125</v>
      </c>
      <c r="V126">
        <v>9</v>
      </c>
      <c r="W126">
        <f t="shared" si="2"/>
        <v>105</v>
      </c>
      <c r="X126">
        <v>249</v>
      </c>
      <c r="Y126">
        <v>6</v>
      </c>
      <c r="Z126">
        <f>MOD(Table1[[#This Row],[ZMW num]], 2^8)</f>
        <v>124</v>
      </c>
      <c r="AA126">
        <f xml:space="preserve"> String2Single(Table1[[#This Row],[t ISIM hex]] &amp; "00")</f>
        <v>125</v>
      </c>
      <c r="AB126">
        <f>'Pulse data'!O129</f>
        <v>0</v>
      </c>
      <c r="AC126">
        <f>Table1[[#This Row],[ZMW num]]*0.01</f>
        <v>1.24</v>
      </c>
      <c r="AD126">
        <f>1+Table1[[#This Row],[t bias]]</f>
        <v>2.2400000000000002</v>
      </c>
      <c r="AE126">
        <f>Table1[[#This Row],[t kinetic trace]]* String2Single(CONCATENATE(Table1[[#This Row],[t gain hex]], "00")) + String2Single(CONCATENATE(Table1[[#This Row],[t bias hex]], "00"))</f>
        <v>1.239990234375</v>
      </c>
      <c r="AF126">
        <f xml:space="preserve"> Table1[[#This Row],[t ptrace]]*Table1[[#This Row],[ISM]]</f>
        <v>154.998779296875</v>
      </c>
      <c r="AG126">
        <f>'Pulse data'!N129</f>
        <v>0</v>
      </c>
      <c r="AH126">
        <f>Table1[[#This Row],[t bias]]+0.5</f>
        <v>1.74</v>
      </c>
      <c r="AI126">
        <f>Table1[[#This Row],[t gain]]/2</f>
        <v>1.1200000000000001</v>
      </c>
      <c r="AJ126">
        <f>Table1[[#This Row],[g kinetic trace]]* String2Single(CONCATENATE(Table1[[#This Row],[g gain hex]], "00")) + String2Single(CONCATENATE(Table1[[#This Row],[g bias hex]], "00"))</f>
        <v>1.739990234375</v>
      </c>
      <c r="AK126">
        <f xml:space="preserve"> Table1[[#This Row],[g ptrace]]*Table1[[#This Row],[ISM]]</f>
        <v>217.498779296875</v>
      </c>
      <c r="AL126">
        <f>'Pulse data'!M129</f>
        <v>0</v>
      </c>
      <c r="AM126">
        <f>Table1[[#This Row],[t bias]]+1</f>
        <v>2.2400000000000002</v>
      </c>
      <c r="AN126">
        <f>Table1[[#This Row],[t gain]]-0.5</f>
        <v>1.7400000000000002</v>
      </c>
      <c r="AO126">
        <f>Table1[[#This Row],[a kinetic trace]]* String2Single(CONCATENATE(Table1[[#This Row],[a gain hex]], "00")) + String2Single(CONCATENATE(Table1[[#This Row],[a bias hex]], "00"))</f>
        <v>2.239990234375</v>
      </c>
      <c r="AP126">
        <f xml:space="preserve"> Table1[[#This Row],[a ptrace]]*Table1[[#This Row],[ISM]]</f>
        <v>279.998779296875</v>
      </c>
      <c r="AQ126">
        <f>'Pulse data'!L129</f>
        <v>0</v>
      </c>
      <c r="AR126">
        <f>Table1[[#This Row],[t bias]]</f>
        <v>1.24</v>
      </c>
      <c r="AS126">
        <f>Table1[[#This Row],[t gain]]</f>
        <v>2.2400000000000002</v>
      </c>
      <c r="AT126">
        <f>Table1[[#This Row],[c kinetic trace]]* String2Single(CONCATENATE(Table1[[#This Row],[c gain hex]], "00")) + String2Single(CONCATENATE(Table1[[#This Row],[c bias hex]], "00"))</f>
        <v>1.239990234375</v>
      </c>
      <c r="AU126">
        <f xml:space="preserve"> Table1[[#This Row],[c ptrace]]*Table1[[#This Row],[ISM]]</f>
        <v>154.998779296875</v>
      </c>
      <c r="AV126">
        <f xml:space="preserve"> Table1[[#This Row],[t ctrace]] + Table1[[#This Row],[g ctrace]] + Table1[[#This Row],[a ctrace]] + Table1[[#This Row],[c ctrace]]</f>
        <v>807.4951171875</v>
      </c>
      <c r="AW126" s="2" t="str">
        <f>DEC2HEX(Table1[[#This Row],[row]], 3)</f>
        <v>009</v>
      </c>
      <c r="AX126" s="1" t="str">
        <f>DEC2HEX(Table1[[#This Row],[col]], 3)</f>
        <v>069</v>
      </c>
      <c r="AY126" s="1" t="str">
        <f>DEC2HEX(Table1[[#This Row],[grn fsp idx]], 2)</f>
        <v>F9</v>
      </c>
      <c r="AZ126" s="1" t="str">
        <f>DEC2HEX(Table1[[#This Row],[red fsp idx]], 2)</f>
        <v>06</v>
      </c>
      <c r="BA126" s="1" t="str">
        <f>DEC2HEX(Table1[[#This Row],[ISMI]], 2)</f>
        <v>7C</v>
      </c>
      <c r="BB126" s="1">
        <f>LEN(Table1[[#This Row],[DRAM data]])</f>
        <v>64</v>
      </c>
      <c r="BC12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009069F9067C3F9EB8400F5C3FDEB83F8F5C400F5C3FDEB83F9EB8400F5C0002</v>
      </c>
      <c r="BV126"/>
    </row>
    <row r="127" spans="1:74" x14ac:dyDescent="0.25">
      <c r="A127" s="1" t="str">
        <f xml:space="preserve"> LEFT(Sng2String(Table1[[#This Row],[c bias]]), 6)</f>
        <v>3FA000</v>
      </c>
      <c r="B127" s="1" t="str">
        <f xml:space="preserve"> LEFT(Sng2String(Table1[[#This Row],[a bias]]), 6)</f>
        <v>401000</v>
      </c>
      <c r="C127" s="1" t="str">
        <f xml:space="preserve"> LEFT(Sng2String(Table1[[#This Row],[g bias]]), 6)</f>
        <v>3FE000</v>
      </c>
      <c r="D127" s="1" t="str">
        <f xml:space="preserve"> LEFT(Sng2String(Table1[[#This Row],[t bias]]), 6)</f>
        <v>3FA000</v>
      </c>
      <c r="E127" s="1" t="str">
        <f xml:space="preserve"> LEFT(Sng2String(Table1[[#This Row],[c gain]]), 6)</f>
        <v>401000</v>
      </c>
      <c r="F127" s="1" t="str">
        <f xml:space="preserve"> LEFT(Sng2String(Table1[[#This Row],[a gain]]), 6)</f>
        <v>3FE000</v>
      </c>
      <c r="G127" s="1" t="str">
        <f xml:space="preserve"> LEFT(Sng2String(Table1[[#This Row],[g gain]]), 6)</f>
        <v>3F9000</v>
      </c>
      <c r="H127" s="1" t="str">
        <f xml:space="preserve"> LEFT(Sng2String(Table1[[#This Row],[t gain]]), 6)</f>
        <v>401000</v>
      </c>
      <c r="I127" t="str">
        <f xml:space="preserve"> Sng2String(Table1[[#This Row],[c ptrace]])</f>
        <v>3FA00000</v>
      </c>
      <c r="J127" t="str">
        <f xml:space="preserve"> Sng2String(Table1[[#This Row],[a ptrace]])</f>
        <v>40100000</v>
      </c>
      <c r="K127" t="str">
        <f xml:space="preserve"> Sng2String(Table1[[#This Row],[g ptrace]])</f>
        <v>3FE00000</v>
      </c>
      <c r="L127" t="str">
        <f>Sng2String(Table1[[#This Row],[t ptrace]])</f>
        <v>3FA00000</v>
      </c>
      <c r="M127" t="str">
        <f xml:space="preserve"> INDEX(SmallFP!$A$1:$A$256, Table1[[#This Row],[ISMI]]+1)</f>
        <v>42FC00</v>
      </c>
      <c r="N127" t="str">
        <f>Single2String(Table1[[#This Row],[c ctrace]])</f>
        <v>431D8000</v>
      </c>
      <c r="O127" t="str">
        <f>Single2String(Table1[[#This Row],[a ctrace]])</f>
        <v>438DC000</v>
      </c>
      <c r="P127" t="str">
        <f xml:space="preserve"> Single2String(Table1[[#This Row],[g ctrace]])</f>
        <v>435C8000</v>
      </c>
      <c r="Q127" t="str">
        <f xml:space="preserve"> Single2String(Table1[[#This Row],[t ctrace]])</f>
        <v>431D8000</v>
      </c>
      <c r="R127" t="str">
        <f>Single2String(Table1[[#This Row],[grn and red ctrace]])</f>
        <v>444CC000</v>
      </c>
      <c r="S127">
        <v>125</v>
      </c>
      <c r="T127" t="str">
        <f>DEC2HEX(Table1[[#This Row],[ZMW num]])</f>
        <v>7D</v>
      </c>
      <c r="U127">
        <f>Table1[[#This Row],[ZMW num]]+1</f>
        <v>126</v>
      </c>
      <c r="V127">
        <v>9</v>
      </c>
      <c r="W127">
        <f t="shared" si="2"/>
        <v>110</v>
      </c>
      <c r="X127">
        <v>251</v>
      </c>
      <c r="Y127">
        <v>4</v>
      </c>
      <c r="Z127">
        <f>MOD(Table1[[#This Row],[ZMW num]], 2^8)</f>
        <v>125</v>
      </c>
      <c r="AA127">
        <f xml:space="preserve"> String2Single(Table1[[#This Row],[t ISIM hex]] &amp; "00")</f>
        <v>126</v>
      </c>
      <c r="AB127">
        <f>'Pulse data'!O130</f>
        <v>0</v>
      </c>
      <c r="AC127">
        <f>Table1[[#This Row],[ZMW num]]*0.01</f>
        <v>1.25</v>
      </c>
      <c r="AD127">
        <f>1+Table1[[#This Row],[t bias]]</f>
        <v>2.25</v>
      </c>
      <c r="AE127">
        <f>Table1[[#This Row],[t kinetic trace]]* String2Single(CONCATENATE(Table1[[#This Row],[t gain hex]], "00")) + String2Single(CONCATENATE(Table1[[#This Row],[t bias hex]], "00"))</f>
        <v>1.25</v>
      </c>
      <c r="AF127">
        <f xml:space="preserve"> Table1[[#This Row],[t ptrace]]*Table1[[#This Row],[ISM]]</f>
        <v>157.5</v>
      </c>
      <c r="AG127">
        <f>'Pulse data'!N130</f>
        <v>0</v>
      </c>
      <c r="AH127">
        <f>Table1[[#This Row],[t bias]]+0.5</f>
        <v>1.75</v>
      </c>
      <c r="AI127">
        <f>Table1[[#This Row],[t gain]]/2</f>
        <v>1.125</v>
      </c>
      <c r="AJ127">
        <f>Table1[[#This Row],[g kinetic trace]]* String2Single(CONCATENATE(Table1[[#This Row],[g gain hex]], "00")) + String2Single(CONCATENATE(Table1[[#This Row],[g bias hex]], "00"))</f>
        <v>1.75</v>
      </c>
      <c r="AK127">
        <f xml:space="preserve"> Table1[[#This Row],[g ptrace]]*Table1[[#This Row],[ISM]]</f>
        <v>220.5</v>
      </c>
      <c r="AL127">
        <f>'Pulse data'!M130</f>
        <v>0</v>
      </c>
      <c r="AM127">
        <f>Table1[[#This Row],[t bias]]+1</f>
        <v>2.25</v>
      </c>
      <c r="AN127">
        <f>Table1[[#This Row],[t gain]]-0.5</f>
        <v>1.75</v>
      </c>
      <c r="AO127">
        <f>Table1[[#This Row],[a kinetic trace]]* String2Single(CONCATENATE(Table1[[#This Row],[a gain hex]], "00")) + String2Single(CONCATENATE(Table1[[#This Row],[a bias hex]], "00"))</f>
        <v>2.25</v>
      </c>
      <c r="AP127">
        <f xml:space="preserve"> Table1[[#This Row],[a ptrace]]*Table1[[#This Row],[ISM]]</f>
        <v>283.5</v>
      </c>
      <c r="AQ127">
        <f>'Pulse data'!L130</f>
        <v>0</v>
      </c>
      <c r="AR127">
        <f>Table1[[#This Row],[t bias]]</f>
        <v>1.25</v>
      </c>
      <c r="AS127">
        <f>Table1[[#This Row],[t gain]]</f>
        <v>2.25</v>
      </c>
      <c r="AT127">
        <f>Table1[[#This Row],[c kinetic trace]]* String2Single(CONCATENATE(Table1[[#This Row],[c gain hex]], "00")) + String2Single(CONCATENATE(Table1[[#This Row],[c bias hex]], "00"))</f>
        <v>1.25</v>
      </c>
      <c r="AU127">
        <f xml:space="preserve"> Table1[[#This Row],[c ptrace]]*Table1[[#This Row],[ISM]]</f>
        <v>157.5</v>
      </c>
      <c r="AV127">
        <f xml:space="preserve"> Table1[[#This Row],[t ctrace]] + Table1[[#This Row],[g ctrace]] + Table1[[#This Row],[a ctrace]] + Table1[[#This Row],[c ctrace]]</f>
        <v>819</v>
      </c>
      <c r="AW127" s="2" t="str">
        <f>DEC2HEX(Table1[[#This Row],[row]], 3)</f>
        <v>009</v>
      </c>
      <c r="AX127" s="1" t="str">
        <f>DEC2HEX(Table1[[#This Row],[col]], 3)</f>
        <v>06E</v>
      </c>
      <c r="AY127" s="1" t="str">
        <f>DEC2HEX(Table1[[#This Row],[grn fsp idx]], 2)</f>
        <v>FB</v>
      </c>
      <c r="AZ127" s="1" t="str">
        <f>DEC2HEX(Table1[[#This Row],[red fsp idx]], 2)</f>
        <v>04</v>
      </c>
      <c r="BA127" s="1" t="str">
        <f>DEC2HEX(Table1[[#This Row],[ISMI]], 2)</f>
        <v>7D</v>
      </c>
      <c r="BB127" s="1">
        <f>LEN(Table1[[#This Row],[DRAM data]])</f>
        <v>64</v>
      </c>
      <c r="BC12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00906EFB047D3FA0004010003FE0003F90004010003FE0003FA0004010000002</v>
      </c>
      <c r="BV127"/>
    </row>
    <row r="128" spans="1:74" x14ac:dyDescent="0.25">
      <c r="A128" s="1" t="str">
        <f xml:space="preserve"> LEFT(Sng2String(Table1[[#This Row],[c bias]]), 6)</f>
        <v>3FA147</v>
      </c>
      <c r="B128" s="1" t="str">
        <f xml:space="preserve"> LEFT(Sng2String(Table1[[#This Row],[a bias]]), 6)</f>
        <v>4010A3</v>
      </c>
      <c r="C128" s="1" t="str">
        <f xml:space="preserve"> LEFT(Sng2String(Table1[[#This Row],[g bias]]), 6)</f>
        <v>3FE147</v>
      </c>
      <c r="D128" s="1" t="str">
        <f xml:space="preserve"> LEFT(Sng2String(Table1[[#This Row],[t bias]]), 6)</f>
        <v>3FA147</v>
      </c>
      <c r="E128" s="1" t="str">
        <f xml:space="preserve"> LEFT(Sng2String(Table1[[#This Row],[c gain]]), 6)</f>
        <v>4010A3</v>
      </c>
      <c r="F128" s="1" t="str">
        <f xml:space="preserve"> LEFT(Sng2String(Table1[[#This Row],[a gain]]), 6)</f>
        <v>3FE147</v>
      </c>
      <c r="G128" s="1" t="str">
        <f xml:space="preserve"> LEFT(Sng2String(Table1[[#This Row],[g gain]]), 6)</f>
        <v>3F90A3</v>
      </c>
      <c r="H128" s="1" t="str">
        <f xml:space="preserve"> LEFT(Sng2String(Table1[[#This Row],[t gain]]), 6)</f>
        <v>4010A3</v>
      </c>
      <c r="I128" t="str">
        <f xml:space="preserve"> Sng2String(Table1[[#This Row],[c ptrace]])</f>
        <v>3FA14700</v>
      </c>
      <c r="J128" t="str">
        <f xml:space="preserve"> Sng2String(Table1[[#This Row],[a ptrace]])</f>
        <v>4010A300</v>
      </c>
      <c r="K128" t="str">
        <f xml:space="preserve"> Sng2String(Table1[[#This Row],[g ptrace]])</f>
        <v>3FE14700</v>
      </c>
      <c r="L128" t="str">
        <f>Sng2String(Table1[[#This Row],[t ptrace]])</f>
        <v>3FA14700</v>
      </c>
      <c r="M128" t="str">
        <f xml:space="preserve"> INDEX(SmallFP!$A$1:$A$256, Table1[[#This Row],[ISMI]]+1)</f>
        <v>42FE00</v>
      </c>
      <c r="N128" t="str">
        <f>Single2String(Table1[[#This Row],[c ctrace]])</f>
        <v>43200472</v>
      </c>
      <c r="O128" t="str">
        <f>Single2String(Table1[[#This Row],[a ctrace]])</f>
        <v>438F81BA</v>
      </c>
      <c r="P128" t="str">
        <f xml:space="preserve"> Single2String(Table1[[#This Row],[g ctrace]])</f>
        <v>435F8472</v>
      </c>
      <c r="Q128" t="str">
        <f xml:space="preserve"> Single2String(Table1[[#This Row],[t ctrace]])</f>
        <v>43200472</v>
      </c>
      <c r="R128" t="str">
        <f>Single2String(Table1[[#This Row],[grn and red ctrace]])</f>
        <v>444FA432</v>
      </c>
      <c r="S128">
        <v>126</v>
      </c>
      <c r="T128" t="str">
        <f>DEC2HEX(Table1[[#This Row],[ZMW num]])</f>
        <v>7E</v>
      </c>
      <c r="U128">
        <f>Table1[[#This Row],[ZMW num]]+1</f>
        <v>127</v>
      </c>
      <c r="V128">
        <v>9</v>
      </c>
      <c r="W128">
        <f t="shared" si="2"/>
        <v>118</v>
      </c>
      <c r="X128">
        <v>253</v>
      </c>
      <c r="Y128">
        <v>2</v>
      </c>
      <c r="Z128">
        <f>MOD(Table1[[#This Row],[ZMW num]], 2^8)</f>
        <v>126</v>
      </c>
      <c r="AA128">
        <f xml:space="preserve"> String2Single(Table1[[#This Row],[t ISIM hex]] &amp; "00")</f>
        <v>127</v>
      </c>
      <c r="AB128">
        <f>'Pulse data'!O131</f>
        <v>0</v>
      </c>
      <c r="AC128">
        <f>Table1[[#This Row],[ZMW num]]*0.01</f>
        <v>1.26</v>
      </c>
      <c r="AD128">
        <f>1+Table1[[#This Row],[t bias]]</f>
        <v>2.2599999999999998</v>
      </c>
      <c r="AE128">
        <f>Table1[[#This Row],[t kinetic trace]]* String2Single(CONCATENATE(Table1[[#This Row],[t gain hex]], "00")) + String2Single(CONCATENATE(Table1[[#This Row],[t bias hex]], "00"))</f>
        <v>1.259979248046875</v>
      </c>
      <c r="AF128">
        <f xml:space="preserve"> Table1[[#This Row],[t ptrace]]*Table1[[#This Row],[ISM]]</f>
        <v>160.01736450195312</v>
      </c>
      <c r="AG128">
        <f>'Pulse data'!N131</f>
        <v>0</v>
      </c>
      <c r="AH128">
        <f>Table1[[#This Row],[t bias]]+0.5</f>
        <v>1.76</v>
      </c>
      <c r="AI128">
        <f>Table1[[#This Row],[t gain]]/2</f>
        <v>1.1299999999999999</v>
      </c>
      <c r="AJ128">
        <f>Table1[[#This Row],[g kinetic trace]]* String2Single(CONCATENATE(Table1[[#This Row],[g gain hex]], "00")) + String2Single(CONCATENATE(Table1[[#This Row],[g bias hex]], "00"))</f>
        <v>1.759979248046875</v>
      </c>
      <c r="AK128">
        <f xml:space="preserve"> Table1[[#This Row],[g ptrace]]*Table1[[#This Row],[ISM]]</f>
        <v>223.51736450195312</v>
      </c>
      <c r="AL128">
        <f>'Pulse data'!M131</f>
        <v>0</v>
      </c>
      <c r="AM128">
        <f>Table1[[#This Row],[t bias]]+1</f>
        <v>2.2599999999999998</v>
      </c>
      <c r="AN128">
        <f>Table1[[#This Row],[t gain]]-0.5</f>
        <v>1.7599999999999998</v>
      </c>
      <c r="AO128">
        <f>Table1[[#This Row],[a kinetic trace]]* String2Single(CONCATENATE(Table1[[#This Row],[a gain hex]], "00")) + String2Single(CONCATENATE(Table1[[#This Row],[a bias hex]], "00"))</f>
        <v>2.25994873046875</v>
      </c>
      <c r="AP128">
        <f xml:space="preserve"> Table1[[#This Row],[a ptrace]]*Table1[[#This Row],[ISM]]</f>
        <v>287.01348876953125</v>
      </c>
      <c r="AQ128">
        <f>'Pulse data'!L131</f>
        <v>0</v>
      </c>
      <c r="AR128">
        <f>Table1[[#This Row],[t bias]]</f>
        <v>1.26</v>
      </c>
      <c r="AS128">
        <f>Table1[[#This Row],[t gain]]</f>
        <v>2.2599999999999998</v>
      </c>
      <c r="AT128">
        <f>Table1[[#This Row],[c kinetic trace]]* String2Single(CONCATENATE(Table1[[#This Row],[c gain hex]], "00")) + String2Single(CONCATENATE(Table1[[#This Row],[c bias hex]], "00"))</f>
        <v>1.259979248046875</v>
      </c>
      <c r="AU128">
        <f xml:space="preserve"> Table1[[#This Row],[c ptrace]]*Table1[[#This Row],[ISM]]</f>
        <v>160.01736450195312</v>
      </c>
      <c r="AV128">
        <f xml:space="preserve"> Table1[[#This Row],[t ctrace]] + Table1[[#This Row],[g ctrace]] + Table1[[#This Row],[a ctrace]] + Table1[[#This Row],[c ctrace]]</f>
        <v>830.56558227539062</v>
      </c>
      <c r="AW128" s="2" t="str">
        <f>DEC2HEX(Table1[[#This Row],[row]], 3)</f>
        <v>009</v>
      </c>
      <c r="AX128" s="1" t="str">
        <f>DEC2HEX(Table1[[#This Row],[col]], 3)</f>
        <v>076</v>
      </c>
      <c r="AY128" s="1" t="str">
        <f>DEC2HEX(Table1[[#This Row],[grn fsp idx]], 2)</f>
        <v>FD</v>
      </c>
      <c r="AZ128" s="1" t="str">
        <f>DEC2HEX(Table1[[#This Row],[red fsp idx]], 2)</f>
        <v>02</v>
      </c>
      <c r="BA128" s="1" t="str">
        <f>DEC2HEX(Table1[[#This Row],[ISMI]], 2)</f>
        <v>7E</v>
      </c>
      <c r="BB128" s="1">
        <f>LEN(Table1[[#This Row],[DRAM data]])</f>
        <v>64</v>
      </c>
      <c r="BC12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009076FD027E3FA1474010A33FE1473F90A34010A33FE1473FA1474010A30002</v>
      </c>
      <c r="BV128"/>
    </row>
    <row r="129" spans="1:74" x14ac:dyDescent="0.25">
      <c r="A129" s="1" t="str">
        <f xml:space="preserve"> LEFT(Sng2String(Table1[[#This Row],[c bias]]), 6)</f>
        <v>3FA28F</v>
      </c>
      <c r="B129" s="1" t="str">
        <f xml:space="preserve"> LEFT(Sng2String(Table1[[#This Row],[a bias]]), 6)</f>
        <v>401147</v>
      </c>
      <c r="C129" s="1" t="str">
        <f xml:space="preserve"> LEFT(Sng2String(Table1[[#This Row],[g bias]]), 6)</f>
        <v>3FE28F</v>
      </c>
      <c r="D129" s="1" t="str">
        <f xml:space="preserve"> LEFT(Sng2String(Table1[[#This Row],[t bias]]), 6)</f>
        <v>3FA28F</v>
      </c>
      <c r="E129" s="1" t="str">
        <f xml:space="preserve"> LEFT(Sng2String(Table1[[#This Row],[c gain]]), 6)</f>
        <v>401147</v>
      </c>
      <c r="F129" s="1" t="str">
        <f xml:space="preserve"> LEFT(Sng2String(Table1[[#This Row],[a gain]]), 6)</f>
        <v>3FE28F</v>
      </c>
      <c r="G129" s="1" t="str">
        <f xml:space="preserve"> LEFT(Sng2String(Table1[[#This Row],[g gain]]), 6)</f>
        <v>3F9147</v>
      </c>
      <c r="H129" s="1" t="str">
        <f xml:space="preserve"> LEFT(Sng2String(Table1[[#This Row],[t gain]]), 6)</f>
        <v>401147</v>
      </c>
      <c r="I129" t="str">
        <f xml:space="preserve"> Sng2String(Table1[[#This Row],[c ptrace]])</f>
        <v>3FA28F00</v>
      </c>
      <c r="J129" t="str">
        <f xml:space="preserve"> Sng2String(Table1[[#This Row],[a ptrace]])</f>
        <v>40114700</v>
      </c>
      <c r="K129" t="str">
        <f xml:space="preserve"> Sng2String(Table1[[#This Row],[g ptrace]])</f>
        <v>3FE28F00</v>
      </c>
      <c r="L129" t="str">
        <f>Sng2String(Table1[[#This Row],[t ptrace]])</f>
        <v>3FA28F00</v>
      </c>
      <c r="M129" t="str">
        <f xml:space="preserve"> INDEX(SmallFP!$A$1:$A$256, Table1[[#This Row],[ISMI]]+1)</f>
        <v>430000</v>
      </c>
      <c r="N129" t="str">
        <f>Single2String(Table1[[#This Row],[c ctrace]])</f>
        <v>43228F00</v>
      </c>
      <c r="O129" t="str">
        <f>Single2String(Table1[[#This Row],[a ctrace]])</f>
        <v>43914700</v>
      </c>
      <c r="P129" t="str">
        <f xml:space="preserve"> Single2String(Table1[[#This Row],[g ctrace]])</f>
        <v>43628F00</v>
      </c>
      <c r="Q129" t="str">
        <f xml:space="preserve"> Single2String(Table1[[#This Row],[t ctrace]])</f>
        <v>43228F00</v>
      </c>
      <c r="R129" t="str">
        <f>Single2String(Table1[[#This Row],[grn and red ctrace]])</f>
        <v>44528EC0</v>
      </c>
      <c r="S129">
        <v>127</v>
      </c>
      <c r="T129" t="str">
        <f>DEC2HEX(Table1[[#This Row],[ZMW num]])</f>
        <v>7F</v>
      </c>
      <c r="U129">
        <f>Table1[[#This Row],[ZMW num]]+1</f>
        <v>128</v>
      </c>
      <c r="V129">
        <v>9</v>
      </c>
      <c r="W129">
        <f t="shared" si="2"/>
        <v>124</v>
      </c>
      <c r="X129">
        <v>255</v>
      </c>
      <c r="Y129">
        <v>0</v>
      </c>
      <c r="Z129">
        <f>MOD(Table1[[#This Row],[ZMW num]], 2^8)</f>
        <v>127</v>
      </c>
      <c r="AA129">
        <f xml:space="preserve"> String2Single(Table1[[#This Row],[t ISIM hex]] &amp; "00")</f>
        <v>128</v>
      </c>
      <c r="AB129">
        <f>'Pulse data'!O132</f>
        <v>0</v>
      </c>
      <c r="AC129">
        <f>Table1[[#This Row],[ZMW num]]*0.01</f>
        <v>1.27</v>
      </c>
      <c r="AD129">
        <f>1+Table1[[#This Row],[t bias]]</f>
        <v>2.27</v>
      </c>
      <c r="AE129">
        <f>Table1[[#This Row],[t kinetic trace]]* String2Single(CONCATENATE(Table1[[#This Row],[t gain hex]], "00")) + String2Single(CONCATENATE(Table1[[#This Row],[t bias hex]], "00"))</f>
        <v>1.269989013671875</v>
      </c>
      <c r="AF129">
        <f xml:space="preserve"> Table1[[#This Row],[t ptrace]]*Table1[[#This Row],[ISM]]</f>
        <v>162.55859375</v>
      </c>
      <c r="AG129">
        <f>'Pulse data'!N132</f>
        <v>0</v>
      </c>
      <c r="AH129">
        <f>Table1[[#This Row],[t bias]]+0.5</f>
        <v>1.77</v>
      </c>
      <c r="AI129">
        <f>Table1[[#This Row],[t gain]]/2</f>
        <v>1.135</v>
      </c>
      <c r="AJ129">
        <f>Table1[[#This Row],[g kinetic trace]]* String2Single(CONCATENATE(Table1[[#This Row],[g gain hex]], "00")) + String2Single(CONCATENATE(Table1[[#This Row],[g bias hex]], "00"))</f>
        <v>1.769989013671875</v>
      </c>
      <c r="AK129">
        <f xml:space="preserve"> Table1[[#This Row],[g ptrace]]*Table1[[#This Row],[ISM]]</f>
        <v>226.55859375</v>
      </c>
      <c r="AL129">
        <f>'Pulse data'!M132</f>
        <v>0</v>
      </c>
      <c r="AM129">
        <f>Table1[[#This Row],[t bias]]+1</f>
        <v>2.27</v>
      </c>
      <c r="AN129">
        <f>Table1[[#This Row],[t gain]]-0.5</f>
        <v>1.77</v>
      </c>
      <c r="AO129">
        <f>Table1[[#This Row],[a kinetic trace]]* String2Single(CONCATENATE(Table1[[#This Row],[a gain hex]], "00")) + String2Single(CONCATENATE(Table1[[#This Row],[a bias hex]], "00"))</f>
        <v>2.26995849609375</v>
      </c>
      <c r="AP129">
        <f xml:space="preserve"> Table1[[#This Row],[a ptrace]]*Table1[[#This Row],[ISM]]</f>
        <v>290.5546875</v>
      </c>
      <c r="AQ129">
        <f>'Pulse data'!L132</f>
        <v>0</v>
      </c>
      <c r="AR129">
        <f>Table1[[#This Row],[t bias]]</f>
        <v>1.27</v>
      </c>
      <c r="AS129">
        <f>Table1[[#This Row],[t gain]]</f>
        <v>2.27</v>
      </c>
      <c r="AT129">
        <f>Table1[[#This Row],[c kinetic trace]]* String2Single(CONCATENATE(Table1[[#This Row],[c gain hex]], "00")) + String2Single(CONCATENATE(Table1[[#This Row],[c bias hex]], "00"))</f>
        <v>1.269989013671875</v>
      </c>
      <c r="AU129">
        <f xml:space="preserve"> Table1[[#This Row],[c ptrace]]*Table1[[#This Row],[ISM]]</f>
        <v>162.55859375</v>
      </c>
      <c r="AV129">
        <f xml:space="preserve"> Table1[[#This Row],[t ctrace]] + Table1[[#This Row],[g ctrace]] + Table1[[#This Row],[a ctrace]] + Table1[[#This Row],[c ctrace]]</f>
        <v>842.23046875</v>
      </c>
      <c r="AW129" s="2" t="str">
        <f>DEC2HEX(Table1[[#This Row],[row]], 3)</f>
        <v>009</v>
      </c>
      <c r="AX129" s="1" t="str">
        <f>DEC2HEX(Table1[[#This Row],[col]], 3)</f>
        <v>07C</v>
      </c>
      <c r="AY129" s="1" t="str">
        <f>DEC2HEX(Table1[[#This Row],[grn fsp idx]], 2)</f>
        <v>FF</v>
      </c>
      <c r="AZ129" s="1" t="str">
        <f>DEC2HEX(Table1[[#This Row],[red fsp idx]], 2)</f>
        <v>00</v>
      </c>
      <c r="BA129" s="1" t="str">
        <f>DEC2HEX(Table1[[#This Row],[ISMI]], 2)</f>
        <v>7F</v>
      </c>
      <c r="BB129" s="1">
        <f>LEN(Table1[[#This Row],[DRAM data]])</f>
        <v>64</v>
      </c>
      <c r="BC12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00907CFF007F3FA28F4011473FE28F3F91474011473FE28F3FA28F4011470002</v>
      </c>
      <c r="BV12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U132"/>
  <sheetViews>
    <sheetView workbookViewId="0">
      <selection activeCell="J6" sqref="J6"/>
    </sheetView>
  </sheetViews>
  <sheetFormatPr defaultRowHeight="15" x14ac:dyDescent="0.25"/>
  <cols>
    <col min="2" max="2" width="9.5703125" customWidth="1"/>
    <col min="4" max="4" width="9.28515625" customWidth="1"/>
    <col min="7" max="7" width="8.5703125" customWidth="1"/>
    <col min="8" max="8" width="9.140625" customWidth="1"/>
    <col min="9" max="9" width="8.85546875" customWidth="1"/>
    <col min="10" max="10" width="9.5703125" customWidth="1"/>
    <col min="11" max="11" width="6" customWidth="1"/>
    <col min="12" max="12" width="6.5703125" customWidth="1"/>
    <col min="13" max="13" width="7.140625" customWidth="1"/>
    <col min="14" max="14" width="6.5703125" customWidth="1"/>
    <col min="15" max="15" width="6.28515625" customWidth="1"/>
    <col min="16" max="16" width="6.5703125" customWidth="1"/>
    <col min="17" max="17" width="6.140625" customWidth="1"/>
    <col min="18" max="18" width="6.5703125" customWidth="1"/>
    <col min="19" max="26" width="6.7109375" customWidth="1"/>
    <col min="27" max="27" width="6.42578125" customWidth="1"/>
    <col min="28" max="28" width="6.140625" customWidth="1"/>
    <col min="29" max="29" width="6.42578125" customWidth="1"/>
    <col min="30" max="30" width="5" customWidth="1"/>
    <col min="31" max="31" width="4.85546875" customWidth="1"/>
    <col min="32" max="32" width="6.140625" customWidth="1"/>
    <col min="33" max="33" width="6.7109375" customWidth="1"/>
    <col min="34" max="34" width="3.5703125" customWidth="1"/>
    <col min="35" max="36" width="6.28515625" customWidth="1"/>
    <col min="37" max="37" width="4.28515625" customWidth="1"/>
    <col min="38" max="38" width="4.42578125" customWidth="1"/>
    <col min="39" max="39" width="6.5703125" customWidth="1"/>
    <col min="40" max="40" width="6.140625" customWidth="1"/>
    <col min="41" max="42" width="6.42578125" customWidth="1"/>
    <col min="43" max="43" width="6.28515625" customWidth="1"/>
    <col min="44" max="44" width="6.5703125" customWidth="1"/>
    <col min="45" max="45" width="6.28515625" customWidth="1"/>
    <col min="46" max="47" width="6.7109375" customWidth="1"/>
    <col min="48" max="48" width="7.28515625" customWidth="1"/>
    <col min="49" max="49" width="6.42578125" style="3" customWidth="1"/>
    <col min="50" max="51" width="5.140625" customWidth="1"/>
    <col min="52" max="52" width="5.42578125" customWidth="1"/>
    <col min="53" max="53" width="5" customWidth="1"/>
    <col min="54" max="55" width="6.5703125" customWidth="1"/>
    <col min="56" max="58" width="6.28515625" customWidth="1"/>
    <col min="59" max="59" width="6.5703125" customWidth="1"/>
    <col min="60" max="62" width="5.28515625" customWidth="1"/>
    <col min="63" max="65" width="5.5703125" customWidth="1"/>
    <col min="66" max="66" width="5.85546875" customWidth="1"/>
    <col min="67" max="68" width="6.42578125" customWidth="1"/>
    <col min="69" max="69" width="5.42578125" customWidth="1"/>
    <col min="70" max="71" width="5.140625" customWidth="1"/>
    <col min="72" max="74" width="5.42578125" customWidth="1"/>
    <col min="75" max="75" width="6.140625" customWidth="1"/>
    <col min="76" max="76" width="5.7109375" customWidth="1"/>
    <col min="77" max="78" width="6.42578125" customWidth="1"/>
    <col min="79" max="79" width="6.5703125" customWidth="1"/>
    <col min="80" max="80" width="9.140625" customWidth="1"/>
    <col min="81" max="81" width="8.85546875" customWidth="1"/>
    <col min="82" max="82" width="8.7109375" customWidth="1"/>
    <col min="83" max="83" width="9.140625" customWidth="1"/>
    <col min="84" max="84" width="9" customWidth="1"/>
    <col min="85" max="85" width="9.140625" customWidth="1"/>
    <col min="86" max="86" width="7.42578125" customWidth="1"/>
    <col min="87" max="88" width="4.28515625" customWidth="1"/>
    <col min="89" max="89" width="5.7109375" customWidth="1"/>
    <col min="90" max="90" width="6.5703125" customWidth="1"/>
    <col min="91" max="91" width="9.7109375" customWidth="1"/>
    <col min="92" max="92" width="5.5703125" customWidth="1"/>
    <col min="93" max="93" width="7.7109375" customWidth="1"/>
    <col min="94" max="94" width="5.28515625" customWidth="1"/>
    <col min="95" max="95" width="6" customWidth="1"/>
    <col min="96" max="96" width="9.140625" customWidth="1"/>
    <col min="97" max="97" width="6.7109375" customWidth="1"/>
    <col min="98" max="98" width="9.85546875" customWidth="1"/>
    <col min="99" max="99" width="5.85546875" style="3" customWidth="1"/>
    <col min="100" max="100" width="5.85546875" customWidth="1"/>
    <col min="101" max="102" width="5" customWidth="1"/>
    <col min="103" max="104" width="7.85546875" customWidth="1"/>
    <col min="105" max="105" width="5.28515625" customWidth="1"/>
    <col min="106" max="106" width="6.85546875" customWidth="1"/>
    <col min="108" max="108" width="5.42578125" customWidth="1"/>
    <col min="110" max="110" width="7.7109375" customWidth="1"/>
    <col min="111" max="111" width="6" customWidth="1"/>
    <col min="112" max="112" width="6.85546875" customWidth="1"/>
    <col min="113" max="113" width="6.7109375" customWidth="1"/>
    <col min="114" max="114" width="5.7109375" customWidth="1"/>
    <col min="115" max="115" width="7.5703125" customWidth="1"/>
  </cols>
  <sheetData>
    <row r="1" spans="1:99" x14ac:dyDescent="0.25">
      <c r="A1" t="s">
        <v>70</v>
      </c>
      <c r="C1" t="s">
        <v>69</v>
      </c>
      <c r="D1" t="s">
        <v>71</v>
      </c>
      <c r="K1" s="3"/>
      <c r="AW1"/>
      <c r="BY1" s="6"/>
      <c r="CU1"/>
    </row>
    <row r="2" spans="1:99" x14ac:dyDescent="0.25">
      <c r="A2" s="7">
        <v>0.01</v>
      </c>
      <c r="B2" s="7"/>
      <c r="C2" s="7">
        <v>0</v>
      </c>
      <c r="D2">
        <f>C2-A2</f>
        <v>-0.01</v>
      </c>
      <c r="K2" s="3"/>
      <c r="AW2"/>
      <c r="BY2" s="6"/>
      <c r="CU2"/>
    </row>
    <row r="3" spans="1:99" x14ac:dyDescent="0.25">
      <c r="K3" s="3"/>
      <c r="AW3"/>
      <c r="BY3" s="6"/>
      <c r="CU3"/>
    </row>
    <row r="4" spans="1:99" s="4" customFormat="1" ht="45" customHeight="1" x14ac:dyDescent="0.25">
      <c r="A4" s="4" t="s">
        <v>73</v>
      </c>
      <c r="B4" s="4" t="s">
        <v>75</v>
      </c>
      <c r="C4" s="4" t="s">
        <v>77</v>
      </c>
      <c r="D4" s="4" t="s">
        <v>97</v>
      </c>
      <c r="E4" s="4" t="s">
        <v>98</v>
      </c>
      <c r="F4" s="4" t="s">
        <v>99</v>
      </c>
      <c r="G4" s="4" t="s">
        <v>100</v>
      </c>
      <c r="H4" s="4" t="s">
        <v>113</v>
      </c>
      <c r="I4" s="4" t="s">
        <v>114</v>
      </c>
      <c r="J4" s="4" t="s">
        <v>115</v>
      </c>
      <c r="K4" s="5" t="s">
        <v>6</v>
      </c>
      <c r="L4" s="4" t="s">
        <v>116</v>
      </c>
      <c r="M4" s="4" t="s">
        <v>117</v>
      </c>
      <c r="N4" s="4" t="s">
        <v>118</v>
      </c>
      <c r="O4" s="4" t="s">
        <v>119</v>
      </c>
      <c r="P4" s="4" t="s">
        <v>105</v>
      </c>
      <c r="Q4" s="4" t="s">
        <v>104</v>
      </c>
      <c r="R4" s="4" t="s">
        <v>103</v>
      </c>
      <c r="S4" s="4" t="s">
        <v>106</v>
      </c>
      <c r="T4" s="4" t="s">
        <v>102</v>
      </c>
      <c r="U4" s="4" t="s">
        <v>101</v>
      </c>
      <c r="V4" s="4" t="s">
        <v>109</v>
      </c>
      <c r="W4" s="4" t="s">
        <v>108</v>
      </c>
      <c r="X4" s="4" t="s">
        <v>107</v>
      </c>
      <c r="Y4" s="4" t="s">
        <v>112</v>
      </c>
      <c r="Z4" s="4" t="s">
        <v>111</v>
      </c>
      <c r="AA4" s="4" t="s">
        <v>110</v>
      </c>
      <c r="AB4" s="4" t="s">
        <v>54</v>
      </c>
      <c r="AC4" s="4" t="s">
        <v>88</v>
      </c>
      <c r="AD4" s="4" t="s">
        <v>79</v>
      </c>
      <c r="AE4" s="4" t="s">
        <v>85</v>
      </c>
      <c r="AF4" s="4" t="s">
        <v>89</v>
      </c>
      <c r="AG4" s="4" t="s">
        <v>55</v>
      </c>
      <c r="AH4" s="4" t="s">
        <v>56</v>
      </c>
      <c r="AI4" s="4" t="s">
        <v>66</v>
      </c>
      <c r="AJ4" s="4" t="s">
        <v>90</v>
      </c>
      <c r="AK4" s="4" t="s">
        <v>57</v>
      </c>
      <c r="AL4" s="4" t="s">
        <v>58</v>
      </c>
      <c r="AM4" s="4" t="s">
        <v>91</v>
      </c>
      <c r="AN4" s="4" t="s">
        <v>80</v>
      </c>
      <c r="AO4" s="4" t="s">
        <v>86</v>
      </c>
      <c r="AP4" s="4" t="s">
        <v>92</v>
      </c>
      <c r="AQ4" s="4" t="s">
        <v>59</v>
      </c>
      <c r="AR4" s="4" t="s">
        <v>60</v>
      </c>
      <c r="AS4" s="4" t="s">
        <v>67</v>
      </c>
      <c r="AT4" s="4" t="s">
        <v>93</v>
      </c>
      <c r="AU4" s="4" t="s">
        <v>61</v>
      </c>
      <c r="AV4" s="4" t="s">
        <v>62</v>
      </c>
      <c r="AW4" s="4" t="s">
        <v>94</v>
      </c>
      <c r="AX4" s="4" t="s">
        <v>81</v>
      </c>
      <c r="AY4" s="4" t="s">
        <v>87</v>
      </c>
      <c r="AZ4" s="4" t="s">
        <v>95</v>
      </c>
      <c r="BA4" s="4" t="s">
        <v>63</v>
      </c>
      <c r="BB4" s="4" t="s">
        <v>64</v>
      </c>
      <c r="BC4" s="4" t="s">
        <v>68</v>
      </c>
      <c r="BD4" s="4" t="s">
        <v>96</v>
      </c>
      <c r="BE4" s="4" t="s">
        <v>65</v>
      </c>
      <c r="BF4" s="5" t="s">
        <v>72</v>
      </c>
      <c r="BG4" s="4" t="s">
        <v>82</v>
      </c>
      <c r="BH4" s="4" t="s">
        <v>74</v>
      </c>
      <c r="BI4" s="4" t="s">
        <v>83</v>
      </c>
      <c r="BJ4" s="4" t="s">
        <v>76</v>
      </c>
      <c r="BK4" s="4" t="s">
        <v>84</v>
      </c>
      <c r="BL4" s="4" t="s">
        <v>78</v>
      </c>
      <c r="BM4" s="4" t="s">
        <v>50</v>
      </c>
      <c r="BN4" s="4" t="s">
        <v>25</v>
      </c>
    </row>
    <row r="5" spans="1:99" x14ac:dyDescent="0.25">
      <c r="A5" t="str">
        <f>Single2String(Table13[[#This Row],[duration'[0']]])</f>
        <v>00000000</v>
      </c>
      <c r="B5" t="str">
        <f>Single2String(Table13[[#This Row],[duration'[1']]])</f>
        <v>00000000</v>
      </c>
      <c r="C5" t="str">
        <f>Single2String(Table13[[#This Row],[duration'[2']]])</f>
        <v>00000000</v>
      </c>
      <c r="D5" t="str">
        <f>INDEX(Table3[Hex], Table13[[#This Row],[int'[0']]]+1)</f>
        <v>00000000</v>
      </c>
      <c r="E5" t="str">
        <f>INDEX(Table3[Hex], Table13[[#This Row],[int'[1']]]+1)</f>
        <v>00000000</v>
      </c>
      <c r="F5" t="str">
        <f>INDEX(Table3[Hex], Table13[[#This Row],[int'[1']]]+1)</f>
        <v>00000000</v>
      </c>
      <c r="G5" t="str">
        <f>Single2String(Table13[[#This Row],[c ktrace]])</f>
        <v>00000000</v>
      </c>
      <c r="H5" t="str">
        <f>Single2String(Table13[[#This Row],[a ktrace]])</f>
        <v>00000000</v>
      </c>
      <c r="I5" t="str">
        <f>Single2String(Table13[[#This Row],[g ktrace]])</f>
        <v>00000000</v>
      </c>
      <c r="J5" t="str">
        <f>Single2String(Table13[[#This Row],[t ktrace]])</f>
        <v>00000000</v>
      </c>
      <c r="K5" s="3">
        <v>0</v>
      </c>
      <c r="L5">
        <f>SUM(Table13[[#This Row],[c ktrace'[2']]:[c ktrace'[0']]])</f>
        <v>0</v>
      </c>
      <c r="M5">
        <f>SUM(Table13[[#This Row],[a ktrace'[2']]:[a ktrace'[0']]])</f>
        <v>0</v>
      </c>
      <c r="N5">
        <f>SUM(Table13[[#This Row],[g ktrace'[2']]:[g ktrace'[0']]])</f>
        <v>0</v>
      </c>
      <c r="O5">
        <f>SUM(Table13[[#This Row],[t ktrace'[2']]:[t ktrace'[0']]])</f>
        <v>0</v>
      </c>
      <c r="P5">
        <f xml:space="preserve"> IF(Table13[[#This Row],[dye'[2']]]=3, Table13[[#This Row],[strength'[2']]], 0)</f>
        <v>0</v>
      </c>
      <c r="Q5">
        <f xml:space="preserve"> IF(Table13[[#This Row],[dye'[1']]]=3, Table13[[#This Row],[strength'[1']]], 0)</f>
        <v>0</v>
      </c>
      <c r="R5">
        <f xml:space="preserve"> IF(Table13[[#This Row],[dye'[0']]]=3, Table13[[#This Row],[strength'[0']]], 0)</f>
        <v>0</v>
      </c>
      <c r="S5">
        <f xml:space="preserve"> IF(Table13[[#This Row],[dye'[2']]]=2, Table13[[#This Row],[strength'[2']]], 0)</f>
        <v>0</v>
      </c>
      <c r="T5">
        <f xml:space="preserve"> IF(Table13[[#This Row],[dye'[1']]]=2, Table13[[#This Row],[strength'[1']]], 0)</f>
        <v>0</v>
      </c>
      <c r="U5">
        <f xml:space="preserve"> IF(Table13[[#This Row],[dye'[0']]]=2, Table13[[#This Row],[strength'[0']]], 0)</f>
        <v>0</v>
      </c>
      <c r="V5">
        <f xml:space="preserve"> IF(Table13[[#This Row],[dye'[2']]]=1, Table13[[#This Row],[strength'[2']]], 0)</f>
        <v>0</v>
      </c>
      <c r="W5">
        <f xml:space="preserve"> IF(Table13[[#This Row],[dye'[1']]]=1, Table13[[#This Row],[strength'[1']]], 0)</f>
        <v>0</v>
      </c>
      <c r="X5">
        <f xml:space="preserve"> IF(Table13[[#This Row],[dye'[0']]]=1, Table13[[#This Row],[strength'[0']]], 0)</f>
        <v>0</v>
      </c>
      <c r="Y5">
        <f xml:space="preserve"> IF(Table13[[#This Row],[dye'[2']]]=0, Table13[[#This Row],[strength'[2']]], 0)</f>
        <v>0</v>
      </c>
      <c r="Z5">
        <f xml:space="preserve"> IF(Table13[[#This Row],[dye'[1']]]=0, Table13[[#This Row],[strength'[1']]], 0)</f>
        <v>0</v>
      </c>
      <c r="AA5">
        <f xml:space="preserve"> IF(Table13[[#This Row],[dye'[0']]]=0, Table13[[#This Row],[strength'[0']]], 0)</f>
        <v>0</v>
      </c>
      <c r="AB5">
        <v>0</v>
      </c>
      <c r="AC5">
        <f>MAX($D$2, Table13[[#This Row],[t1'[0']]])</f>
        <v>0</v>
      </c>
      <c r="AD5">
        <v>0</v>
      </c>
      <c r="AE5">
        <f>Table13[[#This Row],[t1'[0']]]+Table13[[#This Row],[dt'[0']]]</f>
        <v>0</v>
      </c>
      <c r="AF5">
        <f>MIN($C$2, Table13[[#This Row],[tf'[0']]])</f>
        <v>0</v>
      </c>
      <c r="AG5">
        <f>Table13[[#This Row],[time2'[0']]]-Table13[[#This Row],[time1'[0']]]</f>
        <v>0</v>
      </c>
      <c r="AH5">
        <v>0</v>
      </c>
      <c r="AI5">
        <f xml:space="preserve"> INDEX(Table3[[#All],[Intensity]], Table13[[#This Row],[int'[0']]]+2)</f>
        <v>0</v>
      </c>
      <c r="AJ5">
        <f>Table13[[#This Row],[duration'[0']]]*Table13[[#This Row],[intensity'[0']]]</f>
        <v>0</v>
      </c>
      <c r="AK5">
        <f>MOD(Table13[[#This Row],[ZMW num]], 4)</f>
        <v>0</v>
      </c>
      <c r="AL5">
        <v>0</v>
      </c>
      <c r="AM5">
        <f>MAX($D$2, Table13[[#This Row],[t1'[1']]])</f>
        <v>0</v>
      </c>
      <c r="AN5">
        <v>0</v>
      </c>
      <c r="AO5">
        <f>Table13[[#This Row],[t1'[1']]]+Table13[[#This Row],[dt'[1']]]</f>
        <v>0</v>
      </c>
      <c r="AP5">
        <f>MIN($C$2, Table13[[#This Row],[tf'[1']]])</f>
        <v>0</v>
      </c>
      <c r="AQ5">
        <f>Table13[[#This Row],[time2'[1']]]-Table13[[#This Row],[time1'[1']]]</f>
        <v>0</v>
      </c>
      <c r="AR5">
        <v>0</v>
      </c>
      <c r="AS5">
        <f xml:space="preserve"> INDEX(Table3[[#All],[Intensity]], Table13[[#This Row],[int'[1']]]+2)</f>
        <v>0</v>
      </c>
      <c r="AT5">
        <f>Table13[[#This Row],[duration'[1']]]*Table13[[#This Row],[intensity'[1']]]</f>
        <v>0</v>
      </c>
      <c r="AU5">
        <f>MOD(Table13[[#This Row],[ZMW num]]+1, 4)</f>
        <v>1</v>
      </c>
      <c r="AV5">
        <v>0</v>
      </c>
      <c r="AW5">
        <f>MAX($D$2, Table13[[#This Row],[t1'[2']]])</f>
        <v>0</v>
      </c>
      <c r="AX5">
        <v>0</v>
      </c>
      <c r="AY5">
        <f>Table13[[#This Row],[t1'[2']]]+Table13[[#This Row],[dt'[2']]]</f>
        <v>0</v>
      </c>
      <c r="AZ5">
        <f>MIN($C$2, Table13[[#This Row],[tf'[2']]])</f>
        <v>0</v>
      </c>
      <c r="BA5">
        <f>Table13[[#This Row],[time2'[2']]]-Table13[[#This Row],[time1'[2']]]</f>
        <v>0</v>
      </c>
      <c r="BB5">
        <v>0</v>
      </c>
      <c r="BC5">
        <f xml:space="preserve"> INDEX(Table3[[#All],[Intensity]], Table13[[#This Row],[int'[2']]]+2)</f>
        <v>0</v>
      </c>
      <c r="BD5">
        <f>Table13[[#This Row],[duration'[2']]]*Table13[[#This Row],[intensity'[2']]]</f>
        <v>0</v>
      </c>
      <c r="BE5">
        <f>MOD(Table13[[#This Row],[ZMW num]]+2, 4)</f>
        <v>2</v>
      </c>
      <c r="BF5" s="2" t="str">
        <f>Single2String(Table13[[#This Row],[t1'[0']]])</f>
        <v>00000000</v>
      </c>
      <c r="BG5" s="1" t="str">
        <f>Single2String(Table13[[#This Row],[dt'[0']]])</f>
        <v>00000000</v>
      </c>
      <c r="BH5" s="1" t="str">
        <f>Single2String(Table13[[#This Row],[t1'[1']]])</f>
        <v>00000000</v>
      </c>
      <c r="BI5" s="1" t="str">
        <f>Single2String(Table13[[#This Row],[dt'[1']]])</f>
        <v>00000000</v>
      </c>
      <c r="BJ5" s="1" t="str">
        <f>Single2String(Table13[[#This Row],[t1'[2']]])</f>
        <v>00000000</v>
      </c>
      <c r="BK5" s="1" t="str">
        <f>Single2String(Table13[[#This Row],[dt'[2']]])</f>
        <v>00000000</v>
      </c>
      <c r="BL5" s="1" t="str">
        <f>DEC2HEX(Table13[[#This Row],[ZMW num]], 6)</f>
        <v>000000</v>
      </c>
      <c r="BM5" s="1">
        <f>LEN(Table13[[#This Row],[DRAM data]])</f>
        <v>64</v>
      </c>
      <c r="BN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0000000000000000000000000000000000000000000000000010200000000000</v>
      </c>
      <c r="CU5"/>
    </row>
    <row r="6" spans="1:99" x14ac:dyDescent="0.25">
      <c r="A6" t="str">
        <f>Single2String(Table13[[#This Row],[duration'[0']]])</f>
        <v>00000000</v>
      </c>
      <c r="B6" t="str">
        <f>Single2String(Table13[[#This Row],[duration'[1']]])</f>
        <v>00000000</v>
      </c>
      <c r="C6" t="str">
        <f>Single2String(Table13[[#This Row],[duration'[2']]])</f>
        <v>00000000</v>
      </c>
      <c r="D6" t="str">
        <f>INDEX(Table3[Hex], Table13[[#This Row],[int'[0']]]+1)</f>
        <v>00000000</v>
      </c>
      <c r="E6" t="str">
        <f>INDEX(Table3[Hex], Table13[[#This Row],[int'[1']]]+1)</f>
        <v>00000000</v>
      </c>
      <c r="F6" t="str">
        <f>INDEX(Table3[Hex], Table13[[#This Row],[int'[1']]]+1)</f>
        <v>00000000</v>
      </c>
      <c r="G6" t="str">
        <f>Single2String(Table13[[#This Row],[c ktrace]])</f>
        <v>00000000</v>
      </c>
      <c r="H6" t="str">
        <f>Single2String(Table13[[#This Row],[a ktrace]])</f>
        <v>00000000</v>
      </c>
      <c r="I6" t="str">
        <f>Single2String(Table13[[#This Row],[g ktrace]])</f>
        <v>00000000</v>
      </c>
      <c r="J6" t="str">
        <f>Single2String(Table13[[#This Row],[t ktrace]])</f>
        <v>00000000</v>
      </c>
      <c r="K6" s="3">
        <v>1</v>
      </c>
      <c r="L6">
        <f>SUM(Table13[[#This Row],[c ktrace'[2']]:[c ktrace'[0']]])</f>
        <v>0</v>
      </c>
      <c r="M6">
        <f>SUM(Table13[[#This Row],[a ktrace'[2']]:[a ktrace'[0']]])</f>
        <v>0</v>
      </c>
      <c r="N6">
        <f>SUM(Table13[[#This Row],[g ktrace'[2']]:[g ktrace'[0']]])</f>
        <v>0</v>
      </c>
      <c r="O6">
        <f>SUM(Table13[[#This Row],[t ktrace'[2']]:[t ktrace'[0']]])</f>
        <v>0</v>
      </c>
      <c r="P6">
        <f xml:space="preserve"> IF(Table13[[#This Row],[dye'[2']]]=3, Table13[[#This Row],[strength'[2']]], 0)</f>
        <v>0</v>
      </c>
      <c r="Q6">
        <f xml:space="preserve"> IF(Table13[[#This Row],[dye'[1']]]=3, Table13[[#This Row],[strength'[1']]], 0)</f>
        <v>0</v>
      </c>
      <c r="R6">
        <f xml:space="preserve"> IF(Table13[[#This Row],[dye'[0']]]=3, Table13[[#This Row],[strength'[0']]], 0)</f>
        <v>0</v>
      </c>
      <c r="S6">
        <f xml:space="preserve"> IF(Table13[[#This Row],[dye'[2']]]=2, Table13[[#This Row],[strength'[2']]], 0)</f>
        <v>0</v>
      </c>
      <c r="T6">
        <f xml:space="preserve"> IF(Table13[[#This Row],[dye'[1']]]=2, Table13[[#This Row],[strength'[1']]], 0)</f>
        <v>0</v>
      </c>
      <c r="U6">
        <f xml:space="preserve"> IF(Table13[[#This Row],[dye'[0']]]=2, Table13[[#This Row],[strength'[0']]], 0)</f>
        <v>0</v>
      </c>
      <c r="V6">
        <f xml:space="preserve"> IF(Table13[[#This Row],[dye'[2']]]=1, Table13[[#This Row],[strength'[2']]], 0)</f>
        <v>0</v>
      </c>
      <c r="W6">
        <f xml:space="preserve"> IF(Table13[[#This Row],[dye'[1']]]=1, Table13[[#This Row],[strength'[1']]], 0)</f>
        <v>0</v>
      </c>
      <c r="X6">
        <f xml:space="preserve"> IF(Table13[[#This Row],[dye'[0']]]=1, Table13[[#This Row],[strength'[0']]], 0)</f>
        <v>0</v>
      </c>
      <c r="Y6">
        <f xml:space="preserve"> IF(Table13[[#This Row],[dye'[2']]]=0, Table13[[#This Row],[strength'[2']]], 0)</f>
        <v>0</v>
      </c>
      <c r="Z6">
        <f xml:space="preserve"> IF(Table13[[#This Row],[dye'[1']]]=0, Table13[[#This Row],[strength'[1']]], 0)</f>
        <v>0</v>
      </c>
      <c r="AA6">
        <f xml:space="preserve"> IF(Table13[[#This Row],[dye'[0']]]=0, Table13[[#This Row],[strength'[0']]], 0)</f>
        <v>0</v>
      </c>
      <c r="AB6">
        <v>0</v>
      </c>
      <c r="AC6">
        <f>MAX($D$2, Table13[[#This Row],[t1'[0']]])</f>
        <v>0</v>
      </c>
      <c r="AD6">
        <v>0</v>
      </c>
      <c r="AE6">
        <f>Table13[[#This Row],[t1'[0']]]+Table13[[#This Row],[dt'[0']]]</f>
        <v>0</v>
      </c>
      <c r="AF6">
        <f>MIN($C$2, Table13[[#This Row],[tf'[0']]])</f>
        <v>0</v>
      </c>
      <c r="AG6">
        <f>Table13[[#This Row],[time2'[0']]]-Table13[[#This Row],[time1'[0']]]</f>
        <v>0</v>
      </c>
      <c r="AH6">
        <v>0</v>
      </c>
      <c r="AI6">
        <f xml:space="preserve"> INDEX(Table3[[#All],[Intensity]], Table13[[#This Row],[int'[0']]]+2)</f>
        <v>0</v>
      </c>
      <c r="AJ6">
        <f>Table13[[#This Row],[duration'[0']]]*Table13[[#This Row],[intensity'[0']]]</f>
        <v>0</v>
      </c>
      <c r="AK6">
        <f>MOD(Table13[[#This Row],[ZMW num]], 4)</f>
        <v>1</v>
      </c>
      <c r="AL6">
        <v>0</v>
      </c>
      <c r="AM6">
        <f>MAX($D$2, Table13[[#This Row],[t1'[1']]])</f>
        <v>0</v>
      </c>
      <c r="AN6">
        <v>0</v>
      </c>
      <c r="AO6">
        <f>Table13[[#This Row],[t1'[1']]]+Table13[[#This Row],[dt'[1']]]</f>
        <v>0</v>
      </c>
      <c r="AP6">
        <f>MIN($C$2, Table13[[#This Row],[tf'[1']]])</f>
        <v>0</v>
      </c>
      <c r="AQ6">
        <f>Table13[[#This Row],[time2'[1']]]-Table13[[#This Row],[time1'[1']]]</f>
        <v>0</v>
      </c>
      <c r="AR6">
        <v>0</v>
      </c>
      <c r="AS6">
        <f xml:space="preserve"> INDEX(Table3[[#All],[Intensity]], Table13[[#This Row],[int'[1']]]+2)</f>
        <v>0</v>
      </c>
      <c r="AT6">
        <f>Table13[[#This Row],[duration'[1']]]*Table13[[#This Row],[intensity'[1']]]</f>
        <v>0</v>
      </c>
      <c r="AU6">
        <f>MOD(Table13[[#This Row],[ZMW num]]+1, 4)</f>
        <v>2</v>
      </c>
      <c r="AV6">
        <v>0</v>
      </c>
      <c r="AW6">
        <f>MAX($D$2, Table13[[#This Row],[t1'[2']]])</f>
        <v>0</v>
      </c>
      <c r="AX6">
        <v>0</v>
      </c>
      <c r="AY6">
        <f>Table13[[#This Row],[t1'[2']]]+Table13[[#This Row],[dt'[2']]]</f>
        <v>0</v>
      </c>
      <c r="AZ6">
        <f>MIN($C$2, Table13[[#This Row],[tf'[2']]])</f>
        <v>0</v>
      </c>
      <c r="BA6">
        <f>Table13[[#This Row],[time2'[2']]]-Table13[[#This Row],[time1'[2']]]</f>
        <v>0</v>
      </c>
      <c r="BB6">
        <v>0</v>
      </c>
      <c r="BC6">
        <f xml:space="preserve"> INDEX(Table3[[#All],[Intensity]], Table13[[#This Row],[int'[2']]]+2)</f>
        <v>0</v>
      </c>
      <c r="BD6">
        <f>Table13[[#This Row],[duration'[2']]]*Table13[[#This Row],[intensity'[2']]]</f>
        <v>0</v>
      </c>
      <c r="BE6">
        <f>MOD(Table13[[#This Row],[ZMW num]]+2, 4)</f>
        <v>3</v>
      </c>
      <c r="BF6" s="2" t="str">
        <f>Single2String(Table13[[#This Row],[t1'[0']]])</f>
        <v>00000000</v>
      </c>
      <c r="BG6" s="1" t="str">
        <f>Single2String(Table13[[#This Row],[dt'[0']]])</f>
        <v>00000000</v>
      </c>
      <c r="BH6" s="1" t="str">
        <f>Single2String(Table13[[#This Row],[t1'[1']]])</f>
        <v>00000000</v>
      </c>
      <c r="BI6" s="1" t="str">
        <f>Single2String(Table13[[#This Row],[dt'[1']]])</f>
        <v>00000000</v>
      </c>
      <c r="BJ6" s="1" t="str">
        <f>Single2String(Table13[[#This Row],[t1'[2']]])</f>
        <v>00000000</v>
      </c>
      <c r="BK6" s="1" t="str">
        <f>Single2String(Table13[[#This Row],[dt'[2']]])</f>
        <v>00000000</v>
      </c>
      <c r="BL6" s="1" t="str">
        <f>DEC2HEX(Table13[[#This Row],[ZMW num]], 6)</f>
        <v>000001</v>
      </c>
      <c r="BM6" s="1">
        <f>LEN(Table13[[#This Row],[DRAM data]])</f>
        <v>64</v>
      </c>
      <c r="BN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0000000000000000000000000000000000000000000000001020300000000100</v>
      </c>
      <c r="CU6"/>
    </row>
    <row r="7" spans="1:99" x14ac:dyDescent="0.25">
      <c r="A7" t="str">
        <f>Single2String(Table13[[#This Row],[duration'[0']]])</f>
        <v>00000000</v>
      </c>
      <c r="B7" t="str">
        <f>Single2String(Table13[[#This Row],[duration'[1']]])</f>
        <v>00000000</v>
      </c>
      <c r="C7" t="str">
        <f>Single2String(Table13[[#This Row],[duration'[2']]])</f>
        <v>00000000</v>
      </c>
      <c r="D7" t="str">
        <f>INDEX(Table3[Hex], Table13[[#This Row],[int'[0']]]+1)</f>
        <v>00000000</v>
      </c>
      <c r="E7" t="str">
        <f>INDEX(Table3[Hex], Table13[[#This Row],[int'[1']]]+1)</f>
        <v>00000000</v>
      </c>
      <c r="F7" t="str">
        <f>INDEX(Table3[Hex], Table13[[#This Row],[int'[1']]]+1)</f>
        <v>00000000</v>
      </c>
      <c r="G7" t="str">
        <f>Single2String(Table13[[#This Row],[c ktrace]])</f>
        <v>00000000</v>
      </c>
      <c r="H7" t="str">
        <f>Single2String(Table13[[#This Row],[a ktrace]])</f>
        <v>00000000</v>
      </c>
      <c r="I7" t="str">
        <f>Single2String(Table13[[#This Row],[g ktrace]])</f>
        <v>00000000</v>
      </c>
      <c r="J7" t="str">
        <f>Single2String(Table13[[#This Row],[t ktrace]])</f>
        <v>00000000</v>
      </c>
      <c r="K7" s="3">
        <v>2</v>
      </c>
      <c r="L7">
        <f>SUM(Table13[[#This Row],[c ktrace'[2']]:[c ktrace'[0']]])</f>
        <v>0</v>
      </c>
      <c r="M7">
        <f>SUM(Table13[[#This Row],[a ktrace'[2']]:[a ktrace'[0']]])</f>
        <v>0</v>
      </c>
      <c r="N7">
        <f>SUM(Table13[[#This Row],[g ktrace'[2']]:[g ktrace'[0']]])</f>
        <v>0</v>
      </c>
      <c r="O7">
        <f>SUM(Table13[[#This Row],[t ktrace'[2']]:[t ktrace'[0']]])</f>
        <v>0</v>
      </c>
      <c r="P7">
        <f xml:space="preserve"> IF(Table13[[#This Row],[dye'[2']]]=3, Table13[[#This Row],[strength'[2']]], 0)</f>
        <v>0</v>
      </c>
      <c r="Q7">
        <f xml:space="preserve"> IF(Table13[[#This Row],[dye'[1']]]=3, Table13[[#This Row],[strength'[1']]], 0)</f>
        <v>0</v>
      </c>
      <c r="R7">
        <f xml:space="preserve"> IF(Table13[[#This Row],[dye'[0']]]=3, Table13[[#This Row],[strength'[0']]], 0)</f>
        <v>0</v>
      </c>
      <c r="S7">
        <f xml:space="preserve"> IF(Table13[[#This Row],[dye'[2']]]=2, Table13[[#This Row],[strength'[2']]], 0)</f>
        <v>0</v>
      </c>
      <c r="T7">
        <f xml:space="preserve"> IF(Table13[[#This Row],[dye'[1']]]=2, Table13[[#This Row],[strength'[1']]], 0)</f>
        <v>0</v>
      </c>
      <c r="U7">
        <f xml:space="preserve"> IF(Table13[[#This Row],[dye'[0']]]=2, Table13[[#This Row],[strength'[0']]], 0)</f>
        <v>0</v>
      </c>
      <c r="V7">
        <f xml:space="preserve"> IF(Table13[[#This Row],[dye'[2']]]=1, Table13[[#This Row],[strength'[2']]], 0)</f>
        <v>0</v>
      </c>
      <c r="W7">
        <f xml:space="preserve"> IF(Table13[[#This Row],[dye'[1']]]=1, Table13[[#This Row],[strength'[1']]], 0)</f>
        <v>0</v>
      </c>
      <c r="X7">
        <f xml:space="preserve"> IF(Table13[[#This Row],[dye'[0']]]=1, Table13[[#This Row],[strength'[0']]], 0)</f>
        <v>0</v>
      </c>
      <c r="Y7">
        <f xml:space="preserve"> IF(Table13[[#This Row],[dye'[2']]]=0, Table13[[#This Row],[strength'[2']]], 0)</f>
        <v>0</v>
      </c>
      <c r="Z7">
        <f xml:space="preserve"> IF(Table13[[#This Row],[dye'[1']]]=0, Table13[[#This Row],[strength'[1']]], 0)</f>
        <v>0</v>
      </c>
      <c r="AA7">
        <f xml:space="preserve"> IF(Table13[[#This Row],[dye'[0']]]=0, Table13[[#This Row],[strength'[0']]], 0)</f>
        <v>0</v>
      </c>
      <c r="AB7">
        <v>0</v>
      </c>
      <c r="AC7">
        <f>MAX($D$2, Table13[[#This Row],[t1'[0']]])</f>
        <v>0</v>
      </c>
      <c r="AD7">
        <v>0</v>
      </c>
      <c r="AE7">
        <f>Table13[[#This Row],[t1'[0']]]+Table13[[#This Row],[dt'[0']]]</f>
        <v>0</v>
      </c>
      <c r="AF7">
        <f>MIN($C$2, Table13[[#This Row],[tf'[0']]])</f>
        <v>0</v>
      </c>
      <c r="AG7">
        <f>Table13[[#This Row],[time2'[0']]]-Table13[[#This Row],[time1'[0']]]</f>
        <v>0</v>
      </c>
      <c r="AH7">
        <v>0</v>
      </c>
      <c r="AI7">
        <f xml:space="preserve"> INDEX(Table3[[#All],[Intensity]], Table13[[#This Row],[int'[0']]]+2)</f>
        <v>0</v>
      </c>
      <c r="AJ7">
        <f>Table13[[#This Row],[duration'[0']]]*Table13[[#This Row],[intensity'[0']]]</f>
        <v>0</v>
      </c>
      <c r="AK7">
        <f>MOD(Table13[[#This Row],[ZMW num]], 4)</f>
        <v>2</v>
      </c>
      <c r="AL7">
        <v>0</v>
      </c>
      <c r="AM7">
        <f>MAX($D$2, Table13[[#This Row],[t1'[1']]])</f>
        <v>0</v>
      </c>
      <c r="AN7">
        <v>0</v>
      </c>
      <c r="AO7">
        <f>Table13[[#This Row],[t1'[1']]]+Table13[[#This Row],[dt'[1']]]</f>
        <v>0</v>
      </c>
      <c r="AP7">
        <f>MIN($C$2, Table13[[#This Row],[tf'[1']]])</f>
        <v>0</v>
      </c>
      <c r="AQ7">
        <f>Table13[[#This Row],[time2'[1']]]-Table13[[#This Row],[time1'[1']]]</f>
        <v>0</v>
      </c>
      <c r="AR7">
        <v>0</v>
      </c>
      <c r="AS7">
        <f xml:space="preserve"> INDEX(Table3[[#All],[Intensity]], Table13[[#This Row],[int'[1']]]+2)</f>
        <v>0</v>
      </c>
      <c r="AT7">
        <f>Table13[[#This Row],[duration'[1']]]*Table13[[#This Row],[intensity'[1']]]</f>
        <v>0</v>
      </c>
      <c r="AU7">
        <f>MOD(Table13[[#This Row],[ZMW num]]+1, 4)</f>
        <v>3</v>
      </c>
      <c r="AV7">
        <v>0</v>
      </c>
      <c r="AW7">
        <f>MAX($D$2, Table13[[#This Row],[t1'[2']]])</f>
        <v>0</v>
      </c>
      <c r="AX7">
        <v>0</v>
      </c>
      <c r="AY7">
        <f>Table13[[#This Row],[t1'[2']]]+Table13[[#This Row],[dt'[2']]]</f>
        <v>0</v>
      </c>
      <c r="AZ7">
        <f>MIN($C$2, Table13[[#This Row],[tf'[2']]])</f>
        <v>0</v>
      </c>
      <c r="BA7">
        <f>Table13[[#This Row],[time2'[2']]]-Table13[[#This Row],[time1'[2']]]</f>
        <v>0</v>
      </c>
      <c r="BB7">
        <v>0</v>
      </c>
      <c r="BC7">
        <f xml:space="preserve"> INDEX(Table3[[#All],[Intensity]], Table13[[#This Row],[int'[2']]]+2)</f>
        <v>0</v>
      </c>
      <c r="BD7">
        <f>Table13[[#This Row],[duration'[2']]]*Table13[[#This Row],[intensity'[2']]]</f>
        <v>0</v>
      </c>
      <c r="BE7">
        <f>MOD(Table13[[#This Row],[ZMW num]]+2, 4)</f>
        <v>0</v>
      </c>
      <c r="BF7" s="2" t="str">
        <f>Single2String(Table13[[#This Row],[t1'[0']]])</f>
        <v>00000000</v>
      </c>
      <c r="BG7" s="1" t="str">
        <f>Single2String(Table13[[#This Row],[dt'[0']]])</f>
        <v>00000000</v>
      </c>
      <c r="BH7" s="1" t="str">
        <f>Single2String(Table13[[#This Row],[t1'[1']]])</f>
        <v>00000000</v>
      </c>
      <c r="BI7" s="1" t="str">
        <f>Single2String(Table13[[#This Row],[dt'[1']]])</f>
        <v>00000000</v>
      </c>
      <c r="BJ7" s="1" t="str">
        <f>Single2String(Table13[[#This Row],[t1'[2']]])</f>
        <v>00000000</v>
      </c>
      <c r="BK7" s="1" t="str">
        <f>Single2String(Table13[[#This Row],[dt'[2']]])</f>
        <v>00000000</v>
      </c>
      <c r="BL7" s="1" t="str">
        <f>DEC2HEX(Table13[[#This Row],[ZMW num]], 6)</f>
        <v>000002</v>
      </c>
      <c r="BM7" s="1">
        <f>LEN(Table13[[#This Row],[DRAM data]])</f>
        <v>64</v>
      </c>
      <c r="BN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0000000000000000000000000000000000000000000000002030000000000200</v>
      </c>
      <c r="CU7"/>
    </row>
    <row r="8" spans="1:99" x14ac:dyDescent="0.25">
      <c r="A8" t="str">
        <f>Single2String(Table13[[#This Row],[duration'[0']]])</f>
        <v>00000000</v>
      </c>
      <c r="B8" t="str">
        <f>Single2String(Table13[[#This Row],[duration'[1']]])</f>
        <v>00000000</v>
      </c>
      <c r="C8" t="str">
        <f>Single2String(Table13[[#This Row],[duration'[2']]])</f>
        <v>00000000</v>
      </c>
      <c r="D8" t="str">
        <f>INDEX(Table3[Hex], Table13[[#This Row],[int'[0']]]+1)</f>
        <v>00000000</v>
      </c>
      <c r="E8" t="str">
        <f>INDEX(Table3[Hex], Table13[[#This Row],[int'[1']]]+1)</f>
        <v>00000000</v>
      </c>
      <c r="F8" t="str">
        <f>INDEX(Table3[Hex], Table13[[#This Row],[int'[1']]]+1)</f>
        <v>00000000</v>
      </c>
      <c r="G8" t="str">
        <f>Single2String(Table13[[#This Row],[c ktrace]])</f>
        <v>00000000</v>
      </c>
      <c r="H8" t="str">
        <f>Single2String(Table13[[#This Row],[a ktrace]])</f>
        <v>00000000</v>
      </c>
      <c r="I8" t="str">
        <f>Single2String(Table13[[#This Row],[g ktrace]])</f>
        <v>00000000</v>
      </c>
      <c r="J8" t="str">
        <f>Single2String(Table13[[#This Row],[t ktrace]])</f>
        <v>00000000</v>
      </c>
      <c r="K8" s="3">
        <v>3</v>
      </c>
      <c r="L8">
        <f>SUM(Table13[[#This Row],[c ktrace'[2']]:[c ktrace'[0']]])</f>
        <v>0</v>
      </c>
      <c r="M8">
        <f>SUM(Table13[[#This Row],[a ktrace'[2']]:[a ktrace'[0']]])</f>
        <v>0</v>
      </c>
      <c r="N8">
        <f>SUM(Table13[[#This Row],[g ktrace'[2']]:[g ktrace'[0']]])</f>
        <v>0</v>
      </c>
      <c r="O8">
        <f>SUM(Table13[[#This Row],[t ktrace'[2']]:[t ktrace'[0']]])</f>
        <v>0</v>
      </c>
      <c r="P8">
        <f xml:space="preserve"> IF(Table13[[#This Row],[dye'[2']]]=3, Table13[[#This Row],[strength'[2']]], 0)</f>
        <v>0</v>
      </c>
      <c r="Q8">
        <f xml:space="preserve"> IF(Table13[[#This Row],[dye'[1']]]=3, Table13[[#This Row],[strength'[1']]], 0)</f>
        <v>0</v>
      </c>
      <c r="R8">
        <f xml:space="preserve"> IF(Table13[[#This Row],[dye'[0']]]=3, Table13[[#This Row],[strength'[0']]], 0)</f>
        <v>0</v>
      </c>
      <c r="S8">
        <f xml:space="preserve"> IF(Table13[[#This Row],[dye'[2']]]=2, Table13[[#This Row],[strength'[2']]], 0)</f>
        <v>0</v>
      </c>
      <c r="T8">
        <f xml:space="preserve"> IF(Table13[[#This Row],[dye'[1']]]=2, Table13[[#This Row],[strength'[1']]], 0)</f>
        <v>0</v>
      </c>
      <c r="U8">
        <f xml:space="preserve"> IF(Table13[[#This Row],[dye'[0']]]=2, Table13[[#This Row],[strength'[0']]], 0)</f>
        <v>0</v>
      </c>
      <c r="V8">
        <f xml:space="preserve"> IF(Table13[[#This Row],[dye'[2']]]=1, Table13[[#This Row],[strength'[2']]], 0)</f>
        <v>0</v>
      </c>
      <c r="W8">
        <f xml:space="preserve"> IF(Table13[[#This Row],[dye'[1']]]=1, Table13[[#This Row],[strength'[1']]], 0)</f>
        <v>0</v>
      </c>
      <c r="X8">
        <f xml:space="preserve"> IF(Table13[[#This Row],[dye'[0']]]=1, Table13[[#This Row],[strength'[0']]], 0)</f>
        <v>0</v>
      </c>
      <c r="Y8">
        <f xml:space="preserve"> IF(Table13[[#This Row],[dye'[2']]]=0, Table13[[#This Row],[strength'[2']]], 0)</f>
        <v>0</v>
      </c>
      <c r="Z8">
        <f xml:space="preserve"> IF(Table13[[#This Row],[dye'[1']]]=0, Table13[[#This Row],[strength'[1']]], 0)</f>
        <v>0</v>
      </c>
      <c r="AA8">
        <f xml:space="preserve"> IF(Table13[[#This Row],[dye'[0']]]=0, Table13[[#This Row],[strength'[0']]], 0)</f>
        <v>0</v>
      </c>
      <c r="AB8">
        <v>0</v>
      </c>
      <c r="AC8">
        <f>MAX($D$2, Table13[[#This Row],[t1'[0']]])</f>
        <v>0</v>
      </c>
      <c r="AD8">
        <v>0</v>
      </c>
      <c r="AE8">
        <f>Table13[[#This Row],[t1'[0']]]+Table13[[#This Row],[dt'[0']]]</f>
        <v>0</v>
      </c>
      <c r="AF8">
        <f>MIN($C$2, Table13[[#This Row],[tf'[0']]])</f>
        <v>0</v>
      </c>
      <c r="AG8">
        <f>Table13[[#This Row],[time2'[0']]]-Table13[[#This Row],[time1'[0']]]</f>
        <v>0</v>
      </c>
      <c r="AH8">
        <v>0</v>
      </c>
      <c r="AI8">
        <f xml:space="preserve"> INDEX(Table3[[#All],[Intensity]], Table13[[#This Row],[int'[0']]]+2)</f>
        <v>0</v>
      </c>
      <c r="AJ8">
        <f>Table13[[#This Row],[duration'[0']]]*Table13[[#This Row],[intensity'[0']]]</f>
        <v>0</v>
      </c>
      <c r="AK8">
        <f>MOD(Table13[[#This Row],[ZMW num]], 4)</f>
        <v>3</v>
      </c>
      <c r="AL8">
        <v>0</v>
      </c>
      <c r="AM8">
        <f>MAX($D$2, Table13[[#This Row],[t1'[1']]])</f>
        <v>0</v>
      </c>
      <c r="AN8">
        <v>0</v>
      </c>
      <c r="AO8">
        <f>Table13[[#This Row],[t1'[1']]]+Table13[[#This Row],[dt'[1']]]</f>
        <v>0</v>
      </c>
      <c r="AP8">
        <f>MIN($C$2, Table13[[#This Row],[tf'[1']]])</f>
        <v>0</v>
      </c>
      <c r="AQ8">
        <f>Table13[[#This Row],[time2'[1']]]-Table13[[#This Row],[time1'[1']]]</f>
        <v>0</v>
      </c>
      <c r="AR8">
        <v>0</v>
      </c>
      <c r="AS8">
        <f xml:space="preserve"> INDEX(Table3[[#All],[Intensity]], Table13[[#This Row],[int'[1']]]+2)</f>
        <v>0</v>
      </c>
      <c r="AT8">
        <f>Table13[[#This Row],[duration'[1']]]*Table13[[#This Row],[intensity'[1']]]</f>
        <v>0</v>
      </c>
      <c r="AU8">
        <f>MOD(Table13[[#This Row],[ZMW num]]+1, 4)</f>
        <v>0</v>
      </c>
      <c r="AV8">
        <v>0</v>
      </c>
      <c r="AW8">
        <f>MAX($D$2, Table13[[#This Row],[t1'[2']]])</f>
        <v>0</v>
      </c>
      <c r="AX8">
        <v>0</v>
      </c>
      <c r="AY8">
        <f>Table13[[#This Row],[t1'[2']]]+Table13[[#This Row],[dt'[2']]]</f>
        <v>0</v>
      </c>
      <c r="AZ8">
        <f>MIN($C$2, Table13[[#This Row],[tf'[2']]])</f>
        <v>0</v>
      </c>
      <c r="BA8">
        <f>Table13[[#This Row],[time2'[2']]]-Table13[[#This Row],[time1'[2']]]</f>
        <v>0</v>
      </c>
      <c r="BB8">
        <v>0</v>
      </c>
      <c r="BC8">
        <f xml:space="preserve"> INDEX(Table3[[#All],[Intensity]], Table13[[#This Row],[int'[2']]]+2)</f>
        <v>0</v>
      </c>
      <c r="BD8">
        <f>Table13[[#This Row],[duration'[2']]]*Table13[[#This Row],[intensity'[2']]]</f>
        <v>0</v>
      </c>
      <c r="BE8">
        <f>MOD(Table13[[#This Row],[ZMW num]]+2, 4)</f>
        <v>1</v>
      </c>
      <c r="BF8" s="2" t="str">
        <f>Single2String(Table13[[#This Row],[t1'[0']]])</f>
        <v>00000000</v>
      </c>
      <c r="BG8" s="1" t="str">
        <f>Single2String(Table13[[#This Row],[dt'[0']]])</f>
        <v>00000000</v>
      </c>
      <c r="BH8" s="1" t="str">
        <f>Single2String(Table13[[#This Row],[t1'[1']]])</f>
        <v>00000000</v>
      </c>
      <c r="BI8" s="1" t="str">
        <f>Single2String(Table13[[#This Row],[dt'[1']]])</f>
        <v>00000000</v>
      </c>
      <c r="BJ8" s="1" t="str">
        <f>Single2String(Table13[[#This Row],[t1'[2']]])</f>
        <v>00000000</v>
      </c>
      <c r="BK8" s="1" t="str">
        <f>Single2String(Table13[[#This Row],[dt'[2']]])</f>
        <v>00000000</v>
      </c>
      <c r="BL8" s="1" t="str">
        <f>DEC2HEX(Table13[[#This Row],[ZMW num]], 6)</f>
        <v>000003</v>
      </c>
      <c r="BM8" s="1">
        <f>LEN(Table13[[#This Row],[DRAM data]])</f>
        <v>64</v>
      </c>
      <c r="BN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0000000000000000000000000000000000000000000000003000100000000300</v>
      </c>
      <c r="CU8"/>
    </row>
    <row r="9" spans="1:99" x14ac:dyDescent="0.25">
      <c r="A9" t="str">
        <f>Single2String(Table13[[#This Row],[duration'[0']]])</f>
        <v>00000000</v>
      </c>
      <c r="B9" t="str">
        <f>Single2String(Table13[[#This Row],[duration'[1']]])</f>
        <v>00000000</v>
      </c>
      <c r="C9" t="str">
        <f>Single2String(Table13[[#This Row],[duration'[2']]])</f>
        <v>00000000</v>
      </c>
      <c r="D9" t="str">
        <f>INDEX(Table3[Hex], Table13[[#This Row],[int'[0']]]+1)</f>
        <v>00000000</v>
      </c>
      <c r="E9" t="str">
        <f>INDEX(Table3[Hex], Table13[[#This Row],[int'[1']]]+1)</f>
        <v>00000000</v>
      </c>
      <c r="F9" t="str">
        <f>INDEX(Table3[Hex], Table13[[#This Row],[int'[1']]]+1)</f>
        <v>00000000</v>
      </c>
      <c r="G9" t="str">
        <f>Single2String(Table13[[#This Row],[c ktrace]])</f>
        <v>00000000</v>
      </c>
      <c r="H9" t="str">
        <f>Single2String(Table13[[#This Row],[a ktrace]])</f>
        <v>00000000</v>
      </c>
      <c r="I9" t="str">
        <f>Single2String(Table13[[#This Row],[g ktrace]])</f>
        <v>00000000</v>
      </c>
      <c r="J9" t="str">
        <f>Single2String(Table13[[#This Row],[t ktrace]])</f>
        <v>00000000</v>
      </c>
      <c r="K9" s="3">
        <v>4</v>
      </c>
      <c r="L9">
        <f>SUM(Table13[[#This Row],[c ktrace'[2']]:[c ktrace'[0']]])</f>
        <v>0</v>
      </c>
      <c r="M9">
        <f>SUM(Table13[[#This Row],[a ktrace'[2']]:[a ktrace'[0']]])</f>
        <v>0</v>
      </c>
      <c r="N9">
        <f>SUM(Table13[[#This Row],[g ktrace'[2']]:[g ktrace'[0']]])</f>
        <v>0</v>
      </c>
      <c r="O9">
        <f>SUM(Table13[[#This Row],[t ktrace'[2']]:[t ktrace'[0']]])</f>
        <v>0</v>
      </c>
      <c r="P9">
        <f xml:space="preserve"> IF(Table13[[#This Row],[dye'[2']]]=3, Table13[[#This Row],[strength'[2']]], 0)</f>
        <v>0</v>
      </c>
      <c r="Q9">
        <f xml:space="preserve"> IF(Table13[[#This Row],[dye'[1']]]=3, Table13[[#This Row],[strength'[1']]], 0)</f>
        <v>0</v>
      </c>
      <c r="R9">
        <f xml:space="preserve"> IF(Table13[[#This Row],[dye'[0']]]=3, Table13[[#This Row],[strength'[0']]], 0)</f>
        <v>0</v>
      </c>
      <c r="S9">
        <f xml:space="preserve"> IF(Table13[[#This Row],[dye'[2']]]=2, Table13[[#This Row],[strength'[2']]], 0)</f>
        <v>0</v>
      </c>
      <c r="T9">
        <f xml:space="preserve"> IF(Table13[[#This Row],[dye'[1']]]=2, Table13[[#This Row],[strength'[1']]], 0)</f>
        <v>0</v>
      </c>
      <c r="U9">
        <f xml:space="preserve"> IF(Table13[[#This Row],[dye'[0']]]=2, Table13[[#This Row],[strength'[0']]], 0)</f>
        <v>0</v>
      </c>
      <c r="V9">
        <f xml:space="preserve"> IF(Table13[[#This Row],[dye'[2']]]=1, Table13[[#This Row],[strength'[2']]], 0)</f>
        <v>0</v>
      </c>
      <c r="W9">
        <f xml:space="preserve"> IF(Table13[[#This Row],[dye'[1']]]=1, Table13[[#This Row],[strength'[1']]], 0)</f>
        <v>0</v>
      </c>
      <c r="X9">
        <f xml:space="preserve"> IF(Table13[[#This Row],[dye'[0']]]=1, Table13[[#This Row],[strength'[0']]], 0)</f>
        <v>0</v>
      </c>
      <c r="Y9">
        <f xml:space="preserve"> IF(Table13[[#This Row],[dye'[2']]]=0, Table13[[#This Row],[strength'[2']]], 0)</f>
        <v>0</v>
      </c>
      <c r="Z9">
        <f xml:space="preserve"> IF(Table13[[#This Row],[dye'[1']]]=0, Table13[[#This Row],[strength'[1']]], 0)</f>
        <v>0</v>
      </c>
      <c r="AA9">
        <f xml:space="preserve"> IF(Table13[[#This Row],[dye'[0']]]=0, Table13[[#This Row],[strength'[0']]], 0)</f>
        <v>0</v>
      </c>
      <c r="AB9">
        <v>0</v>
      </c>
      <c r="AC9">
        <f>MAX($D$2, Table13[[#This Row],[t1'[0']]])</f>
        <v>0</v>
      </c>
      <c r="AD9">
        <v>0</v>
      </c>
      <c r="AE9">
        <f>Table13[[#This Row],[t1'[0']]]+Table13[[#This Row],[dt'[0']]]</f>
        <v>0</v>
      </c>
      <c r="AF9">
        <f>MIN($C$2, Table13[[#This Row],[tf'[0']]])</f>
        <v>0</v>
      </c>
      <c r="AG9">
        <f>Table13[[#This Row],[time2'[0']]]-Table13[[#This Row],[time1'[0']]]</f>
        <v>0</v>
      </c>
      <c r="AH9">
        <v>0</v>
      </c>
      <c r="AI9">
        <f xml:space="preserve"> INDEX(Table3[[#All],[Intensity]], Table13[[#This Row],[int'[0']]]+2)</f>
        <v>0</v>
      </c>
      <c r="AJ9">
        <f>Table13[[#This Row],[duration'[0']]]*Table13[[#This Row],[intensity'[0']]]</f>
        <v>0</v>
      </c>
      <c r="AK9">
        <f>MOD(Table13[[#This Row],[ZMW num]], 4)</f>
        <v>0</v>
      </c>
      <c r="AL9">
        <v>0</v>
      </c>
      <c r="AM9">
        <f>MAX($D$2, Table13[[#This Row],[t1'[1']]])</f>
        <v>0</v>
      </c>
      <c r="AN9">
        <v>0</v>
      </c>
      <c r="AO9">
        <f>Table13[[#This Row],[t1'[1']]]+Table13[[#This Row],[dt'[1']]]</f>
        <v>0</v>
      </c>
      <c r="AP9">
        <f>MIN($C$2, Table13[[#This Row],[tf'[1']]])</f>
        <v>0</v>
      </c>
      <c r="AQ9">
        <f>Table13[[#This Row],[time2'[1']]]-Table13[[#This Row],[time1'[1']]]</f>
        <v>0</v>
      </c>
      <c r="AR9">
        <v>0</v>
      </c>
      <c r="AS9">
        <f xml:space="preserve"> INDEX(Table3[[#All],[Intensity]], Table13[[#This Row],[int'[1']]]+2)</f>
        <v>0</v>
      </c>
      <c r="AT9">
        <f>Table13[[#This Row],[duration'[1']]]*Table13[[#This Row],[intensity'[1']]]</f>
        <v>0</v>
      </c>
      <c r="AU9">
        <f>MOD(Table13[[#This Row],[ZMW num]]+1, 4)</f>
        <v>1</v>
      </c>
      <c r="AV9">
        <v>0</v>
      </c>
      <c r="AW9">
        <f>MAX($D$2, Table13[[#This Row],[t1'[2']]])</f>
        <v>0</v>
      </c>
      <c r="AX9">
        <v>0</v>
      </c>
      <c r="AY9">
        <f>Table13[[#This Row],[t1'[2']]]+Table13[[#This Row],[dt'[2']]]</f>
        <v>0</v>
      </c>
      <c r="AZ9">
        <f>MIN($C$2, Table13[[#This Row],[tf'[2']]])</f>
        <v>0</v>
      </c>
      <c r="BA9">
        <f>Table13[[#This Row],[time2'[2']]]-Table13[[#This Row],[time1'[2']]]</f>
        <v>0</v>
      </c>
      <c r="BB9">
        <v>0</v>
      </c>
      <c r="BC9">
        <f xml:space="preserve"> INDEX(Table3[[#All],[Intensity]], Table13[[#This Row],[int'[2']]]+2)</f>
        <v>0</v>
      </c>
      <c r="BD9">
        <f>Table13[[#This Row],[duration'[2']]]*Table13[[#This Row],[intensity'[2']]]</f>
        <v>0</v>
      </c>
      <c r="BE9">
        <f>MOD(Table13[[#This Row],[ZMW num]]+2, 4)</f>
        <v>2</v>
      </c>
      <c r="BF9" s="2" t="str">
        <f>Single2String(Table13[[#This Row],[t1'[0']]])</f>
        <v>00000000</v>
      </c>
      <c r="BG9" s="1" t="str">
        <f>Single2String(Table13[[#This Row],[dt'[0']]])</f>
        <v>00000000</v>
      </c>
      <c r="BH9" s="1" t="str">
        <f>Single2String(Table13[[#This Row],[t1'[1']]])</f>
        <v>00000000</v>
      </c>
      <c r="BI9" s="1" t="str">
        <f>Single2String(Table13[[#This Row],[dt'[1']]])</f>
        <v>00000000</v>
      </c>
      <c r="BJ9" s="1" t="str">
        <f>Single2String(Table13[[#This Row],[t1'[2']]])</f>
        <v>00000000</v>
      </c>
      <c r="BK9" s="1" t="str">
        <f>Single2String(Table13[[#This Row],[dt'[2']]])</f>
        <v>00000000</v>
      </c>
      <c r="BL9" s="1" t="str">
        <f>DEC2HEX(Table13[[#This Row],[ZMW num]], 6)</f>
        <v>000004</v>
      </c>
      <c r="BM9" s="1">
        <f>LEN(Table13[[#This Row],[DRAM data]])</f>
        <v>64</v>
      </c>
      <c r="BN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0000000000000000000000000000000000000000000000000010200000000400</v>
      </c>
      <c r="CU9"/>
    </row>
    <row r="10" spans="1:99" x14ac:dyDescent="0.25">
      <c r="A10" t="str">
        <f>Single2String(Table13[[#This Row],[duration'[0']]])</f>
        <v>00000000</v>
      </c>
      <c r="B10" t="str">
        <f>Single2String(Table13[[#This Row],[duration'[1']]])</f>
        <v>00000000</v>
      </c>
      <c r="C10" t="str">
        <f>Single2String(Table13[[#This Row],[duration'[2']]])</f>
        <v>00000000</v>
      </c>
      <c r="D10" t="str">
        <f>INDEX(Table3[Hex], Table13[[#This Row],[int'[0']]]+1)</f>
        <v>00000000</v>
      </c>
      <c r="E10" t="str">
        <f>INDEX(Table3[Hex], Table13[[#This Row],[int'[1']]]+1)</f>
        <v>00000000</v>
      </c>
      <c r="F10" t="str">
        <f>INDEX(Table3[Hex], Table13[[#This Row],[int'[1']]]+1)</f>
        <v>00000000</v>
      </c>
      <c r="G10" t="str">
        <f>Single2String(Table13[[#This Row],[c ktrace]])</f>
        <v>00000000</v>
      </c>
      <c r="H10" t="str">
        <f>Single2String(Table13[[#This Row],[a ktrace]])</f>
        <v>00000000</v>
      </c>
      <c r="I10" t="str">
        <f>Single2String(Table13[[#This Row],[g ktrace]])</f>
        <v>00000000</v>
      </c>
      <c r="J10" t="str">
        <f>Single2String(Table13[[#This Row],[t ktrace]])</f>
        <v>00000000</v>
      </c>
      <c r="K10" s="3">
        <v>5</v>
      </c>
      <c r="L10">
        <f>SUM(Table13[[#This Row],[c ktrace'[2']]:[c ktrace'[0']]])</f>
        <v>0</v>
      </c>
      <c r="M10">
        <f>SUM(Table13[[#This Row],[a ktrace'[2']]:[a ktrace'[0']]])</f>
        <v>0</v>
      </c>
      <c r="N10">
        <f>SUM(Table13[[#This Row],[g ktrace'[2']]:[g ktrace'[0']]])</f>
        <v>0</v>
      </c>
      <c r="O10">
        <f>SUM(Table13[[#This Row],[t ktrace'[2']]:[t ktrace'[0']]])</f>
        <v>0</v>
      </c>
      <c r="P10">
        <f xml:space="preserve"> IF(Table13[[#This Row],[dye'[2']]]=3, Table13[[#This Row],[strength'[2']]], 0)</f>
        <v>0</v>
      </c>
      <c r="Q10">
        <f xml:space="preserve"> IF(Table13[[#This Row],[dye'[1']]]=3, Table13[[#This Row],[strength'[1']]], 0)</f>
        <v>0</v>
      </c>
      <c r="R10">
        <f xml:space="preserve"> IF(Table13[[#This Row],[dye'[0']]]=3, Table13[[#This Row],[strength'[0']]], 0)</f>
        <v>0</v>
      </c>
      <c r="S10">
        <f xml:space="preserve"> IF(Table13[[#This Row],[dye'[2']]]=2, Table13[[#This Row],[strength'[2']]], 0)</f>
        <v>0</v>
      </c>
      <c r="T10">
        <f xml:space="preserve"> IF(Table13[[#This Row],[dye'[1']]]=2, Table13[[#This Row],[strength'[1']]], 0)</f>
        <v>0</v>
      </c>
      <c r="U10">
        <f xml:space="preserve"> IF(Table13[[#This Row],[dye'[0']]]=2, Table13[[#This Row],[strength'[0']]], 0)</f>
        <v>0</v>
      </c>
      <c r="V10">
        <f xml:space="preserve"> IF(Table13[[#This Row],[dye'[2']]]=1, Table13[[#This Row],[strength'[2']]], 0)</f>
        <v>0</v>
      </c>
      <c r="W10">
        <f xml:space="preserve"> IF(Table13[[#This Row],[dye'[1']]]=1, Table13[[#This Row],[strength'[1']]], 0)</f>
        <v>0</v>
      </c>
      <c r="X10">
        <f xml:space="preserve"> IF(Table13[[#This Row],[dye'[0']]]=1, Table13[[#This Row],[strength'[0']]], 0)</f>
        <v>0</v>
      </c>
      <c r="Y10">
        <f xml:space="preserve"> IF(Table13[[#This Row],[dye'[2']]]=0, Table13[[#This Row],[strength'[2']]], 0)</f>
        <v>0</v>
      </c>
      <c r="Z10">
        <f xml:space="preserve"> IF(Table13[[#This Row],[dye'[1']]]=0, Table13[[#This Row],[strength'[1']]], 0)</f>
        <v>0</v>
      </c>
      <c r="AA10">
        <f xml:space="preserve"> IF(Table13[[#This Row],[dye'[0']]]=0, Table13[[#This Row],[strength'[0']]], 0)</f>
        <v>0</v>
      </c>
      <c r="AB10">
        <v>0</v>
      </c>
      <c r="AC10">
        <f>MAX($D$2, Table13[[#This Row],[t1'[0']]])</f>
        <v>0</v>
      </c>
      <c r="AD10">
        <v>0</v>
      </c>
      <c r="AE10">
        <f>Table13[[#This Row],[t1'[0']]]+Table13[[#This Row],[dt'[0']]]</f>
        <v>0</v>
      </c>
      <c r="AF10">
        <f>MIN($C$2, Table13[[#This Row],[tf'[0']]])</f>
        <v>0</v>
      </c>
      <c r="AG10">
        <f>Table13[[#This Row],[time2'[0']]]-Table13[[#This Row],[time1'[0']]]</f>
        <v>0</v>
      </c>
      <c r="AH10">
        <v>0</v>
      </c>
      <c r="AI10">
        <f xml:space="preserve"> INDEX(Table3[[#All],[Intensity]], Table13[[#This Row],[int'[0']]]+2)</f>
        <v>0</v>
      </c>
      <c r="AJ10">
        <f>Table13[[#This Row],[duration'[0']]]*Table13[[#This Row],[intensity'[0']]]</f>
        <v>0</v>
      </c>
      <c r="AK10">
        <f>MOD(Table13[[#This Row],[ZMW num]], 4)</f>
        <v>1</v>
      </c>
      <c r="AL10">
        <v>0</v>
      </c>
      <c r="AM10">
        <f>MAX($D$2, Table13[[#This Row],[t1'[1']]])</f>
        <v>0</v>
      </c>
      <c r="AN10">
        <v>0</v>
      </c>
      <c r="AO10">
        <f>Table13[[#This Row],[t1'[1']]]+Table13[[#This Row],[dt'[1']]]</f>
        <v>0</v>
      </c>
      <c r="AP10">
        <f>MIN($C$2, Table13[[#This Row],[tf'[1']]])</f>
        <v>0</v>
      </c>
      <c r="AQ10">
        <f>Table13[[#This Row],[time2'[1']]]-Table13[[#This Row],[time1'[1']]]</f>
        <v>0</v>
      </c>
      <c r="AR10">
        <v>0</v>
      </c>
      <c r="AS10">
        <f xml:space="preserve"> INDEX(Table3[[#All],[Intensity]], Table13[[#This Row],[int'[1']]]+2)</f>
        <v>0</v>
      </c>
      <c r="AT10">
        <f>Table13[[#This Row],[duration'[1']]]*Table13[[#This Row],[intensity'[1']]]</f>
        <v>0</v>
      </c>
      <c r="AU10">
        <f>MOD(Table13[[#This Row],[ZMW num]]+1, 4)</f>
        <v>2</v>
      </c>
      <c r="AV10">
        <v>0</v>
      </c>
      <c r="AW10">
        <f>MAX($D$2, Table13[[#This Row],[t1'[2']]])</f>
        <v>0</v>
      </c>
      <c r="AX10">
        <v>0</v>
      </c>
      <c r="AY10">
        <f>Table13[[#This Row],[t1'[2']]]+Table13[[#This Row],[dt'[2']]]</f>
        <v>0</v>
      </c>
      <c r="AZ10">
        <f>MIN($C$2, Table13[[#This Row],[tf'[2']]])</f>
        <v>0</v>
      </c>
      <c r="BA10">
        <f>Table13[[#This Row],[time2'[2']]]-Table13[[#This Row],[time1'[2']]]</f>
        <v>0</v>
      </c>
      <c r="BB10">
        <v>0</v>
      </c>
      <c r="BC10">
        <f xml:space="preserve"> INDEX(Table3[[#All],[Intensity]], Table13[[#This Row],[int'[2']]]+2)</f>
        <v>0</v>
      </c>
      <c r="BD10">
        <f>Table13[[#This Row],[duration'[2']]]*Table13[[#This Row],[intensity'[2']]]</f>
        <v>0</v>
      </c>
      <c r="BE10">
        <f>MOD(Table13[[#This Row],[ZMW num]]+2, 4)</f>
        <v>3</v>
      </c>
      <c r="BF10" s="2" t="str">
        <f>Single2String(Table13[[#This Row],[t1'[0']]])</f>
        <v>00000000</v>
      </c>
      <c r="BG10" s="1" t="str">
        <f>Single2String(Table13[[#This Row],[dt'[0']]])</f>
        <v>00000000</v>
      </c>
      <c r="BH10" s="1" t="str">
        <f>Single2String(Table13[[#This Row],[t1'[1']]])</f>
        <v>00000000</v>
      </c>
      <c r="BI10" s="1" t="str">
        <f>Single2String(Table13[[#This Row],[dt'[1']]])</f>
        <v>00000000</v>
      </c>
      <c r="BJ10" s="1" t="str">
        <f>Single2String(Table13[[#This Row],[t1'[2']]])</f>
        <v>00000000</v>
      </c>
      <c r="BK10" s="1" t="str">
        <f>Single2String(Table13[[#This Row],[dt'[2']]])</f>
        <v>00000000</v>
      </c>
      <c r="BL10" s="1" t="str">
        <f>DEC2HEX(Table13[[#This Row],[ZMW num]], 6)</f>
        <v>000005</v>
      </c>
      <c r="BM10" s="1">
        <f>LEN(Table13[[#This Row],[DRAM data]])</f>
        <v>64</v>
      </c>
      <c r="BN1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0000000000000000000000000000000000000000000000001020300000000500</v>
      </c>
      <c r="CU10"/>
    </row>
    <row r="11" spans="1:99" x14ac:dyDescent="0.25">
      <c r="A11" t="str">
        <f>Single2String(Table13[[#This Row],[duration'[0']]])</f>
        <v>00000000</v>
      </c>
      <c r="B11" t="str">
        <f>Single2String(Table13[[#This Row],[duration'[1']]])</f>
        <v>00000000</v>
      </c>
      <c r="C11" t="str">
        <f>Single2String(Table13[[#This Row],[duration'[2']]])</f>
        <v>00000000</v>
      </c>
      <c r="D11" t="str">
        <f>INDEX(Table3[Hex], Table13[[#This Row],[int'[0']]]+1)</f>
        <v>00000000</v>
      </c>
      <c r="E11" t="str">
        <f>INDEX(Table3[Hex], Table13[[#This Row],[int'[1']]]+1)</f>
        <v>00000000</v>
      </c>
      <c r="F11" t="str">
        <f>INDEX(Table3[Hex], Table13[[#This Row],[int'[1']]]+1)</f>
        <v>00000000</v>
      </c>
      <c r="G11" t="str">
        <f>Single2String(Table13[[#This Row],[c ktrace]])</f>
        <v>00000000</v>
      </c>
      <c r="H11" t="str">
        <f>Single2String(Table13[[#This Row],[a ktrace]])</f>
        <v>00000000</v>
      </c>
      <c r="I11" t="str">
        <f>Single2String(Table13[[#This Row],[g ktrace]])</f>
        <v>00000000</v>
      </c>
      <c r="J11" t="str">
        <f>Single2String(Table13[[#This Row],[t ktrace]])</f>
        <v>00000000</v>
      </c>
      <c r="K11" s="3">
        <v>6</v>
      </c>
      <c r="L11">
        <f>SUM(Table13[[#This Row],[c ktrace'[2']]:[c ktrace'[0']]])</f>
        <v>0</v>
      </c>
      <c r="M11">
        <f>SUM(Table13[[#This Row],[a ktrace'[2']]:[a ktrace'[0']]])</f>
        <v>0</v>
      </c>
      <c r="N11">
        <f>SUM(Table13[[#This Row],[g ktrace'[2']]:[g ktrace'[0']]])</f>
        <v>0</v>
      </c>
      <c r="O11">
        <f>SUM(Table13[[#This Row],[t ktrace'[2']]:[t ktrace'[0']]])</f>
        <v>0</v>
      </c>
      <c r="P11">
        <f xml:space="preserve"> IF(Table13[[#This Row],[dye'[2']]]=3, Table13[[#This Row],[strength'[2']]], 0)</f>
        <v>0</v>
      </c>
      <c r="Q11">
        <f xml:space="preserve"> IF(Table13[[#This Row],[dye'[1']]]=3, Table13[[#This Row],[strength'[1']]], 0)</f>
        <v>0</v>
      </c>
      <c r="R11">
        <f xml:space="preserve"> IF(Table13[[#This Row],[dye'[0']]]=3, Table13[[#This Row],[strength'[0']]], 0)</f>
        <v>0</v>
      </c>
      <c r="S11">
        <f xml:space="preserve"> IF(Table13[[#This Row],[dye'[2']]]=2, Table13[[#This Row],[strength'[2']]], 0)</f>
        <v>0</v>
      </c>
      <c r="T11">
        <f xml:space="preserve"> IF(Table13[[#This Row],[dye'[1']]]=2, Table13[[#This Row],[strength'[1']]], 0)</f>
        <v>0</v>
      </c>
      <c r="U11">
        <f xml:space="preserve"> IF(Table13[[#This Row],[dye'[0']]]=2, Table13[[#This Row],[strength'[0']]], 0)</f>
        <v>0</v>
      </c>
      <c r="V11">
        <f xml:space="preserve"> IF(Table13[[#This Row],[dye'[2']]]=1, Table13[[#This Row],[strength'[2']]], 0)</f>
        <v>0</v>
      </c>
      <c r="W11">
        <f xml:space="preserve"> IF(Table13[[#This Row],[dye'[1']]]=1, Table13[[#This Row],[strength'[1']]], 0)</f>
        <v>0</v>
      </c>
      <c r="X11">
        <f xml:space="preserve"> IF(Table13[[#This Row],[dye'[0']]]=1, Table13[[#This Row],[strength'[0']]], 0)</f>
        <v>0</v>
      </c>
      <c r="Y11">
        <f xml:space="preserve"> IF(Table13[[#This Row],[dye'[2']]]=0, Table13[[#This Row],[strength'[2']]], 0)</f>
        <v>0</v>
      </c>
      <c r="Z11">
        <f xml:space="preserve"> IF(Table13[[#This Row],[dye'[1']]]=0, Table13[[#This Row],[strength'[1']]], 0)</f>
        <v>0</v>
      </c>
      <c r="AA11">
        <f xml:space="preserve"> IF(Table13[[#This Row],[dye'[0']]]=0, Table13[[#This Row],[strength'[0']]], 0)</f>
        <v>0</v>
      </c>
      <c r="AB11">
        <v>0</v>
      </c>
      <c r="AC11">
        <f>MAX($D$2, Table13[[#This Row],[t1'[0']]])</f>
        <v>0</v>
      </c>
      <c r="AD11">
        <v>0</v>
      </c>
      <c r="AE11">
        <f>Table13[[#This Row],[t1'[0']]]+Table13[[#This Row],[dt'[0']]]</f>
        <v>0</v>
      </c>
      <c r="AF11">
        <f>MIN($C$2, Table13[[#This Row],[tf'[0']]])</f>
        <v>0</v>
      </c>
      <c r="AG11">
        <f>Table13[[#This Row],[time2'[0']]]-Table13[[#This Row],[time1'[0']]]</f>
        <v>0</v>
      </c>
      <c r="AH11">
        <v>0</v>
      </c>
      <c r="AI11">
        <f xml:space="preserve"> INDEX(Table3[[#All],[Intensity]], Table13[[#This Row],[int'[0']]]+2)</f>
        <v>0</v>
      </c>
      <c r="AJ11">
        <f>Table13[[#This Row],[duration'[0']]]*Table13[[#This Row],[intensity'[0']]]</f>
        <v>0</v>
      </c>
      <c r="AK11">
        <f>MOD(Table13[[#This Row],[ZMW num]], 4)</f>
        <v>2</v>
      </c>
      <c r="AL11">
        <v>0</v>
      </c>
      <c r="AM11">
        <f>MAX($D$2, Table13[[#This Row],[t1'[1']]])</f>
        <v>0</v>
      </c>
      <c r="AN11">
        <v>0</v>
      </c>
      <c r="AO11">
        <f>Table13[[#This Row],[t1'[1']]]+Table13[[#This Row],[dt'[1']]]</f>
        <v>0</v>
      </c>
      <c r="AP11">
        <f>MIN($C$2, Table13[[#This Row],[tf'[1']]])</f>
        <v>0</v>
      </c>
      <c r="AQ11">
        <f>Table13[[#This Row],[time2'[1']]]-Table13[[#This Row],[time1'[1']]]</f>
        <v>0</v>
      </c>
      <c r="AR11">
        <v>0</v>
      </c>
      <c r="AS11">
        <f xml:space="preserve"> INDEX(Table3[[#All],[Intensity]], Table13[[#This Row],[int'[1']]]+2)</f>
        <v>0</v>
      </c>
      <c r="AT11">
        <f>Table13[[#This Row],[duration'[1']]]*Table13[[#This Row],[intensity'[1']]]</f>
        <v>0</v>
      </c>
      <c r="AU11">
        <f>MOD(Table13[[#This Row],[ZMW num]]+1, 4)</f>
        <v>3</v>
      </c>
      <c r="AV11">
        <v>0</v>
      </c>
      <c r="AW11">
        <f>MAX($D$2, Table13[[#This Row],[t1'[2']]])</f>
        <v>0</v>
      </c>
      <c r="AX11">
        <v>0</v>
      </c>
      <c r="AY11">
        <f>Table13[[#This Row],[t1'[2']]]+Table13[[#This Row],[dt'[2']]]</f>
        <v>0</v>
      </c>
      <c r="AZ11">
        <f>MIN($C$2, Table13[[#This Row],[tf'[2']]])</f>
        <v>0</v>
      </c>
      <c r="BA11">
        <f>Table13[[#This Row],[time2'[2']]]-Table13[[#This Row],[time1'[2']]]</f>
        <v>0</v>
      </c>
      <c r="BB11">
        <v>0</v>
      </c>
      <c r="BC11">
        <f xml:space="preserve"> INDEX(Table3[[#All],[Intensity]], Table13[[#This Row],[int'[2']]]+2)</f>
        <v>0</v>
      </c>
      <c r="BD11">
        <f>Table13[[#This Row],[duration'[2']]]*Table13[[#This Row],[intensity'[2']]]</f>
        <v>0</v>
      </c>
      <c r="BE11">
        <f>MOD(Table13[[#This Row],[ZMW num]]+2, 4)</f>
        <v>0</v>
      </c>
      <c r="BF11" s="2" t="str">
        <f>Single2String(Table13[[#This Row],[t1'[0']]])</f>
        <v>00000000</v>
      </c>
      <c r="BG11" s="1" t="str">
        <f>Single2String(Table13[[#This Row],[dt'[0']]])</f>
        <v>00000000</v>
      </c>
      <c r="BH11" s="1" t="str">
        <f>Single2String(Table13[[#This Row],[t1'[1']]])</f>
        <v>00000000</v>
      </c>
      <c r="BI11" s="1" t="str">
        <f>Single2String(Table13[[#This Row],[dt'[1']]])</f>
        <v>00000000</v>
      </c>
      <c r="BJ11" s="1" t="str">
        <f>Single2String(Table13[[#This Row],[t1'[2']]])</f>
        <v>00000000</v>
      </c>
      <c r="BK11" s="1" t="str">
        <f>Single2String(Table13[[#This Row],[dt'[2']]])</f>
        <v>00000000</v>
      </c>
      <c r="BL11" s="1" t="str">
        <f>DEC2HEX(Table13[[#This Row],[ZMW num]], 6)</f>
        <v>000006</v>
      </c>
      <c r="BM11" s="1">
        <f>LEN(Table13[[#This Row],[DRAM data]])</f>
        <v>64</v>
      </c>
      <c r="BN1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0000000000000000000000000000000000000000000000002030000000000600</v>
      </c>
      <c r="CU11"/>
    </row>
    <row r="12" spans="1:99" x14ac:dyDescent="0.25">
      <c r="A12" t="str">
        <f>Single2String(Table13[[#This Row],[duration'[0']]])</f>
        <v>00000000</v>
      </c>
      <c r="B12" t="str">
        <f>Single2String(Table13[[#This Row],[duration'[1']]])</f>
        <v>00000000</v>
      </c>
      <c r="C12" t="str">
        <f>Single2String(Table13[[#This Row],[duration'[2']]])</f>
        <v>00000000</v>
      </c>
      <c r="D12" t="str">
        <f>INDEX(Table3[Hex], Table13[[#This Row],[int'[0']]]+1)</f>
        <v>00000000</v>
      </c>
      <c r="E12" t="str">
        <f>INDEX(Table3[Hex], Table13[[#This Row],[int'[1']]]+1)</f>
        <v>00000000</v>
      </c>
      <c r="F12" t="str">
        <f>INDEX(Table3[Hex], Table13[[#This Row],[int'[1']]]+1)</f>
        <v>00000000</v>
      </c>
      <c r="G12" t="str">
        <f>Single2String(Table13[[#This Row],[c ktrace]])</f>
        <v>00000000</v>
      </c>
      <c r="H12" t="str">
        <f>Single2String(Table13[[#This Row],[a ktrace]])</f>
        <v>00000000</v>
      </c>
      <c r="I12" t="str">
        <f>Single2String(Table13[[#This Row],[g ktrace]])</f>
        <v>00000000</v>
      </c>
      <c r="J12" t="str">
        <f>Single2String(Table13[[#This Row],[t ktrace]])</f>
        <v>00000000</v>
      </c>
      <c r="K12" s="3">
        <v>7</v>
      </c>
      <c r="L12">
        <f>SUM(Table13[[#This Row],[c ktrace'[2']]:[c ktrace'[0']]])</f>
        <v>0</v>
      </c>
      <c r="M12">
        <f>SUM(Table13[[#This Row],[a ktrace'[2']]:[a ktrace'[0']]])</f>
        <v>0</v>
      </c>
      <c r="N12">
        <f>SUM(Table13[[#This Row],[g ktrace'[2']]:[g ktrace'[0']]])</f>
        <v>0</v>
      </c>
      <c r="O12">
        <f>SUM(Table13[[#This Row],[t ktrace'[2']]:[t ktrace'[0']]])</f>
        <v>0</v>
      </c>
      <c r="P12">
        <f xml:space="preserve"> IF(Table13[[#This Row],[dye'[2']]]=3, Table13[[#This Row],[strength'[2']]], 0)</f>
        <v>0</v>
      </c>
      <c r="Q12">
        <f xml:space="preserve"> IF(Table13[[#This Row],[dye'[1']]]=3, Table13[[#This Row],[strength'[1']]], 0)</f>
        <v>0</v>
      </c>
      <c r="R12">
        <f xml:space="preserve"> IF(Table13[[#This Row],[dye'[0']]]=3, Table13[[#This Row],[strength'[0']]], 0)</f>
        <v>0</v>
      </c>
      <c r="S12">
        <f xml:space="preserve"> IF(Table13[[#This Row],[dye'[2']]]=2, Table13[[#This Row],[strength'[2']]], 0)</f>
        <v>0</v>
      </c>
      <c r="T12">
        <f xml:space="preserve"> IF(Table13[[#This Row],[dye'[1']]]=2, Table13[[#This Row],[strength'[1']]], 0)</f>
        <v>0</v>
      </c>
      <c r="U12">
        <f xml:space="preserve"> IF(Table13[[#This Row],[dye'[0']]]=2, Table13[[#This Row],[strength'[0']]], 0)</f>
        <v>0</v>
      </c>
      <c r="V12">
        <f xml:space="preserve"> IF(Table13[[#This Row],[dye'[2']]]=1, Table13[[#This Row],[strength'[2']]], 0)</f>
        <v>0</v>
      </c>
      <c r="W12">
        <f xml:space="preserve"> IF(Table13[[#This Row],[dye'[1']]]=1, Table13[[#This Row],[strength'[1']]], 0)</f>
        <v>0</v>
      </c>
      <c r="X12">
        <f xml:space="preserve"> IF(Table13[[#This Row],[dye'[0']]]=1, Table13[[#This Row],[strength'[0']]], 0)</f>
        <v>0</v>
      </c>
      <c r="Y12">
        <f xml:space="preserve"> IF(Table13[[#This Row],[dye'[2']]]=0, Table13[[#This Row],[strength'[2']]], 0)</f>
        <v>0</v>
      </c>
      <c r="Z12">
        <f xml:space="preserve"> IF(Table13[[#This Row],[dye'[1']]]=0, Table13[[#This Row],[strength'[1']]], 0)</f>
        <v>0</v>
      </c>
      <c r="AA12">
        <f xml:space="preserve"> IF(Table13[[#This Row],[dye'[0']]]=0, Table13[[#This Row],[strength'[0']]], 0)</f>
        <v>0</v>
      </c>
      <c r="AB12">
        <v>0</v>
      </c>
      <c r="AC12">
        <f>MAX($D$2, Table13[[#This Row],[t1'[0']]])</f>
        <v>0</v>
      </c>
      <c r="AD12">
        <v>0</v>
      </c>
      <c r="AE12">
        <f>Table13[[#This Row],[t1'[0']]]+Table13[[#This Row],[dt'[0']]]</f>
        <v>0</v>
      </c>
      <c r="AF12">
        <f>MIN($C$2, Table13[[#This Row],[tf'[0']]])</f>
        <v>0</v>
      </c>
      <c r="AG12">
        <f>Table13[[#This Row],[time2'[0']]]-Table13[[#This Row],[time1'[0']]]</f>
        <v>0</v>
      </c>
      <c r="AH12">
        <v>0</v>
      </c>
      <c r="AI12">
        <f xml:space="preserve"> INDEX(Table3[[#All],[Intensity]], Table13[[#This Row],[int'[0']]]+2)</f>
        <v>0</v>
      </c>
      <c r="AJ12">
        <f>Table13[[#This Row],[duration'[0']]]*Table13[[#This Row],[intensity'[0']]]</f>
        <v>0</v>
      </c>
      <c r="AK12">
        <f>MOD(Table13[[#This Row],[ZMW num]], 4)</f>
        <v>3</v>
      </c>
      <c r="AL12">
        <v>0</v>
      </c>
      <c r="AM12">
        <f>MAX($D$2, Table13[[#This Row],[t1'[1']]])</f>
        <v>0</v>
      </c>
      <c r="AN12">
        <v>0</v>
      </c>
      <c r="AO12">
        <f>Table13[[#This Row],[t1'[1']]]+Table13[[#This Row],[dt'[1']]]</f>
        <v>0</v>
      </c>
      <c r="AP12">
        <f>MIN($C$2, Table13[[#This Row],[tf'[1']]])</f>
        <v>0</v>
      </c>
      <c r="AQ12">
        <f>Table13[[#This Row],[time2'[1']]]-Table13[[#This Row],[time1'[1']]]</f>
        <v>0</v>
      </c>
      <c r="AR12">
        <v>0</v>
      </c>
      <c r="AS12">
        <f xml:space="preserve"> INDEX(Table3[[#All],[Intensity]], Table13[[#This Row],[int'[1']]]+2)</f>
        <v>0</v>
      </c>
      <c r="AT12">
        <f>Table13[[#This Row],[duration'[1']]]*Table13[[#This Row],[intensity'[1']]]</f>
        <v>0</v>
      </c>
      <c r="AU12">
        <f>MOD(Table13[[#This Row],[ZMW num]]+1, 4)</f>
        <v>0</v>
      </c>
      <c r="AV12">
        <v>0</v>
      </c>
      <c r="AW12">
        <f>MAX($D$2, Table13[[#This Row],[t1'[2']]])</f>
        <v>0</v>
      </c>
      <c r="AX12">
        <v>0</v>
      </c>
      <c r="AY12">
        <f>Table13[[#This Row],[t1'[2']]]+Table13[[#This Row],[dt'[2']]]</f>
        <v>0</v>
      </c>
      <c r="AZ12">
        <f>MIN($C$2, Table13[[#This Row],[tf'[2']]])</f>
        <v>0</v>
      </c>
      <c r="BA12">
        <f>Table13[[#This Row],[time2'[2']]]-Table13[[#This Row],[time1'[2']]]</f>
        <v>0</v>
      </c>
      <c r="BB12">
        <v>0</v>
      </c>
      <c r="BC12">
        <f xml:space="preserve"> INDEX(Table3[[#All],[Intensity]], Table13[[#This Row],[int'[2']]]+2)</f>
        <v>0</v>
      </c>
      <c r="BD12">
        <f>Table13[[#This Row],[duration'[2']]]*Table13[[#This Row],[intensity'[2']]]</f>
        <v>0</v>
      </c>
      <c r="BE12">
        <f>MOD(Table13[[#This Row],[ZMW num]]+2, 4)</f>
        <v>1</v>
      </c>
      <c r="BF12" s="2" t="str">
        <f>Single2String(Table13[[#This Row],[t1'[0']]])</f>
        <v>00000000</v>
      </c>
      <c r="BG12" s="1" t="str">
        <f>Single2String(Table13[[#This Row],[dt'[0']]])</f>
        <v>00000000</v>
      </c>
      <c r="BH12" s="1" t="str">
        <f>Single2String(Table13[[#This Row],[t1'[1']]])</f>
        <v>00000000</v>
      </c>
      <c r="BI12" s="1" t="str">
        <f>Single2String(Table13[[#This Row],[dt'[1']]])</f>
        <v>00000000</v>
      </c>
      <c r="BJ12" s="1" t="str">
        <f>Single2String(Table13[[#This Row],[t1'[2']]])</f>
        <v>00000000</v>
      </c>
      <c r="BK12" s="1" t="str">
        <f>Single2String(Table13[[#This Row],[dt'[2']]])</f>
        <v>00000000</v>
      </c>
      <c r="BL12" s="1" t="str">
        <f>DEC2HEX(Table13[[#This Row],[ZMW num]], 6)</f>
        <v>000007</v>
      </c>
      <c r="BM12" s="1">
        <f>LEN(Table13[[#This Row],[DRAM data]])</f>
        <v>64</v>
      </c>
      <c r="BN1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0000000000000000000000000000000000000000000000003000100000000700</v>
      </c>
      <c r="CU12"/>
    </row>
    <row r="13" spans="1:99" x14ac:dyDescent="0.25">
      <c r="A13" t="str">
        <f>Single2String(Table13[[#This Row],[duration'[0']]])</f>
        <v>00000000</v>
      </c>
      <c r="B13" t="str">
        <f>Single2String(Table13[[#This Row],[duration'[1']]])</f>
        <v>00000000</v>
      </c>
      <c r="C13" t="str">
        <f>Single2String(Table13[[#This Row],[duration'[2']]])</f>
        <v>00000000</v>
      </c>
      <c r="D13" t="str">
        <f>INDEX(Table3[Hex], Table13[[#This Row],[int'[0']]]+1)</f>
        <v>00000000</v>
      </c>
      <c r="E13" t="str">
        <f>INDEX(Table3[Hex], Table13[[#This Row],[int'[1']]]+1)</f>
        <v>00000000</v>
      </c>
      <c r="F13" t="str">
        <f>INDEX(Table3[Hex], Table13[[#This Row],[int'[1']]]+1)</f>
        <v>00000000</v>
      </c>
      <c r="G13" t="str">
        <f>Single2String(Table13[[#This Row],[c ktrace]])</f>
        <v>00000000</v>
      </c>
      <c r="H13" t="str">
        <f>Single2String(Table13[[#This Row],[a ktrace]])</f>
        <v>00000000</v>
      </c>
      <c r="I13" t="str">
        <f>Single2String(Table13[[#This Row],[g ktrace]])</f>
        <v>00000000</v>
      </c>
      <c r="J13" t="str">
        <f>Single2String(Table13[[#This Row],[t ktrace]])</f>
        <v>00000000</v>
      </c>
      <c r="K13" s="3">
        <v>8</v>
      </c>
      <c r="L13">
        <f>SUM(Table13[[#This Row],[c ktrace'[2']]:[c ktrace'[0']]])</f>
        <v>0</v>
      </c>
      <c r="M13">
        <f>SUM(Table13[[#This Row],[a ktrace'[2']]:[a ktrace'[0']]])</f>
        <v>0</v>
      </c>
      <c r="N13">
        <f>SUM(Table13[[#This Row],[g ktrace'[2']]:[g ktrace'[0']]])</f>
        <v>0</v>
      </c>
      <c r="O13">
        <f>SUM(Table13[[#This Row],[t ktrace'[2']]:[t ktrace'[0']]])</f>
        <v>0</v>
      </c>
      <c r="P13">
        <f xml:space="preserve"> IF(Table13[[#This Row],[dye'[2']]]=3, Table13[[#This Row],[strength'[2']]], 0)</f>
        <v>0</v>
      </c>
      <c r="Q13">
        <f xml:space="preserve"> IF(Table13[[#This Row],[dye'[1']]]=3, Table13[[#This Row],[strength'[1']]], 0)</f>
        <v>0</v>
      </c>
      <c r="R13">
        <f xml:space="preserve"> IF(Table13[[#This Row],[dye'[0']]]=3, Table13[[#This Row],[strength'[0']]], 0)</f>
        <v>0</v>
      </c>
      <c r="S13">
        <f xml:space="preserve"> IF(Table13[[#This Row],[dye'[2']]]=2, Table13[[#This Row],[strength'[2']]], 0)</f>
        <v>0</v>
      </c>
      <c r="T13">
        <f xml:space="preserve"> IF(Table13[[#This Row],[dye'[1']]]=2, Table13[[#This Row],[strength'[1']]], 0)</f>
        <v>0</v>
      </c>
      <c r="U13">
        <f xml:space="preserve"> IF(Table13[[#This Row],[dye'[0']]]=2, Table13[[#This Row],[strength'[0']]], 0)</f>
        <v>0</v>
      </c>
      <c r="V13">
        <f xml:space="preserve"> IF(Table13[[#This Row],[dye'[2']]]=1, Table13[[#This Row],[strength'[2']]], 0)</f>
        <v>0</v>
      </c>
      <c r="W13">
        <f xml:space="preserve"> IF(Table13[[#This Row],[dye'[1']]]=1, Table13[[#This Row],[strength'[1']]], 0)</f>
        <v>0</v>
      </c>
      <c r="X13">
        <f xml:space="preserve"> IF(Table13[[#This Row],[dye'[0']]]=1, Table13[[#This Row],[strength'[0']]], 0)</f>
        <v>0</v>
      </c>
      <c r="Y13">
        <f xml:space="preserve"> IF(Table13[[#This Row],[dye'[2']]]=0, Table13[[#This Row],[strength'[2']]], 0)</f>
        <v>0</v>
      </c>
      <c r="Z13">
        <f xml:space="preserve"> IF(Table13[[#This Row],[dye'[1']]]=0, Table13[[#This Row],[strength'[1']]], 0)</f>
        <v>0</v>
      </c>
      <c r="AA13">
        <f xml:space="preserve"> IF(Table13[[#This Row],[dye'[0']]]=0, Table13[[#This Row],[strength'[0']]], 0)</f>
        <v>0</v>
      </c>
      <c r="AB13">
        <v>0</v>
      </c>
      <c r="AC13">
        <f>MAX($D$2, Table13[[#This Row],[t1'[0']]])</f>
        <v>0</v>
      </c>
      <c r="AD13">
        <v>0</v>
      </c>
      <c r="AE13">
        <f>Table13[[#This Row],[t1'[0']]]+Table13[[#This Row],[dt'[0']]]</f>
        <v>0</v>
      </c>
      <c r="AF13">
        <f>MIN($C$2, Table13[[#This Row],[tf'[0']]])</f>
        <v>0</v>
      </c>
      <c r="AG13">
        <f>Table13[[#This Row],[time2'[0']]]-Table13[[#This Row],[time1'[0']]]</f>
        <v>0</v>
      </c>
      <c r="AH13">
        <v>0</v>
      </c>
      <c r="AI13">
        <f xml:space="preserve"> INDEX(Table3[[#All],[Intensity]], Table13[[#This Row],[int'[0']]]+2)</f>
        <v>0</v>
      </c>
      <c r="AJ13">
        <f>Table13[[#This Row],[duration'[0']]]*Table13[[#This Row],[intensity'[0']]]</f>
        <v>0</v>
      </c>
      <c r="AK13">
        <f>MOD(Table13[[#This Row],[ZMW num]], 4)</f>
        <v>0</v>
      </c>
      <c r="AL13">
        <v>0</v>
      </c>
      <c r="AM13">
        <f>MAX($D$2, Table13[[#This Row],[t1'[1']]])</f>
        <v>0</v>
      </c>
      <c r="AN13">
        <v>0</v>
      </c>
      <c r="AO13">
        <f>Table13[[#This Row],[t1'[1']]]+Table13[[#This Row],[dt'[1']]]</f>
        <v>0</v>
      </c>
      <c r="AP13">
        <f>MIN($C$2, Table13[[#This Row],[tf'[1']]])</f>
        <v>0</v>
      </c>
      <c r="AQ13">
        <f>Table13[[#This Row],[time2'[1']]]-Table13[[#This Row],[time1'[1']]]</f>
        <v>0</v>
      </c>
      <c r="AR13">
        <v>0</v>
      </c>
      <c r="AS13">
        <f xml:space="preserve"> INDEX(Table3[[#All],[Intensity]], Table13[[#This Row],[int'[1']]]+2)</f>
        <v>0</v>
      </c>
      <c r="AT13">
        <f>Table13[[#This Row],[duration'[1']]]*Table13[[#This Row],[intensity'[1']]]</f>
        <v>0</v>
      </c>
      <c r="AU13">
        <f>MOD(Table13[[#This Row],[ZMW num]]+1, 4)</f>
        <v>1</v>
      </c>
      <c r="AV13">
        <v>0</v>
      </c>
      <c r="AW13">
        <f>MAX($D$2, Table13[[#This Row],[t1'[2']]])</f>
        <v>0</v>
      </c>
      <c r="AX13">
        <v>0</v>
      </c>
      <c r="AY13">
        <f>Table13[[#This Row],[t1'[2']]]+Table13[[#This Row],[dt'[2']]]</f>
        <v>0</v>
      </c>
      <c r="AZ13">
        <f>MIN($C$2, Table13[[#This Row],[tf'[2']]])</f>
        <v>0</v>
      </c>
      <c r="BA13">
        <f>Table13[[#This Row],[time2'[2']]]-Table13[[#This Row],[time1'[2']]]</f>
        <v>0</v>
      </c>
      <c r="BB13">
        <v>0</v>
      </c>
      <c r="BC13">
        <f xml:space="preserve"> INDEX(Table3[[#All],[Intensity]], Table13[[#This Row],[int'[2']]]+2)</f>
        <v>0</v>
      </c>
      <c r="BD13">
        <f>Table13[[#This Row],[duration'[2']]]*Table13[[#This Row],[intensity'[2']]]</f>
        <v>0</v>
      </c>
      <c r="BE13">
        <f>MOD(Table13[[#This Row],[ZMW num]]+2, 4)</f>
        <v>2</v>
      </c>
      <c r="BF13" s="2" t="str">
        <f>Single2String(Table13[[#This Row],[t1'[0']]])</f>
        <v>00000000</v>
      </c>
      <c r="BG13" s="1" t="str">
        <f>Single2String(Table13[[#This Row],[dt'[0']]])</f>
        <v>00000000</v>
      </c>
      <c r="BH13" s="1" t="str">
        <f>Single2String(Table13[[#This Row],[t1'[1']]])</f>
        <v>00000000</v>
      </c>
      <c r="BI13" s="1" t="str">
        <f>Single2String(Table13[[#This Row],[dt'[1']]])</f>
        <v>00000000</v>
      </c>
      <c r="BJ13" s="1" t="str">
        <f>Single2String(Table13[[#This Row],[t1'[2']]])</f>
        <v>00000000</v>
      </c>
      <c r="BK13" s="1" t="str">
        <f>Single2String(Table13[[#This Row],[dt'[2']]])</f>
        <v>00000000</v>
      </c>
      <c r="BL13" s="1" t="str">
        <f>DEC2HEX(Table13[[#This Row],[ZMW num]], 6)</f>
        <v>000008</v>
      </c>
      <c r="BM13" s="1">
        <f>LEN(Table13[[#This Row],[DRAM data]])</f>
        <v>64</v>
      </c>
      <c r="BN1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0000000000000000000000000000000000000000000000000010200000000800</v>
      </c>
      <c r="CU13"/>
    </row>
    <row r="14" spans="1:99" x14ac:dyDescent="0.25">
      <c r="A14" t="str">
        <f>Single2String(Table13[[#This Row],[duration'[0']]])</f>
        <v>00000000</v>
      </c>
      <c r="B14" t="str">
        <f>Single2String(Table13[[#This Row],[duration'[1']]])</f>
        <v>00000000</v>
      </c>
      <c r="C14" t="str">
        <f>Single2String(Table13[[#This Row],[duration'[2']]])</f>
        <v>00000000</v>
      </c>
      <c r="D14" t="str">
        <f>INDEX(Table3[Hex], Table13[[#This Row],[int'[0']]]+1)</f>
        <v>00000000</v>
      </c>
      <c r="E14" t="str">
        <f>INDEX(Table3[Hex], Table13[[#This Row],[int'[1']]]+1)</f>
        <v>00000000</v>
      </c>
      <c r="F14" t="str">
        <f>INDEX(Table3[Hex], Table13[[#This Row],[int'[1']]]+1)</f>
        <v>00000000</v>
      </c>
      <c r="G14" t="str">
        <f>Single2String(Table13[[#This Row],[c ktrace]])</f>
        <v>00000000</v>
      </c>
      <c r="H14" t="str">
        <f>Single2String(Table13[[#This Row],[a ktrace]])</f>
        <v>00000000</v>
      </c>
      <c r="I14" t="str">
        <f>Single2String(Table13[[#This Row],[g ktrace]])</f>
        <v>00000000</v>
      </c>
      <c r="J14" t="str">
        <f>Single2String(Table13[[#This Row],[t ktrace]])</f>
        <v>00000000</v>
      </c>
      <c r="K14" s="3">
        <v>9</v>
      </c>
      <c r="L14">
        <f>SUM(Table13[[#This Row],[c ktrace'[2']]:[c ktrace'[0']]])</f>
        <v>0</v>
      </c>
      <c r="M14">
        <f>SUM(Table13[[#This Row],[a ktrace'[2']]:[a ktrace'[0']]])</f>
        <v>0</v>
      </c>
      <c r="N14">
        <f>SUM(Table13[[#This Row],[g ktrace'[2']]:[g ktrace'[0']]])</f>
        <v>0</v>
      </c>
      <c r="O14">
        <f>SUM(Table13[[#This Row],[t ktrace'[2']]:[t ktrace'[0']]])</f>
        <v>0</v>
      </c>
      <c r="P14">
        <f xml:space="preserve"> IF(Table13[[#This Row],[dye'[2']]]=3, Table13[[#This Row],[strength'[2']]], 0)</f>
        <v>0</v>
      </c>
      <c r="Q14">
        <f xml:space="preserve"> IF(Table13[[#This Row],[dye'[1']]]=3, Table13[[#This Row],[strength'[1']]], 0)</f>
        <v>0</v>
      </c>
      <c r="R14">
        <f xml:space="preserve"> IF(Table13[[#This Row],[dye'[0']]]=3, Table13[[#This Row],[strength'[0']]], 0)</f>
        <v>0</v>
      </c>
      <c r="S14">
        <f xml:space="preserve"> IF(Table13[[#This Row],[dye'[2']]]=2, Table13[[#This Row],[strength'[2']]], 0)</f>
        <v>0</v>
      </c>
      <c r="T14">
        <f xml:space="preserve"> IF(Table13[[#This Row],[dye'[1']]]=2, Table13[[#This Row],[strength'[1']]], 0)</f>
        <v>0</v>
      </c>
      <c r="U14">
        <f xml:space="preserve"> IF(Table13[[#This Row],[dye'[0']]]=2, Table13[[#This Row],[strength'[0']]], 0)</f>
        <v>0</v>
      </c>
      <c r="V14">
        <f xml:space="preserve"> IF(Table13[[#This Row],[dye'[2']]]=1, Table13[[#This Row],[strength'[2']]], 0)</f>
        <v>0</v>
      </c>
      <c r="W14">
        <f xml:space="preserve"> IF(Table13[[#This Row],[dye'[1']]]=1, Table13[[#This Row],[strength'[1']]], 0)</f>
        <v>0</v>
      </c>
      <c r="X14">
        <f xml:space="preserve"> IF(Table13[[#This Row],[dye'[0']]]=1, Table13[[#This Row],[strength'[0']]], 0)</f>
        <v>0</v>
      </c>
      <c r="Y14">
        <f xml:space="preserve"> IF(Table13[[#This Row],[dye'[2']]]=0, Table13[[#This Row],[strength'[2']]], 0)</f>
        <v>0</v>
      </c>
      <c r="Z14">
        <f xml:space="preserve"> IF(Table13[[#This Row],[dye'[1']]]=0, Table13[[#This Row],[strength'[1']]], 0)</f>
        <v>0</v>
      </c>
      <c r="AA14">
        <f xml:space="preserve"> IF(Table13[[#This Row],[dye'[0']]]=0, Table13[[#This Row],[strength'[0']]], 0)</f>
        <v>0</v>
      </c>
      <c r="AB14">
        <v>0</v>
      </c>
      <c r="AC14">
        <f>MAX($D$2, Table13[[#This Row],[t1'[0']]])</f>
        <v>0</v>
      </c>
      <c r="AD14">
        <v>0</v>
      </c>
      <c r="AE14">
        <f>Table13[[#This Row],[t1'[0']]]+Table13[[#This Row],[dt'[0']]]</f>
        <v>0</v>
      </c>
      <c r="AF14">
        <f>MIN($C$2, Table13[[#This Row],[tf'[0']]])</f>
        <v>0</v>
      </c>
      <c r="AG14">
        <f>Table13[[#This Row],[time2'[0']]]-Table13[[#This Row],[time1'[0']]]</f>
        <v>0</v>
      </c>
      <c r="AH14">
        <v>0</v>
      </c>
      <c r="AI14">
        <f xml:space="preserve"> INDEX(Table3[[#All],[Intensity]], Table13[[#This Row],[int'[0']]]+2)</f>
        <v>0</v>
      </c>
      <c r="AJ14">
        <f>Table13[[#This Row],[duration'[0']]]*Table13[[#This Row],[intensity'[0']]]</f>
        <v>0</v>
      </c>
      <c r="AK14">
        <f>MOD(Table13[[#This Row],[ZMW num]], 4)</f>
        <v>1</v>
      </c>
      <c r="AL14">
        <v>0</v>
      </c>
      <c r="AM14">
        <f>MAX($D$2, Table13[[#This Row],[t1'[1']]])</f>
        <v>0</v>
      </c>
      <c r="AN14">
        <v>0</v>
      </c>
      <c r="AO14">
        <f>Table13[[#This Row],[t1'[1']]]+Table13[[#This Row],[dt'[1']]]</f>
        <v>0</v>
      </c>
      <c r="AP14">
        <f>MIN($C$2, Table13[[#This Row],[tf'[1']]])</f>
        <v>0</v>
      </c>
      <c r="AQ14">
        <f>Table13[[#This Row],[time2'[1']]]-Table13[[#This Row],[time1'[1']]]</f>
        <v>0</v>
      </c>
      <c r="AR14">
        <v>0</v>
      </c>
      <c r="AS14">
        <f xml:space="preserve"> INDEX(Table3[[#All],[Intensity]], Table13[[#This Row],[int'[1']]]+2)</f>
        <v>0</v>
      </c>
      <c r="AT14">
        <f>Table13[[#This Row],[duration'[1']]]*Table13[[#This Row],[intensity'[1']]]</f>
        <v>0</v>
      </c>
      <c r="AU14">
        <f>MOD(Table13[[#This Row],[ZMW num]]+1, 4)</f>
        <v>2</v>
      </c>
      <c r="AV14">
        <v>0</v>
      </c>
      <c r="AW14">
        <f>MAX($D$2, Table13[[#This Row],[t1'[2']]])</f>
        <v>0</v>
      </c>
      <c r="AX14">
        <v>0</v>
      </c>
      <c r="AY14">
        <f>Table13[[#This Row],[t1'[2']]]+Table13[[#This Row],[dt'[2']]]</f>
        <v>0</v>
      </c>
      <c r="AZ14">
        <f>MIN($C$2, Table13[[#This Row],[tf'[2']]])</f>
        <v>0</v>
      </c>
      <c r="BA14">
        <f>Table13[[#This Row],[time2'[2']]]-Table13[[#This Row],[time1'[2']]]</f>
        <v>0</v>
      </c>
      <c r="BB14">
        <v>0</v>
      </c>
      <c r="BC14">
        <f xml:space="preserve"> INDEX(Table3[[#All],[Intensity]], Table13[[#This Row],[int'[2']]]+2)</f>
        <v>0</v>
      </c>
      <c r="BD14">
        <f>Table13[[#This Row],[duration'[2']]]*Table13[[#This Row],[intensity'[2']]]</f>
        <v>0</v>
      </c>
      <c r="BE14">
        <f>MOD(Table13[[#This Row],[ZMW num]]+2, 4)</f>
        <v>3</v>
      </c>
      <c r="BF14" s="2" t="str">
        <f>Single2String(Table13[[#This Row],[t1'[0']]])</f>
        <v>00000000</v>
      </c>
      <c r="BG14" s="1" t="str">
        <f>Single2String(Table13[[#This Row],[dt'[0']]])</f>
        <v>00000000</v>
      </c>
      <c r="BH14" s="1" t="str">
        <f>Single2String(Table13[[#This Row],[t1'[1']]])</f>
        <v>00000000</v>
      </c>
      <c r="BI14" s="1" t="str">
        <f>Single2String(Table13[[#This Row],[dt'[1']]])</f>
        <v>00000000</v>
      </c>
      <c r="BJ14" s="1" t="str">
        <f>Single2String(Table13[[#This Row],[t1'[2']]])</f>
        <v>00000000</v>
      </c>
      <c r="BK14" s="1" t="str">
        <f>Single2String(Table13[[#This Row],[dt'[2']]])</f>
        <v>00000000</v>
      </c>
      <c r="BL14" s="1" t="str">
        <f>DEC2HEX(Table13[[#This Row],[ZMW num]], 6)</f>
        <v>000009</v>
      </c>
      <c r="BM14" s="1">
        <f>LEN(Table13[[#This Row],[DRAM data]])</f>
        <v>64</v>
      </c>
      <c r="BN1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0000000000000000000000000000000000000000000000001020300000000900</v>
      </c>
      <c r="CU14"/>
    </row>
    <row r="15" spans="1:99" x14ac:dyDescent="0.25">
      <c r="A15" t="str">
        <f>Single2String(Table13[[#This Row],[duration'[0']]])</f>
        <v>00000000</v>
      </c>
      <c r="B15" t="str">
        <f>Single2String(Table13[[#This Row],[duration'[1']]])</f>
        <v>00000000</v>
      </c>
      <c r="C15" t="str">
        <f>Single2String(Table13[[#This Row],[duration'[2']]])</f>
        <v>00000000</v>
      </c>
      <c r="D15" t="str">
        <f>INDEX(Table3[Hex], Table13[[#This Row],[int'[0']]]+1)</f>
        <v>00000000</v>
      </c>
      <c r="E15" t="str">
        <f>INDEX(Table3[Hex], Table13[[#This Row],[int'[1']]]+1)</f>
        <v>00000000</v>
      </c>
      <c r="F15" t="str">
        <f>INDEX(Table3[Hex], Table13[[#This Row],[int'[1']]]+1)</f>
        <v>00000000</v>
      </c>
      <c r="G15" t="str">
        <f>Single2String(Table13[[#This Row],[c ktrace]])</f>
        <v>00000000</v>
      </c>
      <c r="H15" t="str">
        <f>Single2String(Table13[[#This Row],[a ktrace]])</f>
        <v>00000000</v>
      </c>
      <c r="I15" t="str">
        <f>Single2String(Table13[[#This Row],[g ktrace]])</f>
        <v>00000000</v>
      </c>
      <c r="J15" t="str">
        <f>Single2String(Table13[[#This Row],[t ktrace]])</f>
        <v>00000000</v>
      </c>
      <c r="K15" s="3">
        <v>10</v>
      </c>
      <c r="L15">
        <f>SUM(Table13[[#This Row],[c ktrace'[2']]:[c ktrace'[0']]])</f>
        <v>0</v>
      </c>
      <c r="M15">
        <f>SUM(Table13[[#This Row],[a ktrace'[2']]:[a ktrace'[0']]])</f>
        <v>0</v>
      </c>
      <c r="N15">
        <f>SUM(Table13[[#This Row],[g ktrace'[2']]:[g ktrace'[0']]])</f>
        <v>0</v>
      </c>
      <c r="O15">
        <f>SUM(Table13[[#This Row],[t ktrace'[2']]:[t ktrace'[0']]])</f>
        <v>0</v>
      </c>
      <c r="P15">
        <f xml:space="preserve"> IF(Table13[[#This Row],[dye'[2']]]=3, Table13[[#This Row],[strength'[2']]], 0)</f>
        <v>0</v>
      </c>
      <c r="Q15">
        <f xml:space="preserve"> IF(Table13[[#This Row],[dye'[1']]]=3, Table13[[#This Row],[strength'[1']]], 0)</f>
        <v>0</v>
      </c>
      <c r="R15">
        <f xml:space="preserve"> IF(Table13[[#This Row],[dye'[0']]]=3, Table13[[#This Row],[strength'[0']]], 0)</f>
        <v>0</v>
      </c>
      <c r="S15">
        <f xml:space="preserve"> IF(Table13[[#This Row],[dye'[2']]]=2, Table13[[#This Row],[strength'[2']]], 0)</f>
        <v>0</v>
      </c>
      <c r="T15">
        <f xml:space="preserve"> IF(Table13[[#This Row],[dye'[1']]]=2, Table13[[#This Row],[strength'[1']]], 0)</f>
        <v>0</v>
      </c>
      <c r="U15">
        <f xml:space="preserve"> IF(Table13[[#This Row],[dye'[0']]]=2, Table13[[#This Row],[strength'[0']]], 0)</f>
        <v>0</v>
      </c>
      <c r="V15">
        <f xml:space="preserve"> IF(Table13[[#This Row],[dye'[2']]]=1, Table13[[#This Row],[strength'[2']]], 0)</f>
        <v>0</v>
      </c>
      <c r="W15">
        <f xml:space="preserve"> IF(Table13[[#This Row],[dye'[1']]]=1, Table13[[#This Row],[strength'[1']]], 0)</f>
        <v>0</v>
      </c>
      <c r="X15">
        <f xml:space="preserve"> IF(Table13[[#This Row],[dye'[0']]]=1, Table13[[#This Row],[strength'[0']]], 0)</f>
        <v>0</v>
      </c>
      <c r="Y15">
        <f xml:space="preserve"> IF(Table13[[#This Row],[dye'[2']]]=0, Table13[[#This Row],[strength'[2']]], 0)</f>
        <v>0</v>
      </c>
      <c r="Z15">
        <f xml:space="preserve"> IF(Table13[[#This Row],[dye'[1']]]=0, Table13[[#This Row],[strength'[1']]], 0)</f>
        <v>0</v>
      </c>
      <c r="AA15">
        <f xml:space="preserve"> IF(Table13[[#This Row],[dye'[0']]]=0, Table13[[#This Row],[strength'[0']]], 0)</f>
        <v>0</v>
      </c>
      <c r="AB15">
        <v>0</v>
      </c>
      <c r="AC15">
        <f>MAX($D$2, Table13[[#This Row],[t1'[0']]])</f>
        <v>0</v>
      </c>
      <c r="AD15">
        <v>0</v>
      </c>
      <c r="AE15">
        <f>Table13[[#This Row],[t1'[0']]]+Table13[[#This Row],[dt'[0']]]</f>
        <v>0</v>
      </c>
      <c r="AF15">
        <f>MIN($C$2, Table13[[#This Row],[tf'[0']]])</f>
        <v>0</v>
      </c>
      <c r="AG15">
        <f>Table13[[#This Row],[time2'[0']]]-Table13[[#This Row],[time1'[0']]]</f>
        <v>0</v>
      </c>
      <c r="AH15">
        <v>0</v>
      </c>
      <c r="AI15">
        <f xml:space="preserve"> INDEX(Table3[[#All],[Intensity]], Table13[[#This Row],[int'[0']]]+2)</f>
        <v>0</v>
      </c>
      <c r="AJ15">
        <f>Table13[[#This Row],[duration'[0']]]*Table13[[#This Row],[intensity'[0']]]</f>
        <v>0</v>
      </c>
      <c r="AK15">
        <f>MOD(Table13[[#This Row],[ZMW num]], 4)</f>
        <v>2</v>
      </c>
      <c r="AL15">
        <v>0</v>
      </c>
      <c r="AM15">
        <f>MAX($D$2, Table13[[#This Row],[t1'[1']]])</f>
        <v>0</v>
      </c>
      <c r="AN15">
        <v>0</v>
      </c>
      <c r="AO15">
        <f>Table13[[#This Row],[t1'[1']]]+Table13[[#This Row],[dt'[1']]]</f>
        <v>0</v>
      </c>
      <c r="AP15">
        <f>MIN($C$2, Table13[[#This Row],[tf'[1']]])</f>
        <v>0</v>
      </c>
      <c r="AQ15">
        <f>Table13[[#This Row],[time2'[1']]]-Table13[[#This Row],[time1'[1']]]</f>
        <v>0</v>
      </c>
      <c r="AR15">
        <v>0</v>
      </c>
      <c r="AS15">
        <f xml:space="preserve"> INDEX(Table3[[#All],[Intensity]], Table13[[#This Row],[int'[1']]]+2)</f>
        <v>0</v>
      </c>
      <c r="AT15">
        <f>Table13[[#This Row],[duration'[1']]]*Table13[[#This Row],[intensity'[1']]]</f>
        <v>0</v>
      </c>
      <c r="AU15">
        <f>MOD(Table13[[#This Row],[ZMW num]]+1, 4)</f>
        <v>3</v>
      </c>
      <c r="AV15">
        <v>0</v>
      </c>
      <c r="AW15">
        <f>MAX($D$2, Table13[[#This Row],[t1'[2']]])</f>
        <v>0</v>
      </c>
      <c r="AX15">
        <v>0</v>
      </c>
      <c r="AY15">
        <f>Table13[[#This Row],[t1'[2']]]+Table13[[#This Row],[dt'[2']]]</f>
        <v>0</v>
      </c>
      <c r="AZ15">
        <f>MIN($C$2, Table13[[#This Row],[tf'[2']]])</f>
        <v>0</v>
      </c>
      <c r="BA15">
        <f>Table13[[#This Row],[time2'[2']]]-Table13[[#This Row],[time1'[2']]]</f>
        <v>0</v>
      </c>
      <c r="BB15">
        <v>0</v>
      </c>
      <c r="BC15">
        <f xml:space="preserve"> INDEX(Table3[[#All],[Intensity]], Table13[[#This Row],[int'[2']]]+2)</f>
        <v>0</v>
      </c>
      <c r="BD15">
        <f>Table13[[#This Row],[duration'[2']]]*Table13[[#This Row],[intensity'[2']]]</f>
        <v>0</v>
      </c>
      <c r="BE15">
        <f>MOD(Table13[[#This Row],[ZMW num]]+2, 4)</f>
        <v>0</v>
      </c>
      <c r="BF15" s="2" t="str">
        <f>Single2String(Table13[[#This Row],[t1'[0']]])</f>
        <v>00000000</v>
      </c>
      <c r="BG15" s="1" t="str">
        <f>Single2String(Table13[[#This Row],[dt'[0']]])</f>
        <v>00000000</v>
      </c>
      <c r="BH15" s="1" t="str">
        <f>Single2String(Table13[[#This Row],[t1'[1']]])</f>
        <v>00000000</v>
      </c>
      <c r="BI15" s="1" t="str">
        <f>Single2String(Table13[[#This Row],[dt'[1']]])</f>
        <v>00000000</v>
      </c>
      <c r="BJ15" s="1" t="str">
        <f>Single2String(Table13[[#This Row],[t1'[2']]])</f>
        <v>00000000</v>
      </c>
      <c r="BK15" s="1" t="str">
        <f>Single2String(Table13[[#This Row],[dt'[2']]])</f>
        <v>00000000</v>
      </c>
      <c r="BL15" s="1" t="str">
        <f>DEC2HEX(Table13[[#This Row],[ZMW num]], 6)</f>
        <v>00000A</v>
      </c>
      <c r="BM15" s="1">
        <f>LEN(Table13[[#This Row],[DRAM data]])</f>
        <v>64</v>
      </c>
      <c r="BN1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0000000000000000000000000000000000000000000000002030000000000A00</v>
      </c>
      <c r="CU15"/>
    </row>
    <row r="16" spans="1:99" x14ac:dyDescent="0.25">
      <c r="A16" t="str">
        <f>Single2String(Table13[[#This Row],[duration'[0']]])</f>
        <v>00000000</v>
      </c>
      <c r="B16" t="str">
        <f>Single2String(Table13[[#This Row],[duration'[1']]])</f>
        <v>00000000</v>
      </c>
      <c r="C16" t="str">
        <f>Single2String(Table13[[#This Row],[duration'[2']]])</f>
        <v>00000000</v>
      </c>
      <c r="D16" t="str">
        <f>INDEX(Table3[Hex], Table13[[#This Row],[int'[0']]]+1)</f>
        <v>00000000</v>
      </c>
      <c r="E16" t="str">
        <f>INDEX(Table3[Hex], Table13[[#This Row],[int'[1']]]+1)</f>
        <v>00000000</v>
      </c>
      <c r="F16" t="str">
        <f>INDEX(Table3[Hex], Table13[[#This Row],[int'[1']]]+1)</f>
        <v>00000000</v>
      </c>
      <c r="G16" t="str">
        <f>Single2String(Table13[[#This Row],[c ktrace]])</f>
        <v>00000000</v>
      </c>
      <c r="H16" t="str">
        <f>Single2String(Table13[[#This Row],[a ktrace]])</f>
        <v>00000000</v>
      </c>
      <c r="I16" t="str">
        <f>Single2String(Table13[[#This Row],[g ktrace]])</f>
        <v>00000000</v>
      </c>
      <c r="J16" t="str">
        <f>Single2String(Table13[[#This Row],[t ktrace]])</f>
        <v>00000000</v>
      </c>
      <c r="K16" s="3">
        <v>11</v>
      </c>
      <c r="L16">
        <f>SUM(Table13[[#This Row],[c ktrace'[2']]:[c ktrace'[0']]])</f>
        <v>0</v>
      </c>
      <c r="M16">
        <f>SUM(Table13[[#This Row],[a ktrace'[2']]:[a ktrace'[0']]])</f>
        <v>0</v>
      </c>
      <c r="N16">
        <f>SUM(Table13[[#This Row],[g ktrace'[2']]:[g ktrace'[0']]])</f>
        <v>0</v>
      </c>
      <c r="O16">
        <f>SUM(Table13[[#This Row],[t ktrace'[2']]:[t ktrace'[0']]])</f>
        <v>0</v>
      </c>
      <c r="P16">
        <f xml:space="preserve"> IF(Table13[[#This Row],[dye'[2']]]=3, Table13[[#This Row],[strength'[2']]], 0)</f>
        <v>0</v>
      </c>
      <c r="Q16">
        <f xml:space="preserve"> IF(Table13[[#This Row],[dye'[1']]]=3, Table13[[#This Row],[strength'[1']]], 0)</f>
        <v>0</v>
      </c>
      <c r="R16">
        <f xml:space="preserve"> IF(Table13[[#This Row],[dye'[0']]]=3, Table13[[#This Row],[strength'[0']]], 0)</f>
        <v>0</v>
      </c>
      <c r="S16">
        <f xml:space="preserve"> IF(Table13[[#This Row],[dye'[2']]]=2, Table13[[#This Row],[strength'[2']]], 0)</f>
        <v>0</v>
      </c>
      <c r="T16">
        <f xml:space="preserve"> IF(Table13[[#This Row],[dye'[1']]]=2, Table13[[#This Row],[strength'[1']]], 0)</f>
        <v>0</v>
      </c>
      <c r="U16">
        <f xml:space="preserve"> IF(Table13[[#This Row],[dye'[0']]]=2, Table13[[#This Row],[strength'[0']]], 0)</f>
        <v>0</v>
      </c>
      <c r="V16">
        <f xml:space="preserve"> IF(Table13[[#This Row],[dye'[2']]]=1, Table13[[#This Row],[strength'[2']]], 0)</f>
        <v>0</v>
      </c>
      <c r="W16">
        <f xml:space="preserve"> IF(Table13[[#This Row],[dye'[1']]]=1, Table13[[#This Row],[strength'[1']]], 0)</f>
        <v>0</v>
      </c>
      <c r="X16">
        <f xml:space="preserve"> IF(Table13[[#This Row],[dye'[0']]]=1, Table13[[#This Row],[strength'[0']]], 0)</f>
        <v>0</v>
      </c>
      <c r="Y16">
        <f xml:space="preserve"> IF(Table13[[#This Row],[dye'[2']]]=0, Table13[[#This Row],[strength'[2']]], 0)</f>
        <v>0</v>
      </c>
      <c r="Z16">
        <f xml:space="preserve"> IF(Table13[[#This Row],[dye'[1']]]=0, Table13[[#This Row],[strength'[1']]], 0)</f>
        <v>0</v>
      </c>
      <c r="AA16">
        <f xml:space="preserve"> IF(Table13[[#This Row],[dye'[0']]]=0, Table13[[#This Row],[strength'[0']]], 0)</f>
        <v>0</v>
      </c>
      <c r="AB16">
        <v>0</v>
      </c>
      <c r="AC16">
        <f>MAX($D$2, Table13[[#This Row],[t1'[0']]])</f>
        <v>0</v>
      </c>
      <c r="AD16">
        <v>0</v>
      </c>
      <c r="AE16">
        <f>Table13[[#This Row],[t1'[0']]]+Table13[[#This Row],[dt'[0']]]</f>
        <v>0</v>
      </c>
      <c r="AF16">
        <f>MIN($C$2, Table13[[#This Row],[tf'[0']]])</f>
        <v>0</v>
      </c>
      <c r="AG16">
        <f>Table13[[#This Row],[time2'[0']]]-Table13[[#This Row],[time1'[0']]]</f>
        <v>0</v>
      </c>
      <c r="AH16">
        <v>0</v>
      </c>
      <c r="AI16">
        <f xml:space="preserve"> INDEX(Table3[[#All],[Intensity]], Table13[[#This Row],[int'[0']]]+2)</f>
        <v>0</v>
      </c>
      <c r="AJ16">
        <f>Table13[[#This Row],[duration'[0']]]*Table13[[#This Row],[intensity'[0']]]</f>
        <v>0</v>
      </c>
      <c r="AK16">
        <f>MOD(Table13[[#This Row],[ZMW num]], 4)</f>
        <v>3</v>
      </c>
      <c r="AL16">
        <v>0</v>
      </c>
      <c r="AM16">
        <f>MAX($D$2, Table13[[#This Row],[t1'[1']]])</f>
        <v>0</v>
      </c>
      <c r="AN16">
        <v>0</v>
      </c>
      <c r="AO16">
        <f>Table13[[#This Row],[t1'[1']]]+Table13[[#This Row],[dt'[1']]]</f>
        <v>0</v>
      </c>
      <c r="AP16">
        <f>MIN($C$2, Table13[[#This Row],[tf'[1']]])</f>
        <v>0</v>
      </c>
      <c r="AQ16">
        <f>Table13[[#This Row],[time2'[1']]]-Table13[[#This Row],[time1'[1']]]</f>
        <v>0</v>
      </c>
      <c r="AR16">
        <v>0</v>
      </c>
      <c r="AS16">
        <f xml:space="preserve"> INDEX(Table3[[#All],[Intensity]], Table13[[#This Row],[int'[1']]]+2)</f>
        <v>0</v>
      </c>
      <c r="AT16">
        <f>Table13[[#This Row],[duration'[1']]]*Table13[[#This Row],[intensity'[1']]]</f>
        <v>0</v>
      </c>
      <c r="AU16">
        <f>MOD(Table13[[#This Row],[ZMW num]]+1, 4)</f>
        <v>0</v>
      </c>
      <c r="AV16">
        <v>0</v>
      </c>
      <c r="AW16">
        <f>MAX($D$2, Table13[[#This Row],[t1'[2']]])</f>
        <v>0</v>
      </c>
      <c r="AX16">
        <v>0</v>
      </c>
      <c r="AY16">
        <f>Table13[[#This Row],[t1'[2']]]+Table13[[#This Row],[dt'[2']]]</f>
        <v>0</v>
      </c>
      <c r="AZ16">
        <f>MIN($C$2, Table13[[#This Row],[tf'[2']]])</f>
        <v>0</v>
      </c>
      <c r="BA16">
        <f>Table13[[#This Row],[time2'[2']]]-Table13[[#This Row],[time1'[2']]]</f>
        <v>0</v>
      </c>
      <c r="BB16">
        <v>0</v>
      </c>
      <c r="BC16">
        <f xml:space="preserve"> INDEX(Table3[[#All],[Intensity]], Table13[[#This Row],[int'[2']]]+2)</f>
        <v>0</v>
      </c>
      <c r="BD16">
        <f>Table13[[#This Row],[duration'[2']]]*Table13[[#This Row],[intensity'[2']]]</f>
        <v>0</v>
      </c>
      <c r="BE16">
        <f>MOD(Table13[[#This Row],[ZMW num]]+2, 4)</f>
        <v>1</v>
      </c>
      <c r="BF16" s="2" t="str">
        <f>Single2String(Table13[[#This Row],[t1'[0']]])</f>
        <v>00000000</v>
      </c>
      <c r="BG16" s="1" t="str">
        <f>Single2String(Table13[[#This Row],[dt'[0']]])</f>
        <v>00000000</v>
      </c>
      <c r="BH16" s="1" t="str">
        <f>Single2String(Table13[[#This Row],[t1'[1']]])</f>
        <v>00000000</v>
      </c>
      <c r="BI16" s="1" t="str">
        <f>Single2String(Table13[[#This Row],[dt'[1']]])</f>
        <v>00000000</v>
      </c>
      <c r="BJ16" s="1" t="str">
        <f>Single2String(Table13[[#This Row],[t1'[2']]])</f>
        <v>00000000</v>
      </c>
      <c r="BK16" s="1" t="str">
        <f>Single2String(Table13[[#This Row],[dt'[2']]])</f>
        <v>00000000</v>
      </c>
      <c r="BL16" s="1" t="str">
        <f>DEC2HEX(Table13[[#This Row],[ZMW num]], 6)</f>
        <v>00000B</v>
      </c>
      <c r="BM16" s="1">
        <f>LEN(Table13[[#This Row],[DRAM data]])</f>
        <v>64</v>
      </c>
      <c r="BN1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0000000000000000000000000000000000000000000000003000100000000B00</v>
      </c>
      <c r="CU16"/>
    </row>
    <row r="17" spans="1:99" x14ac:dyDescent="0.25">
      <c r="A17" t="str">
        <f>Single2String(Table13[[#This Row],[duration'[0']]])</f>
        <v>00000000</v>
      </c>
      <c r="B17" t="str">
        <f>Single2String(Table13[[#This Row],[duration'[1']]])</f>
        <v>00000000</v>
      </c>
      <c r="C17" t="str">
        <f>Single2String(Table13[[#This Row],[duration'[2']]])</f>
        <v>00000000</v>
      </c>
      <c r="D17" t="str">
        <f>INDEX(Table3[Hex], Table13[[#This Row],[int'[0']]]+1)</f>
        <v>00000000</v>
      </c>
      <c r="E17" t="str">
        <f>INDEX(Table3[Hex], Table13[[#This Row],[int'[1']]]+1)</f>
        <v>00000000</v>
      </c>
      <c r="F17" t="str">
        <f>INDEX(Table3[Hex], Table13[[#This Row],[int'[1']]]+1)</f>
        <v>00000000</v>
      </c>
      <c r="G17" t="str">
        <f>Single2String(Table13[[#This Row],[c ktrace]])</f>
        <v>00000000</v>
      </c>
      <c r="H17" t="str">
        <f>Single2String(Table13[[#This Row],[a ktrace]])</f>
        <v>00000000</v>
      </c>
      <c r="I17" t="str">
        <f>Single2String(Table13[[#This Row],[g ktrace]])</f>
        <v>00000000</v>
      </c>
      <c r="J17" t="str">
        <f>Single2String(Table13[[#This Row],[t ktrace]])</f>
        <v>00000000</v>
      </c>
      <c r="K17" s="3">
        <v>12</v>
      </c>
      <c r="L17">
        <f>SUM(Table13[[#This Row],[c ktrace'[2']]:[c ktrace'[0']]])</f>
        <v>0</v>
      </c>
      <c r="M17">
        <f>SUM(Table13[[#This Row],[a ktrace'[2']]:[a ktrace'[0']]])</f>
        <v>0</v>
      </c>
      <c r="N17">
        <f>SUM(Table13[[#This Row],[g ktrace'[2']]:[g ktrace'[0']]])</f>
        <v>0</v>
      </c>
      <c r="O17">
        <f>SUM(Table13[[#This Row],[t ktrace'[2']]:[t ktrace'[0']]])</f>
        <v>0</v>
      </c>
      <c r="P17">
        <f xml:space="preserve"> IF(Table13[[#This Row],[dye'[2']]]=3, Table13[[#This Row],[strength'[2']]], 0)</f>
        <v>0</v>
      </c>
      <c r="Q17">
        <f xml:space="preserve"> IF(Table13[[#This Row],[dye'[1']]]=3, Table13[[#This Row],[strength'[1']]], 0)</f>
        <v>0</v>
      </c>
      <c r="R17">
        <f xml:space="preserve"> IF(Table13[[#This Row],[dye'[0']]]=3, Table13[[#This Row],[strength'[0']]], 0)</f>
        <v>0</v>
      </c>
      <c r="S17">
        <f xml:space="preserve"> IF(Table13[[#This Row],[dye'[2']]]=2, Table13[[#This Row],[strength'[2']]], 0)</f>
        <v>0</v>
      </c>
      <c r="T17">
        <f xml:space="preserve"> IF(Table13[[#This Row],[dye'[1']]]=2, Table13[[#This Row],[strength'[1']]], 0)</f>
        <v>0</v>
      </c>
      <c r="U17">
        <f xml:space="preserve"> IF(Table13[[#This Row],[dye'[0']]]=2, Table13[[#This Row],[strength'[0']]], 0)</f>
        <v>0</v>
      </c>
      <c r="V17">
        <f xml:space="preserve"> IF(Table13[[#This Row],[dye'[2']]]=1, Table13[[#This Row],[strength'[2']]], 0)</f>
        <v>0</v>
      </c>
      <c r="W17">
        <f xml:space="preserve"> IF(Table13[[#This Row],[dye'[1']]]=1, Table13[[#This Row],[strength'[1']]], 0)</f>
        <v>0</v>
      </c>
      <c r="X17">
        <f xml:space="preserve"> IF(Table13[[#This Row],[dye'[0']]]=1, Table13[[#This Row],[strength'[0']]], 0)</f>
        <v>0</v>
      </c>
      <c r="Y17">
        <f xml:space="preserve"> IF(Table13[[#This Row],[dye'[2']]]=0, Table13[[#This Row],[strength'[2']]], 0)</f>
        <v>0</v>
      </c>
      <c r="Z17">
        <f xml:space="preserve"> IF(Table13[[#This Row],[dye'[1']]]=0, Table13[[#This Row],[strength'[1']]], 0)</f>
        <v>0</v>
      </c>
      <c r="AA17">
        <f xml:space="preserve"> IF(Table13[[#This Row],[dye'[0']]]=0, Table13[[#This Row],[strength'[0']]], 0)</f>
        <v>0</v>
      </c>
      <c r="AB17">
        <v>0</v>
      </c>
      <c r="AC17">
        <f>MAX($D$2, Table13[[#This Row],[t1'[0']]])</f>
        <v>0</v>
      </c>
      <c r="AD17">
        <v>0</v>
      </c>
      <c r="AE17">
        <f>Table13[[#This Row],[t1'[0']]]+Table13[[#This Row],[dt'[0']]]</f>
        <v>0</v>
      </c>
      <c r="AF17">
        <f>MIN($C$2, Table13[[#This Row],[tf'[0']]])</f>
        <v>0</v>
      </c>
      <c r="AG17">
        <f>Table13[[#This Row],[time2'[0']]]-Table13[[#This Row],[time1'[0']]]</f>
        <v>0</v>
      </c>
      <c r="AH17">
        <v>0</v>
      </c>
      <c r="AI17">
        <f xml:space="preserve"> INDEX(Table3[[#All],[Intensity]], Table13[[#This Row],[int'[0']]]+2)</f>
        <v>0</v>
      </c>
      <c r="AJ17">
        <f>Table13[[#This Row],[duration'[0']]]*Table13[[#This Row],[intensity'[0']]]</f>
        <v>0</v>
      </c>
      <c r="AK17">
        <f>MOD(Table13[[#This Row],[ZMW num]], 4)</f>
        <v>0</v>
      </c>
      <c r="AL17">
        <v>0</v>
      </c>
      <c r="AM17">
        <f>MAX($D$2, Table13[[#This Row],[t1'[1']]])</f>
        <v>0</v>
      </c>
      <c r="AN17">
        <v>0</v>
      </c>
      <c r="AO17">
        <f>Table13[[#This Row],[t1'[1']]]+Table13[[#This Row],[dt'[1']]]</f>
        <v>0</v>
      </c>
      <c r="AP17">
        <f>MIN($C$2, Table13[[#This Row],[tf'[1']]])</f>
        <v>0</v>
      </c>
      <c r="AQ17">
        <f>Table13[[#This Row],[time2'[1']]]-Table13[[#This Row],[time1'[1']]]</f>
        <v>0</v>
      </c>
      <c r="AR17">
        <v>0</v>
      </c>
      <c r="AS17">
        <f xml:space="preserve"> INDEX(Table3[[#All],[Intensity]], Table13[[#This Row],[int'[1']]]+2)</f>
        <v>0</v>
      </c>
      <c r="AT17">
        <f>Table13[[#This Row],[duration'[1']]]*Table13[[#This Row],[intensity'[1']]]</f>
        <v>0</v>
      </c>
      <c r="AU17">
        <f>MOD(Table13[[#This Row],[ZMW num]]+1, 4)</f>
        <v>1</v>
      </c>
      <c r="AV17">
        <v>0</v>
      </c>
      <c r="AW17">
        <f>MAX($D$2, Table13[[#This Row],[t1'[2']]])</f>
        <v>0</v>
      </c>
      <c r="AX17">
        <v>0</v>
      </c>
      <c r="AY17">
        <f>Table13[[#This Row],[t1'[2']]]+Table13[[#This Row],[dt'[2']]]</f>
        <v>0</v>
      </c>
      <c r="AZ17">
        <f>MIN($C$2, Table13[[#This Row],[tf'[2']]])</f>
        <v>0</v>
      </c>
      <c r="BA17">
        <f>Table13[[#This Row],[time2'[2']]]-Table13[[#This Row],[time1'[2']]]</f>
        <v>0</v>
      </c>
      <c r="BB17">
        <v>0</v>
      </c>
      <c r="BC17">
        <f xml:space="preserve"> INDEX(Table3[[#All],[Intensity]], Table13[[#This Row],[int'[2']]]+2)</f>
        <v>0</v>
      </c>
      <c r="BD17">
        <f>Table13[[#This Row],[duration'[2']]]*Table13[[#This Row],[intensity'[2']]]</f>
        <v>0</v>
      </c>
      <c r="BE17">
        <f>MOD(Table13[[#This Row],[ZMW num]]+2, 4)</f>
        <v>2</v>
      </c>
      <c r="BF17" s="2" t="str">
        <f>Single2String(Table13[[#This Row],[t1'[0']]])</f>
        <v>00000000</v>
      </c>
      <c r="BG17" s="1" t="str">
        <f>Single2String(Table13[[#This Row],[dt'[0']]])</f>
        <v>00000000</v>
      </c>
      <c r="BH17" s="1" t="str">
        <f>Single2String(Table13[[#This Row],[t1'[1']]])</f>
        <v>00000000</v>
      </c>
      <c r="BI17" s="1" t="str">
        <f>Single2String(Table13[[#This Row],[dt'[1']]])</f>
        <v>00000000</v>
      </c>
      <c r="BJ17" s="1" t="str">
        <f>Single2String(Table13[[#This Row],[t1'[2']]])</f>
        <v>00000000</v>
      </c>
      <c r="BK17" s="1" t="str">
        <f>Single2String(Table13[[#This Row],[dt'[2']]])</f>
        <v>00000000</v>
      </c>
      <c r="BL17" s="1" t="str">
        <f>DEC2HEX(Table13[[#This Row],[ZMW num]], 6)</f>
        <v>00000C</v>
      </c>
      <c r="BM17" s="1">
        <f>LEN(Table13[[#This Row],[DRAM data]])</f>
        <v>64</v>
      </c>
      <c r="BN1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0000000000000000000000000000000000000000000000000010200000000C00</v>
      </c>
      <c r="CU17"/>
    </row>
    <row r="18" spans="1:99" x14ac:dyDescent="0.25">
      <c r="A18" t="str">
        <f>Single2String(Table13[[#This Row],[duration'[0']]])</f>
        <v>00000000</v>
      </c>
      <c r="B18" t="str">
        <f>Single2String(Table13[[#This Row],[duration'[1']]])</f>
        <v>00000000</v>
      </c>
      <c r="C18" t="str">
        <f>Single2String(Table13[[#This Row],[duration'[2']]])</f>
        <v>00000000</v>
      </c>
      <c r="D18" t="str">
        <f>INDEX(Table3[Hex], Table13[[#This Row],[int'[0']]]+1)</f>
        <v>00000000</v>
      </c>
      <c r="E18" t="str">
        <f>INDEX(Table3[Hex], Table13[[#This Row],[int'[1']]]+1)</f>
        <v>00000000</v>
      </c>
      <c r="F18" t="str">
        <f>INDEX(Table3[Hex], Table13[[#This Row],[int'[1']]]+1)</f>
        <v>00000000</v>
      </c>
      <c r="G18" t="str">
        <f>Single2String(Table13[[#This Row],[c ktrace]])</f>
        <v>00000000</v>
      </c>
      <c r="H18" t="str">
        <f>Single2String(Table13[[#This Row],[a ktrace]])</f>
        <v>00000000</v>
      </c>
      <c r="I18" t="str">
        <f>Single2String(Table13[[#This Row],[g ktrace]])</f>
        <v>00000000</v>
      </c>
      <c r="J18" t="str">
        <f>Single2String(Table13[[#This Row],[t ktrace]])</f>
        <v>00000000</v>
      </c>
      <c r="K18" s="3">
        <v>13</v>
      </c>
      <c r="L18">
        <f>SUM(Table13[[#This Row],[c ktrace'[2']]:[c ktrace'[0']]])</f>
        <v>0</v>
      </c>
      <c r="M18">
        <f>SUM(Table13[[#This Row],[a ktrace'[2']]:[a ktrace'[0']]])</f>
        <v>0</v>
      </c>
      <c r="N18">
        <f>SUM(Table13[[#This Row],[g ktrace'[2']]:[g ktrace'[0']]])</f>
        <v>0</v>
      </c>
      <c r="O18">
        <f>SUM(Table13[[#This Row],[t ktrace'[2']]:[t ktrace'[0']]])</f>
        <v>0</v>
      </c>
      <c r="P18">
        <f xml:space="preserve"> IF(Table13[[#This Row],[dye'[2']]]=3, Table13[[#This Row],[strength'[2']]], 0)</f>
        <v>0</v>
      </c>
      <c r="Q18">
        <f xml:space="preserve"> IF(Table13[[#This Row],[dye'[1']]]=3, Table13[[#This Row],[strength'[1']]], 0)</f>
        <v>0</v>
      </c>
      <c r="R18">
        <f xml:space="preserve"> IF(Table13[[#This Row],[dye'[0']]]=3, Table13[[#This Row],[strength'[0']]], 0)</f>
        <v>0</v>
      </c>
      <c r="S18">
        <f xml:space="preserve"> IF(Table13[[#This Row],[dye'[2']]]=2, Table13[[#This Row],[strength'[2']]], 0)</f>
        <v>0</v>
      </c>
      <c r="T18">
        <f xml:space="preserve"> IF(Table13[[#This Row],[dye'[1']]]=2, Table13[[#This Row],[strength'[1']]], 0)</f>
        <v>0</v>
      </c>
      <c r="U18">
        <f xml:space="preserve"> IF(Table13[[#This Row],[dye'[0']]]=2, Table13[[#This Row],[strength'[0']]], 0)</f>
        <v>0</v>
      </c>
      <c r="V18">
        <f xml:space="preserve"> IF(Table13[[#This Row],[dye'[2']]]=1, Table13[[#This Row],[strength'[2']]], 0)</f>
        <v>0</v>
      </c>
      <c r="W18">
        <f xml:space="preserve"> IF(Table13[[#This Row],[dye'[1']]]=1, Table13[[#This Row],[strength'[1']]], 0)</f>
        <v>0</v>
      </c>
      <c r="X18">
        <f xml:space="preserve"> IF(Table13[[#This Row],[dye'[0']]]=1, Table13[[#This Row],[strength'[0']]], 0)</f>
        <v>0</v>
      </c>
      <c r="Y18">
        <f xml:space="preserve"> IF(Table13[[#This Row],[dye'[2']]]=0, Table13[[#This Row],[strength'[2']]], 0)</f>
        <v>0</v>
      </c>
      <c r="Z18">
        <f xml:space="preserve"> IF(Table13[[#This Row],[dye'[1']]]=0, Table13[[#This Row],[strength'[1']]], 0)</f>
        <v>0</v>
      </c>
      <c r="AA18">
        <f xml:space="preserve"> IF(Table13[[#This Row],[dye'[0']]]=0, Table13[[#This Row],[strength'[0']]], 0)</f>
        <v>0</v>
      </c>
      <c r="AB18">
        <v>0</v>
      </c>
      <c r="AC18">
        <f>MAX($D$2, Table13[[#This Row],[t1'[0']]])</f>
        <v>0</v>
      </c>
      <c r="AD18">
        <v>0</v>
      </c>
      <c r="AE18">
        <f>Table13[[#This Row],[t1'[0']]]+Table13[[#This Row],[dt'[0']]]</f>
        <v>0</v>
      </c>
      <c r="AF18">
        <f>MIN($C$2, Table13[[#This Row],[tf'[0']]])</f>
        <v>0</v>
      </c>
      <c r="AG18">
        <f>Table13[[#This Row],[time2'[0']]]-Table13[[#This Row],[time1'[0']]]</f>
        <v>0</v>
      </c>
      <c r="AH18">
        <v>0</v>
      </c>
      <c r="AI18">
        <f xml:space="preserve"> INDEX(Table3[[#All],[Intensity]], Table13[[#This Row],[int'[0']]]+2)</f>
        <v>0</v>
      </c>
      <c r="AJ18">
        <f>Table13[[#This Row],[duration'[0']]]*Table13[[#This Row],[intensity'[0']]]</f>
        <v>0</v>
      </c>
      <c r="AK18">
        <f>MOD(Table13[[#This Row],[ZMW num]], 4)</f>
        <v>1</v>
      </c>
      <c r="AL18">
        <v>0</v>
      </c>
      <c r="AM18">
        <f>MAX($D$2, Table13[[#This Row],[t1'[1']]])</f>
        <v>0</v>
      </c>
      <c r="AN18">
        <v>0</v>
      </c>
      <c r="AO18">
        <f>Table13[[#This Row],[t1'[1']]]+Table13[[#This Row],[dt'[1']]]</f>
        <v>0</v>
      </c>
      <c r="AP18">
        <f>MIN($C$2, Table13[[#This Row],[tf'[1']]])</f>
        <v>0</v>
      </c>
      <c r="AQ18">
        <f>Table13[[#This Row],[time2'[1']]]-Table13[[#This Row],[time1'[1']]]</f>
        <v>0</v>
      </c>
      <c r="AR18">
        <v>0</v>
      </c>
      <c r="AS18">
        <f xml:space="preserve"> INDEX(Table3[[#All],[Intensity]], Table13[[#This Row],[int'[1']]]+2)</f>
        <v>0</v>
      </c>
      <c r="AT18">
        <f>Table13[[#This Row],[duration'[1']]]*Table13[[#This Row],[intensity'[1']]]</f>
        <v>0</v>
      </c>
      <c r="AU18">
        <f>MOD(Table13[[#This Row],[ZMW num]]+1, 4)</f>
        <v>2</v>
      </c>
      <c r="AV18">
        <v>0</v>
      </c>
      <c r="AW18">
        <f>MAX($D$2, Table13[[#This Row],[t1'[2']]])</f>
        <v>0</v>
      </c>
      <c r="AX18">
        <v>0</v>
      </c>
      <c r="AY18">
        <f>Table13[[#This Row],[t1'[2']]]+Table13[[#This Row],[dt'[2']]]</f>
        <v>0</v>
      </c>
      <c r="AZ18">
        <f>MIN($C$2, Table13[[#This Row],[tf'[2']]])</f>
        <v>0</v>
      </c>
      <c r="BA18">
        <f>Table13[[#This Row],[time2'[2']]]-Table13[[#This Row],[time1'[2']]]</f>
        <v>0</v>
      </c>
      <c r="BB18">
        <v>0</v>
      </c>
      <c r="BC18">
        <f xml:space="preserve"> INDEX(Table3[[#All],[Intensity]], Table13[[#This Row],[int'[2']]]+2)</f>
        <v>0</v>
      </c>
      <c r="BD18">
        <f>Table13[[#This Row],[duration'[2']]]*Table13[[#This Row],[intensity'[2']]]</f>
        <v>0</v>
      </c>
      <c r="BE18">
        <f>MOD(Table13[[#This Row],[ZMW num]]+2, 4)</f>
        <v>3</v>
      </c>
      <c r="BF18" s="2" t="str">
        <f>Single2String(Table13[[#This Row],[t1'[0']]])</f>
        <v>00000000</v>
      </c>
      <c r="BG18" s="1" t="str">
        <f>Single2String(Table13[[#This Row],[dt'[0']]])</f>
        <v>00000000</v>
      </c>
      <c r="BH18" s="1" t="str">
        <f>Single2String(Table13[[#This Row],[t1'[1']]])</f>
        <v>00000000</v>
      </c>
      <c r="BI18" s="1" t="str">
        <f>Single2String(Table13[[#This Row],[dt'[1']]])</f>
        <v>00000000</v>
      </c>
      <c r="BJ18" s="1" t="str">
        <f>Single2String(Table13[[#This Row],[t1'[2']]])</f>
        <v>00000000</v>
      </c>
      <c r="BK18" s="1" t="str">
        <f>Single2String(Table13[[#This Row],[dt'[2']]])</f>
        <v>00000000</v>
      </c>
      <c r="BL18" s="1" t="str">
        <f>DEC2HEX(Table13[[#This Row],[ZMW num]], 6)</f>
        <v>00000D</v>
      </c>
      <c r="BM18" s="1">
        <f>LEN(Table13[[#This Row],[DRAM data]])</f>
        <v>64</v>
      </c>
      <c r="BN1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0000000000000000000000000000000000000000000000001020300000000D00</v>
      </c>
      <c r="CU18"/>
    </row>
    <row r="19" spans="1:99" x14ac:dyDescent="0.25">
      <c r="A19" t="str">
        <f>Single2String(Table13[[#This Row],[duration'[0']]])</f>
        <v>00000000</v>
      </c>
      <c r="B19" t="str">
        <f>Single2String(Table13[[#This Row],[duration'[1']]])</f>
        <v>00000000</v>
      </c>
      <c r="C19" t="str">
        <f>Single2String(Table13[[#This Row],[duration'[2']]])</f>
        <v>00000000</v>
      </c>
      <c r="D19" t="str">
        <f>INDEX(Table3[Hex], Table13[[#This Row],[int'[0']]]+1)</f>
        <v>00000000</v>
      </c>
      <c r="E19" t="str">
        <f>INDEX(Table3[Hex], Table13[[#This Row],[int'[1']]]+1)</f>
        <v>00000000</v>
      </c>
      <c r="F19" t="str">
        <f>INDEX(Table3[Hex], Table13[[#This Row],[int'[1']]]+1)</f>
        <v>00000000</v>
      </c>
      <c r="G19" t="str">
        <f>Single2String(Table13[[#This Row],[c ktrace]])</f>
        <v>00000000</v>
      </c>
      <c r="H19" t="str">
        <f>Single2String(Table13[[#This Row],[a ktrace]])</f>
        <v>00000000</v>
      </c>
      <c r="I19" t="str">
        <f>Single2String(Table13[[#This Row],[g ktrace]])</f>
        <v>00000000</v>
      </c>
      <c r="J19" t="str">
        <f>Single2String(Table13[[#This Row],[t ktrace]])</f>
        <v>00000000</v>
      </c>
      <c r="K19" s="3">
        <v>14</v>
      </c>
      <c r="L19">
        <f>SUM(Table13[[#This Row],[c ktrace'[2']]:[c ktrace'[0']]])</f>
        <v>0</v>
      </c>
      <c r="M19">
        <f>SUM(Table13[[#This Row],[a ktrace'[2']]:[a ktrace'[0']]])</f>
        <v>0</v>
      </c>
      <c r="N19">
        <f>SUM(Table13[[#This Row],[g ktrace'[2']]:[g ktrace'[0']]])</f>
        <v>0</v>
      </c>
      <c r="O19">
        <f>SUM(Table13[[#This Row],[t ktrace'[2']]:[t ktrace'[0']]])</f>
        <v>0</v>
      </c>
      <c r="P19">
        <f xml:space="preserve"> IF(Table13[[#This Row],[dye'[2']]]=3, Table13[[#This Row],[strength'[2']]], 0)</f>
        <v>0</v>
      </c>
      <c r="Q19">
        <f xml:space="preserve"> IF(Table13[[#This Row],[dye'[1']]]=3, Table13[[#This Row],[strength'[1']]], 0)</f>
        <v>0</v>
      </c>
      <c r="R19">
        <f xml:space="preserve"> IF(Table13[[#This Row],[dye'[0']]]=3, Table13[[#This Row],[strength'[0']]], 0)</f>
        <v>0</v>
      </c>
      <c r="S19">
        <f xml:space="preserve"> IF(Table13[[#This Row],[dye'[2']]]=2, Table13[[#This Row],[strength'[2']]], 0)</f>
        <v>0</v>
      </c>
      <c r="T19">
        <f xml:space="preserve"> IF(Table13[[#This Row],[dye'[1']]]=2, Table13[[#This Row],[strength'[1']]], 0)</f>
        <v>0</v>
      </c>
      <c r="U19">
        <f xml:space="preserve"> IF(Table13[[#This Row],[dye'[0']]]=2, Table13[[#This Row],[strength'[0']]], 0)</f>
        <v>0</v>
      </c>
      <c r="V19">
        <f xml:space="preserve"> IF(Table13[[#This Row],[dye'[2']]]=1, Table13[[#This Row],[strength'[2']]], 0)</f>
        <v>0</v>
      </c>
      <c r="W19">
        <f xml:space="preserve"> IF(Table13[[#This Row],[dye'[1']]]=1, Table13[[#This Row],[strength'[1']]], 0)</f>
        <v>0</v>
      </c>
      <c r="X19">
        <f xml:space="preserve"> IF(Table13[[#This Row],[dye'[0']]]=1, Table13[[#This Row],[strength'[0']]], 0)</f>
        <v>0</v>
      </c>
      <c r="Y19">
        <f xml:space="preserve"> IF(Table13[[#This Row],[dye'[2']]]=0, Table13[[#This Row],[strength'[2']]], 0)</f>
        <v>0</v>
      </c>
      <c r="Z19">
        <f xml:space="preserve"> IF(Table13[[#This Row],[dye'[1']]]=0, Table13[[#This Row],[strength'[1']]], 0)</f>
        <v>0</v>
      </c>
      <c r="AA19">
        <f xml:space="preserve"> IF(Table13[[#This Row],[dye'[0']]]=0, Table13[[#This Row],[strength'[0']]], 0)</f>
        <v>0</v>
      </c>
      <c r="AB19">
        <v>0</v>
      </c>
      <c r="AC19">
        <f>MAX($D$2, Table13[[#This Row],[t1'[0']]])</f>
        <v>0</v>
      </c>
      <c r="AD19">
        <v>0</v>
      </c>
      <c r="AE19">
        <f>Table13[[#This Row],[t1'[0']]]+Table13[[#This Row],[dt'[0']]]</f>
        <v>0</v>
      </c>
      <c r="AF19">
        <f>MIN($C$2, Table13[[#This Row],[tf'[0']]])</f>
        <v>0</v>
      </c>
      <c r="AG19">
        <f>Table13[[#This Row],[time2'[0']]]-Table13[[#This Row],[time1'[0']]]</f>
        <v>0</v>
      </c>
      <c r="AH19">
        <v>0</v>
      </c>
      <c r="AI19">
        <f xml:space="preserve"> INDEX(Table3[[#All],[Intensity]], Table13[[#This Row],[int'[0']]]+2)</f>
        <v>0</v>
      </c>
      <c r="AJ19">
        <f>Table13[[#This Row],[duration'[0']]]*Table13[[#This Row],[intensity'[0']]]</f>
        <v>0</v>
      </c>
      <c r="AK19">
        <f>MOD(Table13[[#This Row],[ZMW num]], 4)</f>
        <v>2</v>
      </c>
      <c r="AL19">
        <v>0</v>
      </c>
      <c r="AM19">
        <f>MAX($D$2, Table13[[#This Row],[t1'[1']]])</f>
        <v>0</v>
      </c>
      <c r="AN19">
        <v>0</v>
      </c>
      <c r="AO19">
        <f>Table13[[#This Row],[t1'[1']]]+Table13[[#This Row],[dt'[1']]]</f>
        <v>0</v>
      </c>
      <c r="AP19">
        <f>MIN($C$2, Table13[[#This Row],[tf'[1']]])</f>
        <v>0</v>
      </c>
      <c r="AQ19">
        <f>Table13[[#This Row],[time2'[1']]]-Table13[[#This Row],[time1'[1']]]</f>
        <v>0</v>
      </c>
      <c r="AR19">
        <v>0</v>
      </c>
      <c r="AS19">
        <f xml:space="preserve"> INDEX(Table3[[#All],[Intensity]], Table13[[#This Row],[int'[1']]]+2)</f>
        <v>0</v>
      </c>
      <c r="AT19">
        <f>Table13[[#This Row],[duration'[1']]]*Table13[[#This Row],[intensity'[1']]]</f>
        <v>0</v>
      </c>
      <c r="AU19">
        <f>MOD(Table13[[#This Row],[ZMW num]]+1, 4)</f>
        <v>3</v>
      </c>
      <c r="AV19">
        <v>0</v>
      </c>
      <c r="AW19">
        <f>MAX($D$2, Table13[[#This Row],[t1'[2']]])</f>
        <v>0</v>
      </c>
      <c r="AX19">
        <v>0</v>
      </c>
      <c r="AY19">
        <f>Table13[[#This Row],[t1'[2']]]+Table13[[#This Row],[dt'[2']]]</f>
        <v>0</v>
      </c>
      <c r="AZ19">
        <f>MIN($C$2, Table13[[#This Row],[tf'[2']]])</f>
        <v>0</v>
      </c>
      <c r="BA19">
        <f>Table13[[#This Row],[time2'[2']]]-Table13[[#This Row],[time1'[2']]]</f>
        <v>0</v>
      </c>
      <c r="BB19">
        <v>0</v>
      </c>
      <c r="BC19">
        <f xml:space="preserve"> INDEX(Table3[[#All],[Intensity]], Table13[[#This Row],[int'[2']]]+2)</f>
        <v>0</v>
      </c>
      <c r="BD19">
        <f>Table13[[#This Row],[duration'[2']]]*Table13[[#This Row],[intensity'[2']]]</f>
        <v>0</v>
      </c>
      <c r="BE19">
        <f>MOD(Table13[[#This Row],[ZMW num]]+2, 4)</f>
        <v>0</v>
      </c>
      <c r="BF19" s="2" t="str">
        <f>Single2String(Table13[[#This Row],[t1'[0']]])</f>
        <v>00000000</v>
      </c>
      <c r="BG19" s="1" t="str">
        <f>Single2String(Table13[[#This Row],[dt'[0']]])</f>
        <v>00000000</v>
      </c>
      <c r="BH19" s="1" t="str">
        <f>Single2String(Table13[[#This Row],[t1'[1']]])</f>
        <v>00000000</v>
      </c>
      <c r="BI19" s="1" t="str">
        <f>Single2String(Table13[[#This Row],[dt'[1']]])</f>
        <v>00000000</v>
      </c>
      <c r="BJ19" s="1" t="str">
        <f>Single2String(Table13[[#This Row],[t1'[2']]])</f>
        <v>00000000</v>
      </c>
      <c r="BK19" s="1" t="str">
        <f>Single2String(Table13[[#This Row],[dt'[2']]])</f>
        <v>00000000</v>
      </c>
      <c r="BL19" s="1" t="str">
        <f>DEC2HEX(Table13[[#This Row],[ZMW num]], 6)</f>
        <v>00000E</v>
      </c>
      <c r="BM19" s="1">
        <f>LEN(Table13[[#This Row],[DRAM data]])</f>
        <v>64</v>
      </c>
      <c r="BN1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0000000000000000000000000000000000000000000000002030000000000E00</v>
      </c>
      <c r="CU19"/>
    </row>
    <row r="20" spans="1:99" x14ac:dyDescent="0.25">
      <c r="A20" t="str">
        <f>Single2String(Table13[[#This Row],[duration'[0']]])</f>
        <v>00000000</v>
      </c>
      <c r="B20" t="str">
        <f>Single2String(Table13[[#This Row],[duration'[1']]])</f>
        <v>00000000</v>
      </c>
      <c r="C20" t="str">
        <f>Single2String(Table13[[#This Row],[duration'[2']]])</f>
        <v>00000000</v>
      </c>
      <c r="D20" t="str">
        <f>INDEX(Table3[Hex], Table13[[#This Row],[int'[0']]]+1)</f>
        <v>00000000</v>
      </c>
      <c r="E20" t="str">
        <f>INDEX(Table3[Hex], Table13[[#This Row],[int'[1']]]+1)</f>
        <v>00000000</v>
      </c>
      <c r="F20" t="str">
        <f>INDEX(Table3[Hex], Table13[[#This Row],[int'[1']]]+1)</f>
        <v>00000000</v>
      </c>
      <c r="G20" t="str">
        <f>Single2String(Table13[[#This Row],[c ktrace]])</f>
        <v>00000000</v>
      </c>
      <c r="H20" t="str">
        <f>Single2String(Table13[[#This Row],[a ktrace]])</f>
        <v>00000000</v>
      </c>
      <c r="I20" t="str">
        <f>Single2String(Table13[[#This Row],[g ktrace]])</f>
        <v>00000000</v>
      </c>
      <c r="J20" t="str">
        <f>Single2String(Table13[[#This Row],[t ktrace]])</f>
        <v>00000000</v>
      </c>
      <c r="K20" s="3">
        <v>15</v>
      </c>
      <c r="L20">
        <f>SUM(Table13[[#This Row],[c ktrace'[2']]:[c ktrace'[0']]])</f>
        <v>0</v>
      </c>
      <c r="M20">
        <f>SUM(Table13[[#This Row],[a ktrace'[2']]:[a ktrace'[0']]])</f>
        <v>0</v>
      </c>
      <c r="N20">
        <f>SUM(Table13[[#This Row],[g ktrace'[2']]:[g ktrace'[0']]])</f>
        <v>0</v>
      </c>
      <c r="O20">
        <f>SUM(Table13[[#This Row],[t ktrace'[2']]:[t ktrace'[0']]])</f>
        <v>0</v>
      </c>
      <c r="P20">
        <f xml:space="preserve"> IF(Table13[[#This Row],[dye'[2']]]=3, Table13[[#This Row],[strength'[2']]], 0)</f>
        <v>0</v>
      </c>
      <c r="Q20">
        <f xml:space="preserve"> IF(Table13[[#This Row],[dye'[1']]]=3, Table13[[#This Row],[strength'[1']]], 0)</f>
        <v>0</v>
      </c>
      <c r="R20">
        <f xml:space="preserve"> IF(Table13[[#This Row],[dye'[0']]]=3, Table13[[#This Row],[strength'[0']]], 0)</f>
        <v>0</v>
      </c>
      <c r="S20">
        <f xml:space="preserve"> IF(Table13[[#This Row],[dye'[2']]]=2, Table13[[#This Row],[strength'[2']]], 0)</f>
        <v>0</v>
      </c>
      <c r="T20">
        <f xml:space="preserve"> IF(Table13[[#This Row],[dye'[1']]]=2, Table13[[#This Row],[strength'[1']]], 0)</f>
        <v>0</v>
      </c>
      <c r="U20">
        <f xml:space="preserve"> IF(Table13[[#This Row],[dye'[0']]]=2, Table13[[#This Row],[strength'[0']]], 0)</f>
        <v>0</v>
      </c>
      <c r="V20">
        <f xml:space="preserve"> IF(Table13[[#This Row],[dye'[2']]]=1, Table13[[#This Row],[strength'[2']]], 0)</f>
        <v>0</v>
      </c>
      <c r="W20">
        <f xml:space="preserve"> IF(Table13[[#This Row],[dye'[1']]]=1, Table13[[#This Row],[strength'[1']]], 0)</f>
        <v>0</v>
      </c>
      <c r="X20">
        <f xml:space="preserve"> IF(Table13[[#This Row],[dye'[0']]]=1, Table13[[#This Row],[strength'[0']]], 0)</f>
        <v>0</v>
      </c>
      <c r="Y20">
        <f xml:space="preserve"> IF(Table13[[#This Row],[dye'[2']]]=0, Table13[[#This Row],[strength'[2']]], 0)</f>
        <v>0</v>
      </c>
      <c r="Z20">
        <f xml:space="preserve"> IF(Table13[[#This Row],[dye'[1']]]=0, Table13[[#This Row],[strength'[1']]], 0)</f>
        <v>0</v>
      </c>
      <c r="AA20">
        <f xml:space="preserve"> IF(Table13[[#This Row],[dye'[0']]]=0, Table13[[#This Row],[strength'[0']]], 0)</f>
        <v>0</v>
      </c>
      <c r="AB20">
        <v>0</v>
      </c>
      <c r="AC20">
        <f>MAX($D$2, Table13[[#This Row],[t1'[0']]])</f>
        <v>0</v>
      </c>
      <c r="AD20">
        <v>0</v>
      </c>
      <c r="AE20">
        <f>Table13[[#This Row],[t1'[0']]]+Table13[[#This Row],[dt'[0']]]</f>
        <v>0</v>
      </c>
      <c r="AF20">
        <f>MIN($C$2, Table13[[#This Row],[tf'[0']]])</f>
        <v>0</v>
      </c>
      <c r="AG20">
        <f>Table13[[#This Row],[time2'[0']]]-Table13[[#This Row],[time1'[0']]]</f>
        <v>0</v>
      </c>
      <c r="AH20">
        <v>0</v>
      </c>
      <c r="AI20">
        <f xml:space="preserve"> INDEX(Table3[[#All],[Intensity]], Table13[[#This Row],[int'[0']]]+2)</f>
        <v>0</v>
      </c>
      <c r="AJ20">
        <f>Table13[[#This Row],[duration'[0']]]*Table13[[#This Row],[intensity'[0']]]</f>
        <v>0</v>
      </c>
      <c r="AK20">
        <f>MOD(Table13[[#This Row],[ZMW num]], 4)</f>
        <v>3</v>
      </c>
      <c r="AL20">
        <v>0</v>
      </c>
      <c r="AM20">
        <f>MAX($D$2, Table13[[#This Row],[t1'[1']]])</f>
        <v>0</v>
      </c>
      <c r="AN20">
        <v>0</v>
      </c>
      <c r="AO20">
        <f>Table13[[#This Row],[t1'[1']]]+Table13[[#This Row],[dt'[1']]]</f>
        <v>0</v>
      </c>
      <c r="AP20">
        <f>MIN($C$2, Table13[[#This Row],[tf'[1']]])</f>
        <v>0</v>
      </c>
      <c r="AQ20">
        <f>Table13[[#This Row],[time2'[1']]]-Table13[[#This Row],[time1'[1']]]</f>
        <v>0</v>
      </c>
      <c r="AR20">
        <v>0</v>
      </c>
      <c r="AS20">
        <f xml:space="preserve"> INDEX(Table3[[#All],[Intensity]], Table13[[#This Row],[int'[1']]]+2)</f>
        <v>0</v>
      </c>
      <c r="AT20">
        <f>Table13[[#This Row],[duration'[1']]]*Table13[[#This Row],[intensity'[1']]]</f>
        <v>0</v>
      </c>
      <c r="AU20">
        <f>MOD(Table13[[#This Row],[ZMW num]]+1, 4)</f>
        <v>0</v>
      </c>
      <c r="AV20">
        <v>0</v>
      </c>
      <c r="AW20">
        <f>MAX($D$2, Table13[[#This Row],[t1'[2']]])</f>
        <v>0</v>
      </c>
      <c r="AX20">
        <v>0</v>
      </c>
      <c r="AY20">
        <f>Table13[[#This Row],[t1'[2']]]+Table13[[#This Row],[dt'[2']]]</f>
        <v>0</v>
      </c>
      <c r="AZ20">
        <f>MIN($C$2, Table13[[#This Row],[tf'[2']]])</f>
        <v>0</v>
      </c>
      <c r="BA20">
        <f>Table13[[#This Row],[time2'[2']]]-Table13[[#This Row],[time1'[2']]]</f>
        <v>0</v>
      </c>
      <c r="BB20">
        <v>0</v>
      </c>
      <c r="BC20">
        <f xml:space="preserve"> INDEX(Table3[[#All],[Intensity]], Table13[[#This Row],[int'[2']]]+2)</f>
        <v>0</v>
      </c>
      <c r="BD20">
        <f>Table13[[#This Row],[duration'[2']]]*Table13[[#This Row],[intensity'[2']]]</f>
        <v>0</v>
      </c>
      <c r="BE20">
        <f>MOD(Table13[[#This Row],[ZMW num]]+2, 4)</f>
        <v>1</v>
      </c>
      <c r="BF20" s="2" t="str">
        <f>Single2String(Table13[[#This Row],[t1'[0']]])</f>
        <v>00000000</v>
      </c>
      <c r="BG20" s="1" t="str">
        <f>Single2String(Table13[[#This Row],[dt'[0']]])</f>
        <v>00000000</v>
      </c>
      <c r="BH20" s="1" t="str">
        <f>Single2String(Table13[[#This Row],[t1'[1']]])</f>
        <v>00000000</v>
      </c>
      <c r="BI20" s="1" t="str">
        <f>Single2String(Table13[[#This Row],[dt'[1']]])</f>
        <v>00000000</v>
      </c>
      <c r="BJ20" s="1" t="str">
        <f>Single2String(Table13[[#This Row],[t1'[2']]])</f>
        <v>00000000</v>
      </c>
      <c r="BK20" s="1" t="str">
        <f>Single2String(Table13[[#This Row],[dt'[2']]])</f>
        <v>00000000</v>
      </c>
      <c r="BL20" s="1" t="str">
        <f>DEC2HEX(Table13[[#This Row],[ZMW num]], 6)</f>
        <v>00000F</v>
      </c>
      <c r="BM20" s="1">
        <f>LEN(Table13[[#This Row],[DRAM data]])</f>
        <v>64</v>
      </c>
      <c r="BN2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0000000000000000000000000000000000000000000000003000100000000F00</v>
      </c>
      <c r="CU20"/>
    </row>
    <row r="21" spans="1:99" x14ac:dyDescent="0.25">
      <c r="A21" t="str">
        <f>Single2String(Table13[[#This Row],[duration'[0']]])</f>
        <v>00000000</v>
      </c>
      <c r="B21" t="str">
        <f>Single2String(Table13[[#This Row],[duration'[1']]])</f>
        <v>00000000</v>
      </c>
      <c r="C21" t="str">
        <f>Single2String(Table13[[#This Row],[duration'[2']]])</f>
        <v>00000000</v>
      </c>
      <c r="D21" t="str">
        <f>INDEX(Table3[Hex], Table13[[#This Row],[int'[0']]]+1)</f>
        <v>00000000</v>
      </c>
      <c r="E21" t="str">
        <f>INDEX(Table3[Hex], Table13[[#This Row],[int'[1']]]+1)</f>
        <v>00000000</v>
      </c>
      <c r="F21" t="str">
        <f>INDEX(Table3[Hex], Table13[[#This Row],[int'[1']]]+1)</f>
        <v>00000000</v>
      </c>
      <c r="G21" t="str">
        <f>Single2String(Table13[[#This Row],[c ktrace]])</f>
        <v>00000000</v>
      </c>
      <c r="H21" t="str">
        <f>Single2String(Table13[[#This Row],[a ktrace]])</f>
        <v>00000000</v>
      </c>
      <c r="I21" t="str">
        <f>Single2String(Table13[[#This Row],[g ktrace]])</f>
        <v>00000000</v>
      </c>
      <c r="J21" t="str">
        <f>Single2String(Table13[[#This Row],[t ktrace]])</f>
        <v>00000000</v>
      </c>
      <c r="K21" s="3">
        <v>16</v>
      </c>
      <c r="L21">
        <f>SUM(Table13[[#This Row],[c ktrace'[2']]:[c ktrace'[0']]])</f>
        <v>0</v>
      </c>
      <c r="M21">
        <f>SUM(Table13[[#This Row],[a ktrace'[2']]:[a ktrace'[0']]])</f>
        <v>0</v>
      </c>
      <c r="N21">
        <f>SUM(Table13[[#This Row],[g ktrace'[2']]:[g ktrace'[0']]])</f>
        <v>0</v>
      </c>
      <c r="O21">
        <f>SUM(Table13[[#This Row],[t ktrace'[2']]:[t ktrace'[0']]])</f>
        <v>0</v>
      </c>
      <c r="P21">
        <f xml:space="preserve"> IF(Table13[[#This Row],[dye'[2']]]=3, Table13[[#This Row],[strength'[2']]], 0)</f>
        <v>0</v>
      </c>
      <c r="Q21">
        <f xml:space="preserve"> IF(Table13[[#This Row],[dye'[1']]]=3, Table13[[#This Row],[strength'[1']]], 0)</f>
        <v>0</v>
      </c>
      <c r="R21">
        <f xml:space="preserve"> IF(Table13[[#This Row],[dye'[0']]]=3, Table13[[#This Row],[strength'[0']]], 0)</f>
        <v>0</v>
      </c>
      <c r="S21">
        <f xml:space="preserve"> IF(Table13[[#This Row],[dye'[2']]]=2, Table13[[#This Row],[strength'[2']]], 0)</f>
        <v>0</v>
      </c>
      <c r="T21">
        <f xml:space="preserve"> IF(Table13[[#This Row],[dye'[1']]]=2, Table13[[#This Row],[strength'[1']]], 0)</f>
        <v>0</v>
      </c>
      <c r="U21">
        <f xml:space="preserve"> IF(Table13[[#This Row],[dye'[0']]]=2, Table13[[#This Row],[strength'[0']]], 0)</f>
        <v>0</v>
      </c>
      <c r="V21">
        <f xml:space="preserve"> IF(Table13[[#This Row],[dye'[2']]]=1, Table13[[#This Row],[strength'[2']]], 0)</f>
        <v>0</v>
      </c>
      <c r="W21">
        <f xml:space="preserve"> IF(Table13[[#This Row],[dye'[1']]]=1, Table13[[#This Row],[strength'[1']]], 0)</f>
        <v>0</v>
      </c>
      <c r="X21">
        <f xml:space="preserve"> IF(Table13[[#This Row],[dye'[0']]]=1, Table13[[#This Row],[strength'[0']]], 0)</f>
        <v>0</v>
      </c>
      <c r="Y21">
        <f xml:space="preserve"> IF(Table13[[#This Row],[dye'[2']]]=0, Table13[[#This Row],[strength'[2']]], 0)</f>
        <v>0</v>
      </c>
      <c r="Z21">
        <f xml:space="preserve"> IF(Table13[[#This Row],[dye'[1']]]=0, Table13[[#This Row],[strength'[1']]], 0)</f>
        <v>0</v>
      </c>
      <c r="AA21">
        <f xml:space="preserve"> IF(Table13[[#This Row],[dye'[0']]]=0, Table13[[#This Row],[strength'[0']]], 0)</f>
        <v>0</v>
      </c>
      <c r="AB21">
        <v>0</v>
      </c>
      <c r="AC21">
        <f>MAX($D$2, Table13[[#This Row],[t1'[0']]])</f>
        <v>0</v>
      </c>
      <c r="AD21">
        <v>0</v>
      </c>
      <c r="AE21">
        <f>Table13[[#This Row],[t1'[0']]]+Table13[[#This Row],[dt'[0']]]</f>
        <v>0</v>
      </c>
      <c r="AF21">
        <f>MIN($C$2, Table13[[#This Row],[tf'[0']]])</f>
        <v>0</v>
      </c>
      <c r="AG21">
        <f>Table13[[#This Row],[time2'[0']]]-Table13[[#This Row],[time1'[0']]]</f>
        <v>0</v>
      </c>
      <c r="AH21">
        <v>0</v>
      </c>
      <c r="AI21">
        <f xml:space="preserve"> INDEX(Table3[[#All],[Intensity]], Table13[[#This Row],[int'[0']]]+2)</f>
        <v>0</v>
      </c>
      <c r="AJ21">
        <f>Table13[[#This Row],[duration'[0']]]*Table13[[#This Row],[intensity'[0']]]</f>
        <v>0</v>
      </c>
      <c r="AK21">
        <f>MOD(Table13[[#This Row],[ZMW num]], 4)</f>
        <v>0</v>
      </c>
      <c r="AL21">
        <v>0</v>
      </c>
      <c r="AM21">
        <f>MAX($D$2, Table13[[#This Row],[t1'[1']]])</f>
        <v>0</v>
      </c>
      <c r="AN21">
        <v>0</v>
      </c>
      <c r="AO21">
        <f>Table13[[#This Row],[t1'[1']]]+Table13[[#This Row],[dt'[1']]]</f>
        <v>0</v>
      </c>
      <c r="AP21">
        <f>MIN($C$2, Table13[[#This Row],[tf'[1']]])</f>
        <v>0</v>
      </c>
      <c r="AQ21">
        <f>Table13[[#This Row],[time2'[1']]]-Table13[[#This Row],[time1'[1']]]</f>
        <v>0</v>
      </c>
      <c r="AR21">
        <v>0</v>
      </c>
      <c r="AS21">
        <f xml:space="preserve"> INDEX(Table3[[#All],[Intensity]], Table13[[#This Row],[int'[1']]]+2)</f>
        <v>0</v>
      </c>
      <c r="AT21">
        <f>Table13[[#This Row],[duration'[1']]]*Table13[[#This Row],[intensity'[1']]]</f>
        <v>0</v>
      </c>
      <c r="AU21">
        <f>MOD(Table13[[#This Row],[ZMW num]]+1, 4)</f>
        <v>1</v>
      </c>
      <c r="AV21">
        <v>0</v>
      </c>
      <c r="AW21">
        <f>MAX($D$2, Table13[[#This Row],[t1'[2']]])</f>
        <v>0</v>
      </c>
      <c r="AX21">
        <v>0</v>
      </c>
      <c r="AY21">
        <f>Table13[[#This Row],[t1'[2']]]+Table13[[#This Row],[dt'[2']]]</f>
        <v>0</v>
      </c>
      <c r="AZ21">
        <f>MIN($C$2, Table13[[#This Row],[tf'[2']]])</f>
        <v>0</v>
      </c>
      <c r="BA21">
        <f>Table13[[#This Row],[time2'[2']]]-Table13[[#This Row],[time1'[2']]]</f>
        <v>0</v>
      </c>
      <c r="BB21">
        <v>0</v>
      </c>
      <c r="BC21">
        <f xml:space="preserve"> INDEX(Table3[[#All],[Intensity]], Table13[[#This Row],[int'[2']]]+2)</f>
        <v>0</v>
      </c>
      <c r="BD21">
        <f>Table13[[#This Row],[duration'[2']]]*Table13[[#This Row],[intensity'[2']]]</f>
        <v>0</v>
      </c>
      <c r="BE21">
        <f>MOD(Table13[[#This Row],[ZMW num]]+2, 4)</f>
        <v>2</v>
      </c>
      <c r="BF21" s="2" t="str">
        <f>Single2String(Table13[[#This Row],[t1'[0']]])</f>
        <v>00000000</v>
      </c>
      <c r="BG21" s="1" t="str">
        <f>Single2String(Table13[[#This Row],[dt'[0']]])</f>
        <v>00000000</v>
      </c>
      <c r="BH21" s="1" t="str">
        <f>Single2String(Table13[[#This Row],[t1'[1']]])</f>
        <v>00000000</v>
      </c>
      <c r="BI21" s="1" t="str">
        <f>Single2String(Table13[[#This Row],[dt'[1']]])</f>
        <v>00000000</v>
      </c>
      <c r="BJ21" s="1" t="str">
        <f>Single2String(Table13[[#This Row],[t1'[2']]])</f>
        <v>00000000</v>
      </c>
      <c r="BK21" s="1" t="str">
        <f>Single2String(Table13[[#This Row],[dt'[2']]])</f>
        <v>00000000</v>
      </c>
      <c r="BL21" s="1" t="str">
        <f>DEC2HEX(Table13[[#This Row],[ZMW num]], 6)</f>
        <v>000010</v>
      </c>
      <c r="BM21" s="1">
        <f>LEN(Table13[[#This Row],[DRAM data]])</f>
        <v>64</v>
      </c>
      <c r="BN2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0000000000000000000000000000000000000000000000000010200000001000</v>
      </c>
      <c r="CU21"/>
    </row>
    <row r="22" spans="1:99" x14ac:dyDescent="0.25">
      <c r="A22" t="str">
        <f>Single2String(Table13[[#This Row],[duration'[0']]])</f>
        <v>00000000</v>
      </c>
      <c r="B22" t="str">
        <f>Single2String(Table13[[#This Row],[duration'[1']]])</f>
        <v>00000000</v>
      </c>
      <c r="C22" t="str">
        <f>Single2String(Table13[[#This Row],[duration'[2']]])</f>
        <v>00000000</v>
      </c>
      <c r="D22" t="str">
        <f>INDEX(Table3[Hex], Table13[[#This Row],[int'[0']]]+1)</f>
        <v>00000000</v>
      </c>
      <c r="E22" t="str">
        <f>INDEX(Table3[Hex], Table13[[#This Row],[int'[1']]]+1)</f>
        <v>00000000</v>
      </c>
      <c r="F22" t="str">
        <f>INDEX(Table3[Hex], Table13[[#This Row],[int'[1']]]+1)</f>
        <v>00000000</v>
      </c>
      <c r="G22" t="str">
        <f>Single2String(Table13[[#This Row],[c ktrace]])</f>
        <v>00000000</v>
      </c>
      <c r="H22" t="str">
        <f>Single2String(Table13[[#This Row],[a ktrace]])</f>
        <v>00000000</v>
      </c>
      <c r="I22" t="str">
        <f>Single2String(Table13[[#This Row],[g ktrace]])</f>
        <v>00000000</v>
      </c>
      <c r="J22" t="str">
        <f>Single2String(Table13[[#This Row],[t ktrace]])</f>
        <v>00000000</v>
      </c>
      <c r="K22" s="3">
        <v>17</v>
      </c>
      <c r="L22">
        <f>SUM(Table13[[#This Row],[c ktrace'[2']]:[c ktrace'[0']]])</f>
        <v>0</v>
      </c>
      <c r="M22">
        <f>SUM(Table13[[#This Row],[a ktrace'[2']]:[a ktrace'[0']]])</f>
        <v>0</v>
      </c>
      <c r="N22">
        <f>SUM(Table13[[#This Row],[g ktrace'[2']]:[g ktrace'[0']]])</f>
        <v>0</v>
      </c>
      <c r="O22">
        <f>SUM(Table13[[#This Row],[t ktrace'[2']]:[t ktrace'[0']]])</f>
        <v>0</v>
      </c>
      <c r="P22">
        <f xml:space="preserve"> IF(Table13[[#This Row],[dye'[2']]]=3, Table13[[#This Row],[strength'[2']]], 0)</f>
        <v>0</v>
      </c>
      <c r="Q22">
        <f xml:space="preserve"> IF(Table13[[#This Row],[dye'[1']]]=3, Table13[[#This Row],[strength'[1']]], 0)</f>
        <v>0</v>
      </c>
      <c r="R22">
        <f xml:space="preserve"> IF(Table13[[#This Row],[dye'[0']]]=3, Table13[[#This Row],[strength'[0']]], 0)</f>
        <v>0</v>
      </c>
      <c r="S22">
        <f xml:space="preserve"> IF(Table13[[#This Row],[dye'[2']]]=2, Table13[[#This Row],[strength'[2']]], 0)</f>
        <v>0</v>
      </c>
      <c r="T22">
        <f xml:space="preserve"> IF(Table13[[#This Row],[dye'[1']]]=2, Table13[[#This Row],[strength'[1']]], 0)</f>
        <v>0</v>
      </c>
      <c r="U22">
        <f xml:space="preserve"> IF(Table13[[#This Row],[dye'[0']]]=2, Table13[[#This Row],[strength'[0']]], 0)</f>
        <v>0</v>
      </c>
      <c r="V22">
        <f xml:space="preserve"> IF(Table13[[#This Row],[dye'[2']]]=1, Table13[[#This Row],[strength'[2']]], 0)</f>
        <v>0</v>
      </c>
      <c r="W22">
        <f xml:space="preserve"> IF(Table13[[#This Row],[dye'[1']]]=1, Table13[[#This Row],[strength'[1']]], 0)</f>
        <v>0</v>
      </c>
      <c r="X22">
        <f xml:space="preserve"> IF(Table13[[#This Row],[dye'[0']]]=1, Table13[[#This Row],[strength'[0']]], 0)</f>
        <v>0</v>
      </c>
      <c r="Y22">
        <f xml:space="preserve"> IF(Table13[[#This Row],[dye'[2']]]=0, Table13[[#This Row],[strength'[2']]], 0)</f>
        <v>0</v>
      </c>
      <c r="Z22">
        <f xml:space="preserve"> IF(Table13[[#This Row],[dye'[1']]]=0, Table13[[#This Row],[strength'[1']]], 0)</f>
        <v>0</v>
      </c>
      <c r="AA22">
        <f xml:space="preserve"> IF(Table13[[#This Row],[dye'[0']]]=0, Table13[[#This Row],[strength'[0']]], 0)</f>
        <v>0</v>
      </c>
      <c r="AB22">
        <v>0</v>
      </c>
      <c r="AC22">
        <f>MAX($D$2, Table13[[#This Row],[t1'[0']]])</f>
        <v>0</v>
      </c>
      <c r="AD22">
        <v>0</v>
      </c>
      <c r="AE22">
        <f>Table13[[#This Row],[t1'[0']]]+Table13[[#This Row],[dt'[0']]]</f>
        <v>0</v>
      </c>
      <c r="AF22">
        <f>MIN($C$2, Table13[[#This Row],[tf'[0']]])</f>
        <v>0</v>
      </c>
      <c r="AG22">
        <f>Table13[[#This Row],[time2'[0']]]-Table13[[#This Row],[time1'[0']]]</f>
        <v>0</v>
      </c>
      <c r="AH22">
        <v>0</v>
      </c>
      <c r="AI22">
        <f xml:space="preserve"> INDEX(Table3[[#All],[Intensity]], Table13[[#This Row],[int'[0']]]+2)</f>
        <v>0</v>
      </c>
      <c r="AJ22">
        <f>Table13[[#This Row],[duration'[0']]]*Table13[[#This Row],[intensity'[0']]]</f>
        <v>0</v>
      </c>
      <c r="AK22">
        <f>MOD(Table13[[#This Row],[ZMW num]], 4)</f>
        <v>1</v>
      </c>
      <c r="AL22">
        <v>0</v>
      </c>
      <c r="AM22">
        <f>MAX($D$2, Table13[[#This Row],[t1'[1']]])</f>
        <v>0</v>
      </c>
      <c r="AN22">
        <v>0</v>
      </c>
      <c r="AO22">
        <f>Table13[[#This Row],[t1'[1']]]+Table13[[#This Row],[dt'[1']]]</f>
        <v>0</v>
      </c>
      <c r="AP22">
        <f>MIN($C$2, Table13[[#This Row],[tf'[1']]])</f>
        <v>0</v>
      </c>
      <c r="AQ22">
        <f>Table13[[#This Row],[time2'[1']]]-Table13[[#This Row],[time1'[1']]]</f>
        <v>0</v>
      </c>
      <c r="AR22">
        <v>0</v>
      </c>
      <c r="AS22">
        <f xml:space="preserve"> INDEX(Table3[[#All],[Intensity]], Table13[[#This Row],[int'[1']]]+2)</f>
        <v>0</v>
      </c>
      <c r="AT22">
        <f>Table13[[#This Row],[duration'[1']]]*Table13[[#This Row],[intensity'[1']]]</f>
        <v>0</v>
      </c>
      <c r="AU22">
        <f>MOD(Table13[[#This Row],[ZMW num]]+1, 4)</f>
        <v>2</v>
      </c>
      <c r="AV22">
        <v>0</v>
      </c>
      <c r="AW22">
        <f>MAX($D$2, Table13[[#This Row],[t1'[2']]])</f>
        <v>0</v>
      </c>
      <c r="AX22">
        <v>0</v>
      </c>
      <c r="AY22">
        <f>Table13[[#This Row],[t1'[2']]]+Table13[[#This Row],[dt'[2']]]</f>
        <v>0</v>
      </c>
      <c r="AZ22">
        <f>MIN($C$2, Table13[[#This Row],[tf'[2']]])</f>
        <v>0</v>
      </c>
      <c r="BA22">
        <f>Table13[[#This Row],[time2'[2']]]-Table13[[#This Row],[time1'[2']]]</f>
        <v>0</v>
      </c>
      <c r="BB22">
        <v>0</v>
      </c>
      <c r="BC22">
        <f xml:space="preserve"> INDEX(Table3[[#All],[Intensity]], Table13[[#This Row],[int'[2']]]+2)</f>
        <v>0</v>
      </c>
      <c r="BD22">
        <f>Table13[[#This Row],[duration'[2']]]*Table13[[#This Row],[intensity'[2']]]</f>
        <v>0</v>
      </c>
      <c r="BE22">
        <f>MOD(Table13[[#This Row],[ZMW num]]+2, 4)</f>
        <v>3</v>
      </c>
      <c r="BF22" s="2" t="str">
        <f>Single2String(Table13[[#This Row],[t1'[0']]])</f>
        <v>00000000</v>
      </c>
      <c r="BG22" s="1" t="str">
        <f>Single2String(Table13[[#This Row],[dt'[0']]])</f>
        <v>00000000</v>
      </c>
      <c r="BH22" s="1" t="str">
        <f>Single2String(Table13[[#This Row],[t1'[1']]])</f>
        <v>00000000</v>
      </c>
      <c r="BI22" s="1" t="str">
        <f>Single2String(Table13[[#This Row],[dt'[1']]])</f>
        <v>00000000</v>
      </c>
      <c r="BJ22" s="1" t="str">
        <f>Single2String(Table13[[#This Row],[t1'[2']]])</f>
        <v>00000000</v>
      </c>
      <c r="BK22" s="1" t="str">
        <f>Single2String(Table13[[#This Row],[dt'[2']]])</f>
        <v>00000000</v>
      </c>
      <c r="BL22" s="1" t="str">
        <f>DEC2HEX(Table13[[#This Row],[ZMW num]], 6)</f>
        <v>000011</v>
      </c>
      <c r="BM22" s="1">
        <f>LEN(Table13[[#This Row],[DRAM data]])</f>
        <v>64</v>
      </c>
      <c r="BN2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0000000000000000000000000000000000000000000000001020300000001100</v>
      </c>
      <c r="CU22"/>
    </row>
    <row r="23" spans="1:99" x14ac:dyDescent="0.25">
      <c r="A23" t="str">
        <f>Single2String(Table13[[#This Row],[duration'[0']]])</f>
        <v>00000000</v>
      </c>
      <c r="B23" t="str">
        <f>Single2String(Table13[[#This Row],[duration'[1']]])</f>
        <v>00000000</v>
      </c>
      <c r="C23" t="str">
        <f>Single2String(Table13[[#This Row],[duration'[2']]])</f>
        <v>00000000</v>
      </c>
      <c r="D23" t="str">
        <f>INDEX(Table3[Hex], Table13[[#This Row],[int'[0']]]+1)</f>
        <v>00000000</v>
      </c>
      <c r="E23" t="str">
        <f>INDEX(Table3[Hex], Table13[[#This Row],[int'[1']]]+1)</f>
        <v>00000000</v>
      </c>
      <c r="F23" t="str">
        <f>INDEX(Table3[Hex], Table13[[#This Row],[int'[1']]]+1)</f>
        <v>00000000</v>
      </c>
      <c r="G23" t="str">
        <f>Single2String(Table13[[#This Row],[c ktrace]])</f>
        <v>00000000</v>
      </c>
      <c r="H23" t="str">
        <f>Single2String(Table13[[#This Row],[a ktrace]])</f>
        <v>00000000</v>
      </c>
      <c r="I23" t="str">
        <f>Single2String(Table13[[#This Row],[g ktrace]])</f>
        <v>00000000</v>
      </c>
      <c r="J23" t="str">
        <f>Single2String(Table13[[#This Row],[t ktrace]])</f>
        <v>00000000</v>
      </c>
      <c r="K23" s="3">
        <v>18</v>
      </c>
      <c r="L23">
        <f>SUM(Table13[[#This Row],[c ktrace'[2']]:[c ktrace'[0']]])</f>
        <v>0</v>
      </c>
      <c r="M23">
        <f>SUM(Table13[[#This Row],[a ktrace'[2']]:[a ktrace'[0']]])</f>
        <v>0</v>
      </c>
      <c r="N23">
        <f>SUM(Table13[[#This Row],[g ktrace'[2']]:[g ktrace'[0']]])</f>
        <v>0</v>
      </c>
      <c r="O23">
        <f>SUM(Table13[[#This Row],[t ktrace'[2']]:[t ktrace'[0']]])</f>
        <v>0</v>
      </c>
      <c r="P23">
        <f xml:space="preserve"> IF(Table13[[#This Row],[dye'[2']]]=3, Table13[[#This Row],[strength'[2']]], 0)</f>
        <v>0</v>
      </c>
      <c r="Q23">
        <f xml:space="preserve"> IF(Table13[[#This Row],[dye'[1']]]=3, Table13[[#This Row],[strength'[1']]], 0)</f>
        <v>0</v>
      </c>
      <c r="R23">
        <f xml:space="preserve"> IF(Table13[[#This Row],[dye'[0']]]=3, Table13[[#This Row],[strength'[0']]], 0)</f>
        <v>0</v>
      </c>
      <c r="S23">
        <f xml:space="preserve"> IF(Table13[[#This Row],[dye'[2']]]=2, Table13[[#This Row],[strength'[2']]], 0)</f>
        <v>0</v>
      </c>
      <c r="T23">
        <f xml:space="preserve"> IF(Table13[[#This Row],[dye'[1']]]=2, Table13[[#This Row],[strength'[1']]], 0)</f>
        <v>0</v>
      </c>
      <c r="U23">
        <f xml:space="preserve"> IF(Table13[[#This Row],[dye'[0']]]=2, Table13[[#This Row],[strength'[0']]], 0)</f>
        <v>0</v>
      </c>
      <c r="V23">
        <f xml:space="preserve"> IF(Table13[[#This Row],[dye'[2']]]=1, Table13[[#This Row],[strength'[2']]], 0)</f>
        <v>0</v>
      </c>
      <c r="W23">
        <f xml:space="preserve"> IF(Table13[[#This Row],[dye'[1']]]=1, Table13[[#This Row],[strength'[1']]], 0)</f>
        <v>0</v>
      </c>
      <c r="X23">
        <f xml:space="preserve"> IF(Table13[[#This Row],[dye'[0']]]=1, Table13[[#This Row],[strength'[0']]], 0)</f>
        <v>0</v>
      </c>
      <c r="Y23">
        <f xml:space="preserve"> IF(Table13[[#This Row],[dye'[2']]]=0, Table13[[#This Row],[strength'[2']]], 0)</f>
        <v>0</v>
      </c>
      <c r="Z23">
        <f xml:space="preserve"> IF(Table13[[#This Row],[dye'[1']]]=0, Table13[[#This Row],[strength'[1']]], 0)</f>
        <v>0</v>
      </c>
      <c r="AA23">
        <f xml:space="preserve"> IF(Table13[[#This Row],[dye'[0']]]=0, Table13[[#This Row],[strength'[0']]], 0)</f>
        <v>0</v>
      </c>
      <c r="AB23">
        <v>0</v>
      </c>
      <c r="AC23">
        <f>MAX($D$2, Table13[[#This Row],[t1'[0']]])</f>
        <v>0</v>
      </c>
      <c r="AD23">
        <v>0</v>
      </c>
      <c r="AE23">
        <f>Table13[[#This Row],[t1'[0']]]+Table13[[#This Row],[dt'[0']]]</f>
        <v>0</v>
      </c>
      <c r="AF23">
        <f>MIN($C$2, Table13[[#This Row],[tf'[0']]])</f>
        <v>0</v>
      </c>
      <c r="AG23">
        <f>Table13[[#This Row],[time2'[0']]]-Table13[[#This Row],[time1'[0']]]</f>
        <v>0</v>
      </c>
      <c r="AH23">
        <v>0</v>
      </c>
      <c r="AI23">
        <f xml:space="preserve"> INDEX(Table3[[#All],[Intensity]], Table13[[#This Row],[int'[0']]]+2)</f>
        <v>0</v>
      </c>
      <c r="AJ23">
        <f>Table13[[#This Row],[duration'[0']]]*Table13[[#This Row],[intensity'[0']]]</f>
        <v>0</v>
      </c>
      <c r="AK23">
        <f>MOD(Table13[[#This Row],[ZMW num]], 4)</f>
        <v>2</v>
      </c>
      <c r="AL23">
        <v>0</v>
      </c>
      <c r="AM23">
        <f>MAX($D$2, Table13[[#This Row],[t1'[1']]])</f>
        <v>0</v>
      </c>
      <c r="AN23">
        <v>0</v>
      </c>
      <c r="AO23">
        <f>Table13[[#This Row],[t1'[1']]]+Table13[[#This Row],[dt'[1']]]</f>
        <v>0</v>
      </c>
      <c r="AP23">
        <f>MIN($C$2, Table13[[#This Row],[tf'[1']]])</f>
        <v>0</v>
      </c>
      <c r="AQ23">
        <f>Table13[[#This Row],[time2'[1']]]-Table13[[#This Row],[time1'[1']]]</f>
        <v>0</v>
      </c>
      <c r="AR23">
        <v>0</v>
      </c>
      <c r="AS23">
        <f xml:space="preserve"> INDEX(Table3[[#All],[Intensity]], Table13[[#This Row],[int'[1']]]+2)</f>
        <v>0</v>
      </c>
      <c r="AT23">
        <f>Table13[[#This Row],[duration'[1']]]*Table13[[#This Row],[intensity'[1']]]</f>
        <v>0</v>
      </c>
      <c r="AU23">
        <f>MOD(Table13[[#This Row],[ZMW num]]+1, 4)</f>
        <v>3</v>
      </c>
      <c r="AV23">
        <v>0</v>
      </c>
      <c r="AW23">
        <f>MAX($D$2, Table13[[#This Row],[t1'[2']]])</f>
        <v>0</v>
      </c>
      <c r="AX23">
        <v>0</v>
      </c>
      <c r="AY23">
        <f>Table13[[#This Row],[t1'[2']]]+Table13[[#This Row],[dt'[2']]]</f>
        <v>0</v>
      </c>
      <c r="AZ23">
        <f>MIN($C$2, Table13[[#This Row],[tf'[2']]])</f>
        <v>0</v>
      </c>
      <c r="BA23">
        <f>Table13[[#This Row],[time2'[2']]]-Table13[[#This Row],[time1'[2']]]</f>
        <v>0</v>
      </c>
      <c r="BB23">
        <v>0</v>
      </c>
      <c r="BC23">
        <f xml:space="preserve"> INDEX(Table3[[#All],[Intensity]], Table13[[#This Row],[int'[2']]]+2)</f>
        <v>0</v>
      </c>
      <c r="BD23">
        <f>Table13[[#This Row],[duration'[2']]]*Table13[[#This Row],[intensity'[2']]]</f>
        <v>0</v>
      </c>
      <c r="BE23">
        <f>MOD(Table13[[#This Row],[ZMW num]]+2, 4)</f>
        <v>0</v>
      </c>
      <c r="BF23" s="2" t="str">
        <f>Single2String(Table13[[#This Row],[t1'[0']]])</f>
        <v>00000000</v>
      </c>
      <c r="BG23" s="1" t="str">
        <f>Single2String(Table13[[#This Row],[dt'[0']]])</f>
        <v>00000000</v>
      </c>
      <c r="BH23" s="1" t="str">
        <f>Single2String(Table13[[#This Row],[t1'[1']]])</f>
        <v>00000000</v>
      </c>
      <c r="BI23" s="1" t="str">
        <f>Single2String(Table13[[#This Row],[dt'[1']]])</f>
        <v>00000000</v>
      </c>
      <c r="BJ23" s="1" t="str">
        <f>Single2String(Table13[[#This Row],[t1'[2']]])</f>
        <v>00000000</v>
      </c>
      <c r="BK23" s="1" t="str">
        <f>Single2String(Table13[[#This Row],[dt'[2']]])</f>
        <v>00000000</v>
      </c>
      <c r="BL23" s="1" t="str">
        <f>DEC2HEX(Table13[[#This Row],[ZMW num]], 6)</f>
        <v>000012</v>
      </c>
      <c r="BM23" s="1">
        <f>LEN(Table13[[#This Row],[DRAM data]])</f>
        <v>64</v>
      </c>
      <c r="BN2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0000000000000000000000000000000000000000000000002030000000001200</v>
      </c>
      <c r="CU23"/>
    </row>
    <row r="24" spans="1:99" x14ac:dyDescent="0.25">
      <c r="A24" t="str">
        <f>Single2String(Table13[[#This Row],[duration'[0']]])</f>
        <v>00000000</v>
      </c>
      <c r="B24" t="str">
        <f>Single2String(Table13[[#This Row],[duration'[1']]])</f>
        <v>00000000</v>
      </c>
      <c r="C24" t="str">
        <f>Single2String(Table13[[#This Row],[duration'[2']]])</f>
        <v>00000000</v>
      </c>
      <c r="D24" t="str">
        <f>INDEX(Table3[Hex], Table13[[#This Row],[int'[0']]]+1)</f>
        <v>00000000</v>
      </c>
      <c r="E24" t="str">
        <f>INDEX(Table3[Hex], Table13[[#This Row],[int'[1']]]+1)</f>
        <v>00000000</v>
      </c>
      <c r="F24" t="str">
        <f>INDEX(Table3[Hex], Table13[[#This Row],[int'[1']]]+1)</f>
        <v>00000000</v>
      </c>
      <c r="G24" t="str">
        <f>Single2String(Table13[[#This Row],[c ktrace]])</f>
        <v>00000000</v>
      </c>
      <c r="H24" t="str">
        <f>Single2String(Table13[[#This Row],[a ktrace]])</f>
        <v>00000000</v>
      </c>
      <c r="I24" t="str">
        <f>Single2String(Table13[[#This Row],[g ktrace]])</f>
        <v>00000000</v>
      </c>
      <c r="J24" t="str">
        <f>Single2String(Table13[[#This Row],[t ktrace]])</f>
        <v>00000000</v>
      </c>
      <c r="K24" s="3">
        <v>19</v>
      </c>
      <c r="L24">
        <f>SUM(Table13[[#This Row],[c ktrace'[2']]:[c ktrace'[0']]])</f>
        <v>0</v>
      </c>
      <c r="M24">
        <f>SUM(Table13[[#This Row],[a ktrace'[2']]:[a ktrace'[0']]])</f>
        <v>0</v>
      </c>
      <c r="N24">
        <f>SUM(Table13[[#This Row],[g ktrace'[2']]:[g ktrace'[0']]])</f>
        <v>0</v>
      </c>
      <c r="O24">
        <f>SUM(Table13[[#This Row],[t ktrace'[2']]:[t ktrace'[0']]])</f>
        <v>0</v>
      </c>
      <c r="P24">
        <f xml:space="preserve"> IF(Table13[[#This Row],[dye'[2']]]=3, Table13[[#This Row],[strength'[2']]], 0)</f>
        <v>0</v>
      </c>
      <c r="Q24">
        <f xml:space="preserve"> IF(Table13[[#This Row],[dye'[1']]]=3, Table13[[#This Row],[strength'[1']]], 0)</f>
        <v>0</v>
      </c>
      <c r="R24">
        <f xml:space="preserve"> IF(Table13[[#This Row],[dye'[0']]]=3, Table13[[#This Row],[strength'[0']]], 0)</f>
        <v>0</v>
      </c>
      <c r="S24">
        <f xml:space="preserve"> IF(Table13[[#This Row],[dye'[2']]]=2, Table13[[#This Row],[strength'[2']]], 0)</f>
        <v>0</v>
      </c>
      <c r="T24">
        <f xml:space="preserve"> IF(Table13[[#This Row],[dye'[1']]]=2, Table13[[#This Row],[strength'[1']]], 0)</f>
        <v>0</v>
      </c>
      <c r="U24">
        <f xml:space="preserve"> IF(Table13[[#This Row],[dye'[0']]]=2, Table13[[#This Row],[strength'[0']]], 0)</f>
        <v>0</v>
      </c>
      <c r="V24">
        <f xml:space="preserve"> IF(Table13[[#This Row],[dye'[2']]]=1, Table13[[#This Row],[strength'[2']]], 0)</f>
        <v>0</v>
      </c>
      <c r="W24">
        <f xml:space="preserve"> IF(Table13[[#This Row],[dye'[1']]]=1, Table13[[#This Row],[strength'[1']]], 0)</f>
        <v>0</v>
      </c>
      <c r="X24">
        <f xml:space="preserve"> IF(Table13[[#This Row],[dye'[0']]]=1, Table13[[#This Row],[strength'[0']]], 0)</f>
        <v>0</v>
      </c>
      <c r="Y24">
        <f xml:space="preserve"> IF(Table13[[#This Row],[dye'[2']]]=0, Table13[[#This Row],[strength'[2']]], 0)</f>
        <v>0</v>
      </c>
      <c r="Z24">
        <f xml:space="preserve"> IF(Table13[[#This Row],[dye'[1']]]=0, Table13[[#This Row],[strength'[1']]], 0)</f>
        <v>0</v>
      </c>
      <c r="AA24">
        <f xml:space="preserve"> IF(Table13[[#This Row],[dye'[0']]]=0, Table13[[#This Row],[strength'[0']]], 0)</f>
        <v>0</v>
      </c>
      <c r="AB24">
        <v>0</v>
      </c>
      <c r="AC24">
        <f>MAX($D$2, Table13[[#This Row],[t1'[0']]])</f>
        <v>0</v>
      </c>
      <c r="AD24">
        <v>0</v>
      </c>
      <c r="AE24">
        <f>Table13[[#This Row],[t1'[0']]]+Table13[[#This Row],[dt'[0']]]</f>
        <v>0</v>
      </c>
      <c r="AF24">
        <f>MIN($C$2, Table13[[#This Row],[tf'[0']]])</f>
        <v>0</v>
      </c>
      <c r="AG24">
        <f>Table13[[#This Row],[time2'[0']]]-Table13[[#This Row],[time1'[0']]]</f>
        <v>0</v>
      </c>
      <c r="AH24">
        <v>0</v>
      </c>
      <c r="AI24">
        <f xml:space="preserve"> INDEX(Table3[[#All],[Intensity]], Table13[[#This Row],[int'[0']]]+2)</f>
        <v>0</v>
      </c>
      <c r="AJ24">
        <f>Table13[[#This Row],[duration'[0']]]*Table13[[#This Row],[intensity'[0']]]</f>
        <v>0</v>
      </c>
      <c r="AK24">
        <f>MOD(Table13[[#This Row],[ZMW num]], 4)</f>
        <v>3</v>
      </c>
      <c r="AL24">
        <v>0</v>
      </c>
      <c r="AM24">
        <f>MAX($D$2, Table13[[#This Row],[t1'[1']]])</f>
        <v>0</v>
      </c>
      <c r="AN24">
        <v>0</v>
      </c>
      <c r="AO24">
        <f>Table13[[#This Row],[t1'[1']]]+Table13[[#This Row],[dt'[1']]]</f>
        <v>0</v>
      </c>
      <c r="AP24">
        <f>MIN($C$2, Table13[[#This Row],[tf'[1']]])</f>
        <v>0</v>
      </c>
      <c r="AQ24">
        <f>Table13[[#This Row],[time2'[1']]]-Table13[[#This Row],[time1'[1']]]</f>
        <v>0</v>
      </c>
      <c r="AR24">
        <v>0</v>
      </c>
      <c r="AS24">
        <f xml:space="preserve"> INDEX(Table3[[#All],[Intensity]], Table13[[#This Row],[int'[1']]]+2)</f>
        <v>0</v>
      </c>
      <c r="AT24">
        <f>Table13[[#This Row],[duration'[1']]]*Table13[[#This Row],[intensity'[1']]]</f>
        <v>0</v>
      </c>
      <c r="AU24">
        <f>MOD(Table13[[#This Row],[ZMW num]]+1, 4)</f>
        <v>0</v>
      </c>
      <c r="AV24">
        <v>0</v>
      </c>
      <c r="AW24">
        <f>MAX($D$2, Table13[[#This Row],[t1'[2']]])</f>
        <v>0</v>
      </c>
      <c r="AX24">
        <v>0</v>
      </c>
      <c r="AY24">
        <f>Table13[[#This Row],[t1'[2']]]+Table13[[#This Row],[dt'[2']]]</f>
        <v>0</v>
      </c>
      <c r="AZ24">
        <f>MIN($C$2, Table13[[#This Row],[tf'[2']]])</f>
        <v>0</v>
      </c>
      <c r="BA24">
        <f>Table13[[#This Row],[time2'[2']]]-Table13[[#This Row],[time1'[2']]]</f>
        <v>0</v>
      </c>
      <c r="BB24">
        <v>0</v>
      </c>
      <c r="BC24">
        <f xml:space="preserve"> INDEX(Table3[[#All],[Intensity]], Table13[[#This Row],[int'[2']]]+2)</f>
        <v>0</v>
      </c>
      <c r="BD24">
        <f>Table13[[#This Row],[duration'[2']]]*Table13[[#This Row],[intensity'[2']]]</f>
        <v>0</v>
      </c>
      <c r="BE24">
        <f>MOD(Table13[[#This Row],[ZMW num]]+2, 4)</f>
        <v>1</v>
      </c>
      <c r="BF24" s="2" t="str">
        <f>Single2String(Table13[[#This Row],[t1'[0']]])</f>
        <v>00000000</v>
      </c>
      <c r="BG24" s="1" t="str">
        <f>Single2String(Table13[[#This Row],[dt'[0']]])</f>
        <v>00000000</v>
      </c>
      <c r="BH24" s="1" t="str">
        <f>Single2String(Table13[[#This Row],[t1'[1']]])</f>
        <v>00000000</v>
      </c>
      <c r="BI24" s="1" t="str">
        <f>Single2String(Table13[[#This Row],[dt'[1']]])</f>
        <v>00000000</v>
      </c>
      <c r="BJ24" s="1" t="str">
        <f>Single2String(Table13[[#This Row],[t1'[2']]])</f>
        <v>00000000</v>
      </c>
      <c r="BK24" s="1" t="str">
        <f>Single2String(Table13[[#This Row],[dt'[2']]])</f>
        <v>00000000</v>
      </c>
      <c r="BL24" s="1" t="str">
        <f>DEC2HEX(Table13[[#This Row],[ZMW num]], 6)</f>
        <v>000013</v>
      </c>
      <c r="BM24" s="1">
        <f>LEN(Table13[[#This Row],[DRAM data]])</f>
        <v>64</v>
      </c>
      <c r="BN2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0000000000000000000000000000000000000000000000003000100000001300</v>
      </c>
      <c r="CU24"/>
    </row>
    <row r="25" spans="1:99" x14ac:dyDescent="0.25">
      <c r="A25" t="str">
        <f>Single2String(Table13[[#This Row],[duration'[0']]])</f>
        <v>00000000</v>
      </c>
      <c r="B25" t="str">
        <f>Single2String(Table13[[#This Row],[duration'[1']]])</f>
        <v>00000000</v>
      </c>
      <c r="C25" t="str">
        <f>Single2String(Table13[[#This Row],[duration'[2']]])</f>
        <v>00000000</v>
      </c>
      <c r="D25" t="str">
        <f>INDEX(Table3[Hex], Table13[[#This Row],[int'[0']]]+1)</f>
        <v>00000000</v>
      </c>
      <c r="E25" t="str">
        <f>INDEX(Table3[Hex], Table13[[#This Row],[int'[1']]]+1)</f>
        <v>00000000</v>
      </c>
      <c r="F25" t="str">
        <f>INDEX(Table3[Hex], Table13[[#This Row],[int'[1']]]+1)</f>
        <v>00000000</v>
      </c>
      <c r="G25" t="str">
        <f>Single2String(Table13[[#This Row],[c ktrace]])</f>
        <v>00000000</v>
      </c>
      <c r="H25" t="str">
        <f>Single2String(Table13[[#This Row],[a ktrace]])</f>
        <v>00000000</v>
      </c>
      <c r="I25" t="str">
        <f>Single2String(Table13[[#This Row],[g ktrace]])</f>
        <v>00000000</v>
      </c>
      <c r="J25" t="str">
        <f>Single2String(Table13[[#This Row],[t ktrace]])</f>
        <v>00000000</v>
      </c>
      <c r="K25" s="3">
        <v>20</v>
      </c>
      <c r="L25">
        <f>SUM(Table13[[#This Row],[c ktrace'[2']]:[c ktrace'[0']]])</f>
        <v>0</v>
      </c>
      <c r="M25">
        <f>SUM(Table13[[#This Row],[a ktrace'[2']]:[a ktrace'[0']]])</f>
        <v>0</v>
      </c>
      <c r="N25">
        <f>SUM(Table13[[#This Row],[g ktrace'[2']]:[g ktrace'[0']]])</f>
        <v>0</v>
      </c>
      <c r="O25">
        <f>SUM(Table13[[#This Row],[t ktrace'[2']]:[t ktrace'[0']]])</f>
        <v>0</v>
      </c>
      <c r="P25">
        <f xml:space="preserve"> IF(Table13[[#This Row],[dye'[2']]]=3, Table13[[#This Row],[strength'[2']]], 0)</f>
        <v>0</v>
      </c>
      <c r="Q25">
        <f xml:space="preserve"> IF(Table13[[#This Row],[dye'[1']]]=3, Table13[[#This Row],[strength'[1']]], 0)</f>
        <v>0</v>
      </c>
      <c r="R25">
        <f xml:space="preserve"> IF(Table13[[#This Row],[dye'[0']]]=3, Table13[[#This Row],[strength'[0']]], 0)</f>
        <v>0</v>
      </c>
      <c r="S25">
        <f xml:space="preserve"> IF(Table13[[#This Row],[dye'[2']]]=2, Table13[[#This Row],[strength'[2']]], 0)</f>
        <v>0</v>
      </c>
      <c r="T25">
        <f xml:space="preserve"> IF(Table13[[#This Row],[dye'[1']]]=2, Table13[[#This Row],[strength'[1']]], 0)</f>
        <v>0</v>
      </c>
      <c r="U25">
        <f xml:space="preserve"> IF(Table13[[#This Row],[dye'[0']]]=2, Table13[[#This Row],[strength'[0']]], 0)</f>
        <v>0</v>
      </c>
      <c r="V25">
        <f xml:space="preserve"> IF(Table13[[#This Row],[dye'[2']]]=1, Table13[[#This Row],[strength'[2']]], 0)</f>
        <v>0</v>
      </c>
      <c r="W25">
        <f xml:space="preserve"> IF(Table13[[#This Row],[dye'[1']]]=1, Table13[[#This Row],[strength'[1']]], 0)</f>
        <v>0</v>
      </c>
      <c r="X25">
        <f xml:space="preserve"> IF(Table13[[#This Row],[dye'[0']]]=1, Table13[[#This Row],[strength'[0']]], 0)</f>
        <v>0</v>
      </c>
      <c r="Y25">
        <f xml:space="preserve"> IF(Table13[[#This Row],[dye'[2']]]=0, Table13[[#This Row],[strength'[2']]], 0)</f>
        <v>0</v>
      </c>
      <c r="Z25">
        <f xml:space="preserve"> IF(Table13[[#This Row],[dye'[1']]]=0, Table13[[#This Row],[strength'[1']]], 0)</f>
        <v>0</v>
      </c>
      <c r="AA25">
        <f xml:space="preserve"> IF(Table13[[#This Row],[dye'[0']]]=0, Table13[[#This Row],[strength'[0']]], 0)</f>
        <v>0</v>
      </c>
      <c r="AB25">
        <v>0</v>
      </c>
      <c r="AC25">
        <f>MAX($D$2, Table13[[#This Row],[t1'[0']]])</f>
        <v>0</v>
      </c>
      <c r="AD25">
        <v>0</v>
      </c>
      <c r="AE25">
        <f>Table13[[#This Row],[t1'[0']]]+Table13[[#This Row],[dt'[0']]]</f>
        <v>0</v>
      </c>
      <c r="AF25">
        <f>MIN($C$2, Table13[[#This Row],[tf'[0']]])</f>
        <v>0</v>
      </c>
      <c r="AG25">
        <f>Table13[[#This Row],[time2'[0']]]-Table13[[#This Row],[time1'[0']]]</f>
        <v>0</v>
      </c>
      <c r="AH25">
        <v>0</v>
      </c>
      <c r="AI25">
        <f xml:space="preserve"> INDEX(Table3[[#All],[Intensity]], Table13[[#This Row],[int'[0']]]+2)</f>
        <v>0</v>
      </c>
      <c r="AJ25">
        <f>Table13[[#This Row],[duration'[0']]]*Table13[[#This Row],[intensity'[0']]]</f>
        <v>0</v>
      </c>
      <c r="AK25">
        <f>MOD(Table13[[#This Row],[ZMW num]], 4)</f>
        <v>0</v>
      </c>
      <c r="AL25">
        <v>0</v>
      </c>
      <c r="AM25">
        <f>MAX($D$2, Table13[[#This Row],[t1'[1']]])</f>
        <v>0</v>
      </c>
      <c r="AN25">
        <v>0</v>
      </c>
      <c r="AO25">
        <f>Table13[[#This Row],[t1'[1']]]+Table13[[#This Row],[dt'[1']]]</f>
        <v>0</v>
      </c>
      <c r="AP25">
        <f>MIN($C$2, Table13[[#This Row],[tf'[1']]])</f>
        <v>0</v>
      </c>
      <c r="AQ25">
        <f>Table13[[#This Row],[time2'[1']]]-Table13[[#This Row],[time1'[1']]]</f>
        <v>0</v>
      </c>
      <c r="AR25">
        <v>0</v>
      </c>
      <c r="AS25">
        <f xml:space="preserve"> INDEX(Table3[[#All],[Intensity]], Table13[[#This Row],[int'[1']]]+2)</f>
        <v>0</v>
      </c>
      <c r="AT25">
        <f>Table13[[#This Row],[duration'[1']]]*Table13[[#This Row],[intensity'[1']]]</f>
        <v>0</v>
      </c>
      <c r="AU25">
        <f>MOD(Table13[[#This Row],[ZMW num]]+1, 4)</f>
        <v>1</v>
      </c>
      <c r="AV25">
        <v>0</v>
      </c>
      <c r="AW25">
        <f>MAX($D$2, Table13[[#This Row],[t1'[2']]])</f>
        <v>0</v>
      </c>
      <c r="AX25">
        <v>0</v>
      </c>
      <c r="AY25">
        <f>Table13[[#This Row],[t1'[2']]]+Table13[[#This Row],[dt'[2']]]</f>
        <v>0</v>
      </c>
      <c r="AZ25">
        <f>MIN($C$2, Table13[[#This Row],[tf'[2']]])</f>
        <v>0</v>
      </c>
      <c r="BA25">
        <f>Table13[[#This Row],[time2'[2']]]-Table13[[#This Row],[time1'[2']]]</f>
        <v>0</v>
      </c>
      <c r="BB25">
        <v>0</v>
      </c>
      <c r="BC25">
        <f xml:space="preserve"> INDEX(Table3[[#All],[Intensity]], Table13[[#This Row],[int'[2']]]+2)</f>
        <v>0</v>
      </c>
      <c r="BD25">
        <f>Table13[[#This Row],[duration'[2']]]*Table13[[#This Row],[intensity'[2']]]</f>
        <v>0</v>
      </c>
      <c r="BE25">
        <f>MOD(Table13[[#This Row],[ZMW num]]+2, 4)</f>
        <v>2</v>
      </c>
      <c r="BF25" s="2" t="str">
        <f>Single2String(Table13[[#This Row],[t1'[0']]])</f>
        <v>00000000</v>
      </c>
      <c r="BG25" s="1" t="str">
        <f>Single2String(Table13[[#This Row],[dt'[0']]])</f>
        <v>00000000</v>
      </c>
      <c r="BH25" s="1" t="str">
        <f>Single2String(Table13[[#This Row],[t1'[1']]])</f>
        <v>00000000</v>
      </c>
      <c r="BI25" s="1" t="str">
        <f>Single2String(Table13[[#This Row],[dt'[1']]])</f>
        <v>00000000</v>
      </c>
      <c r="BJ25" s="1" t="str">
        <f>Single2String(Table13[[#This Row],[t1'[2']]])</f>
        <v>00000000</v>
      </c>
      <c r="BK25" s="1" t="str">
        <f>Single2String(Table13[[#This Row],[dt'[2']]])</f>
        <v>00000000</v>
      </c>
      <c r="BL25" s="1" t="str">
        <f>DEC2HEX(Table13[[#This Row],[ZMW num]], 6)</f>
        <v>000014</v>
      </c>
      <c r="BM25" s="1">
        <f>LEN(Table13[[#This Row],[DRAM data]])</f>
        <v>64</v>
      </c>
      <c r="BN2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0000000000000000000000000000000000000000000000000010200000001400</v>
      </c>
      <c r="CU25"/>
    </row>
    <row r="26" spans="1:99" x14ac:dyDescent="0.25">
      <c r="A26" t="str">
        <f>Single2String(Table13[[#This Row],[duration'[0']]])</f>
        <v>00000000</v>
      </c>
      <c r="B26" t="str">
        <f>Single2String(Table13[[#This Row],[duration'[1']]])</f>
        <v>00000000</v>
      </c>
      <c r="C26" t="str">
        <f>Single2String(Table13[[#This Row],[duration'[2']]])</f>
        <v>00000000</v>
      </c>
      <c r="D26" t="str">
        <f>INDEX(Table3[Hex], Table13[[#This Row],[int'[0']]]+1)</f>
        <v>00000000</v>
      </c>
      <c r="E26" t="str">
        <f>INDEX(Table3[Hex], Table13[[#This Row],[int'[1']]]+1)</f>
        <v>00000000</v>
      </c>
      <c r="F26" t="str">
        <f>INDEX(Table3[Hex], Table13[[#This Row],[int'[1']]]+1)</f>
        <v>00000000</v>
      </c>
      <c r="G26" t="str">
        <f>Single2String(Table13[[#This Row],[c ktrace]])</f>
        <v>00000000</v>
      </c>
      <c r="H26" t="str">
        <f>Single2String(Table13[[#This Row],[a ktrace]])</f>
        <v>00000000</v>
      </c>
      <c r="I26" t="str">
        <f>Single2String(Table13[[#This Row],[g ktrace]])</f>
        <v>00000000</v>
      </c>
      <c r="J26" t="str">
        <f>Single2String(Table13[[#This Row],[t ktrace]])</f>
        <v>00000000</v>
      </c>
      <c r="K26" s="3">
        <v>21</v>
      </c>
      <c r="L26">
        <f>SUM(Table13[[#This Row],[c ktrace'[2']]:[c ktrace'[0']]])</f>
        <v>0</v>
      </c>
      <c r="M26">
        <f>SUM(Table13[[#This Row],[a ktrace'[2']]:[a ktrace'[0']]])</f>
        <v>0</v>
      </c>
      <c r="N26">
        <f>SUM(Table13[[#This Row],[g ktrace'[2']]:[g ktrace'[0']]])</f>
        <v>0</v>
      </c>
      <c r="O26">
        <f>SUM(Table13[[#This Row],[t ktrace'[2']]:[t ktrace'[0']]])</f>
        <v>0</v>
      </c>
      <c r="P26">
        <f xml:space="preserve"> IF(Table13[[#This Row],[dye'[2']]]=3, Table13[[#This Row],[strength'[2']]], 0)</f>
        <v>0</v>
      </c>
      <c r="Q26">
        <f xml:space="preserve"> IF(Table13[[#This Row],[dye'[1']]]=3, Table13[[#This Row],[strength'[1']]], 0)</f>
        <v>0</v>
      </c>
      <c r="R26">
        <f xml:space="preserve"> IF(Table13[[#This Row],[dye'[0']]]=3, Table13[[#This Row],[strength'[0']]], 0)</f>
        <v>0</v>
      </c>
      <c r="S26">
        <f xml:space="preserve"> IF(Table13[[#This Row],[dye'[2']]]=2, Table13[[#This Row],[strength'[2']]], 0)</f>
        <v>0</v>
      </c>
      <c r="T26">
        <f xml:space="preserve"> IF(Table13[[#This Row],[dye'[1']]]=2, Table13[[#This Row],[strength'[1']]], 0)</f>
        <v>0</v>
      </c>
      <c r="U26">
        <f xml:space="preserve"> IF(Table13[[#This Row],[dye'[0']]]=2, Table13[[#This Row],[strength'[0']]], 0)</f>
        <v>0</v>
      </c>
      <c r="V26">
        <f xml:space="preserve"> IF(Table13[[#This Row],[dye'[2']]]=1, Table13[[#This Row],[strength'[2']]], 0)</f>
        <v>0</v>
      </c>
      <c r="W26">
        <f xml:space="preserve"> IF(Table13[[#This Row],[dye'[1']]]=1, Table13[[#This Row],[strength'[1']]], 0)</f>
        <v>0</v>
      </c>
      <c r="X26">
        <f xml:space="preserve"> IF(Table13[[#This Row],[dye'[0']]]=1, Table13[[#This Row],[strength'[0']]], 0)</f>
        <v>0</v>
      </c>
      <c r="Y26">
        <f xml:space="preserve"> IF(Table13[[#This Row],[dye'[2']]]=0, Table13[[#This Row],[strength'[2']]], 0)</f>
        <v>0</v>
      </c>
      <c r="Z26">
        <f xml:space="preserve"> IF(Table13[[#This Row],[dye'[1']]]=0, Table13[[#This Row],[strength'[1']]], 0)</f>
        <v>0</v>
      </c>
      <c r="AA26">
        <f xml:space="preserve"> IF(Table13[[#This Row],[dye'[0']]]=0, Table13[[#This Row],[strength'[0']]], 0)</f>
        <v>0</v>
      </c>
      <c r="AB26">
        <v>0</v>
      </c>
      <c r="AC26">
        <f>MAX($D$2, Table13[[#This Row],[t1'[0']]])</f>
        <v>0</v>
      </c>
      <c r="AD26">
        <v>0</v>
      </c>
      <c r="AE26">
        <f>Table13[[#This Row],[t1'[0']]]+Table13[[#This Row],[dt'[0']]]</f>
        <v>0</v>
      </c>
      <c r="AF26">
        <f>MIN($C$2, Table13[[#This Row],[tf'[0']]])</f>
        <v>0</v>
      </c>
      <c r="AG26">
        <f>Table13[[#This Row],[time2'[0']]]-Table13[[#This Row],[time1'[0']]]</f>
        <v>0</v>
      </c>
      <c r="AH26">
        <v>0</v>
      </c>
      <c r="AI26">
        <f xml:space="preserve"> INDEX(Table3[[#All],[Intensity]], Table13[[#This Row],[int'[0']]]+2)</f>
        <v>0</v>
      </c>
      <c r="AJ26">
        <f>Table13[[#This Row],[duration'[0']]]*Table13[[#This Row],[intensity'[0']]]</f>
        <v>0</v>
      </c>
      <c r="AK26">
        <f>MOD(Table13[[#This Row],[ZMW num]], 4)</f>
        <v>1</v>
      </c>
      <c r="AL26">
        <v>0</v>
      </c>
      <c r="AM26">
        <f>MAX($D$2, Table13[[#This Row],[t1'[1']]])</f>
        <v>0</v>
      </c>
      <c r="AN26">
        <v>0</v>
      </c>
      <c r="AO26">
        <f>Table13[[#This Row],[t1'[1']]]+Table13[[#This Row],[dt'[1']]]</f>
        <v>0</v>
      </c>
      <c r="AP26">
        <f>MIN($C$2, Table13[[#This Row],[tf'[1']]])</f>
        <v>0</v>
      </c>
      <c r="AQ26">
        <f>Table13[[#This Row],[time2'[1']]]-Table13[[#This Row],[time1'[1']]]</f>
        <v>0</v>
      </c>
      <c r="AR26">
        <v>0</v>
      </c>
      <c r="AS26">
        <f xml:space="preserve"> INDEX(Table3[[#All],[Intensity]], Table13[[#This Row],[int'[1']]]+2)</f>
        <v>0</v>
      </c>
      <c r="AT26">
        <f>Table13[[#This Row],[duration'[1']]]*Table13[[#This Row],[intensity'[1']]]</f>
        <v>0</v>
      </c>
      <c r="AU26">
        <f>MOD(Table13[[#This Row],[ZMW num]]+1, 4)</f>
        <v>2</v>
      </c>
      <c r="AV26">
        <v>0</v>
      </c>
      <c r="AW26">
        <f>MAX($D$2, Table13[[#This Row],[t1'[2']]])</f>
        <v>0</v>
      </c>
      <c r="AX26">
        <v>0</v>
      </c>
      <c r="AY26">
        <f>Table13[[#This Row],[t1'[2']]]+Table13[[#This Row],[dt'[2']]]</f>
        <v>0</v>
      </c>
      <c r="AZ26">
        <f>MIN($C$2, Table13[[#This Row],[tf'[2']]])</f>
        <v>0</v>
      </c>
      <c r="BA26">
        <f>Table13[[#This Row],[time2'[2']]]-Table13[[#This Row],[time1'[2']]]</f>
        <v>0</v>
      </c>
      <c r="BB26">
        <v>0</v>
      </c>
      <c r="BC26">
        <f xml:space="preserve"> INDEX(Table3[[#All],[Intensity]], Table13[[#This Row],[int'[2']]]+2)</f>
        <v>0</v>
      </c>
      <c r="BD26">
        <f>Table13[[#This Row],[duration'[2']]]*Table13[[#This Row],[intensity'[2']]]</f>
        <v>0</v>
      </c>
      <c r="BE26">
        <f>MOD(Table13[[#This Row],[ZMW num]]+2, 4)</f>
        <v>3</v>
      </c>
      <c r="BF26" s="2" t="str">
        <f>Single2String(Table13[[#This Row],[t1'[0']]])</f>
        <v>00000000</v>
      </c>
      <c r="BG26" s="1" t="str">
        <f>Single2String(Table13[[#This Row],[dt'[0']]])</f>
        <v>00000000</v>
      </c>
      <c r="BH26" s="1" t="str">
        <f>Single2String(Table13[[#This Row],[t1'[1']]])</f>
        <v>00000000</v>
      </c>
      <c r="BI26" s="1" t="str">
        <f>Single2String(Table13[[#This Row],[dt'[1']]])</f>
        <v>00000000</v>
      </c>
      <c r="BJ26" s="1" t="str">
        <f>Single2String(Table13[[#This Row],[t1'[2']]])</f>
        <v>00000000</v>
      </c>
      <c r="BK26" s="1" t="str">
        <f>Single2String(Table13[[#This Row],[dt'[2']]])</f>
        <v>00000000</v>
      </c>
      <c r="BL26" s="1" t="str">
        <f>DEC2HEX(Table13[[#This Row],[ZMW num]], 6)</f>
        <v>000015</v>
      </c>
      <c r="BM26" s="1">
        <f>LEN(Table13[[#This Row],[DRAM data]])</f>
        <v>64</v>
      </c>
      <c r="BN2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0000000000000000000000000000000000000000000000001020300000001500</v>
      </c>
      <c r="CU26"/>
    </row>
    <row r="27" spans="1:99" x14ac:dyDescent="0.25">
      <c r="A27" t="str">
        <f>Single2String(Table13[[#This Row],[duration'[0']]])</f>
        <v>00000000</v>
      </c>
      <c r="B27" t="str">
        <f>Single2String(Table13[[#This Row],[duration'[1']]])</f>
        <v>00000000</v>
      </c>
      <c r="C27" t="str">
        <f>Single2String(Table13[[#This Row],[duration'[2']]])</f>
        <v>00000000</v>
      </c>
      <c r="D27" t="str">
        <f>INDEX(Table3[Hex], Table13[[#This Row],[int'[0']]]+1)</f>
        <v>00000000</v>
      </c>
      <c r="E27" t="str">
        <f>INDEX(Table3[Hex], Table13[[#This Row],[int'[1']]]+1)</f>
        <v>00000000</v>
      </c>
      <c r="F27" t="str">
        <f>INDEX(Table3[Hex], Table13[[#This Row],[int'[1']]]+1)</f>
        <v>00000000</v>
      </c>
      <c r="G27" t="str">
        <f>Single2String(Table13[[#This Row],[c ktrace]])</f>
        <v>00000000</v>
      </c>
      <c r="H27" t="str">
        <f>Single2String(Table13[[#This Row],[a ktrace]])</f>
        <v>00000000</v>
      </c>
      <c r="I27" t="str">
        <f>Single2String(Table13[[#This Row],[g ktrace]])</f>
        <v>00000000</v>
      </c>
      <c r="J27" t="str">
        <f>Single2String(Table13[[#This Row],[t ktrace]])</f>
        <v>00000000</v>
      </c>
      <c r="K27" s="3">
        <v>22</v>
      </c>
      <c r="L27">
        <f>SUM(Table13[[#This Row],[c ktrace'[2']]:[c ktrace'[0']]])</f>
        <v>0</v>
      </c>
      <c r="M27">
        <f>SUM(Table13[[#This Row],[a ktrace'[2']]:[a ktrace'[0']]])</f>
        <v>0</v>
      </c>
      <c r="N27">
        <f>SUM(Table13[[#This Row],[g ktrace'[2']]:[g ktrace'[0']]])</f>
        <v>0</v>
      </c>
      <c r="O27">
        <f>SUM(Table13[[#This Row],[t ktrace'[2']]:[t ktrace'[0']]])</f>
        <v>0</v>
      </c>
      <c r="P27">
        <f xml:space="preserve"> IF(Table13[[#This Row],[dye'[2']]]=3, Table13[[#This Row],[strength'[2']]], 0)</f>
        <v>0</v>
      </c>
      <c r="Q27">
        <f xml:space="preserve"> IF(Table13[[#This Row],[dye'[1']]]=3, Table13[[#This Row],[strength'[1']]], 0)</f>
        <v>0</v>
      </c>
      <c r="R27">
        <f xml:space="preserve"> IF(Table13[[#This Row],[dye'[0']]]=3, Table13[[#This Row],[strength'[0']]], 0)</f>
        <v>0</v>
      </c>
      <c r="S27">
        <f xml:space="preserve"> IF(Table13[[#This Row],[dye'[2']]]=2, Table13[[#This Row],[strength'[2']]], 0)</f>
        <v>0</v>
      </c>
      <c r="T27">
        <f xml:space="preserve"> IF(Table13[[#This Row],[dye'[1']]]=2, Table13[[#This Row],[strength'[1']]], 0)</f>
        <v>0</v>
      </c>
      <c r="U27">
        <f xml:space="preserve"> IF(Table13[[#This Row],[dye'[0']]]=2, Table13[[#This Row],[strength'[0']]], 0)</f>
        <v>0</v>
      </c>
      <c r="V27">
        <f xml:space="preserve"> IF(Table13[[#This Row],[dye'[2']]]=1, Table13[[#This Row],[strength'[2']]], 0)</f>
        <v>0</v>
      </c>
      <c r="W27">
        <f xml:space="preserve"> IF(Table13[[#This Row],[dye'[1']]]=1, Table13[[#This Row],[strength'[1']]], 0)</f>
        <v>0</v>
      </c>
      <c r="X27">
        <f xml:space="preserve"> IF(Table13[[#This Row],[dye'[0']]]=1, Table13[[#This Row],[strength'[0']]], 0)</f>
        <v>0</v>
      </c>
      <c r="Y27">
        <f xml:space="preserve"> IF(Table13[[#This Row],[dye'[2']]]=0, Table13[[#This Row],[strength'[2']]], 0)</f>
        <v>0</v>
      </c>
      <c r="Z27">
        <f xml:space="preserve"> IF(Table13[[#This Row],[dye'[1']]]=0, Table13[[#This Row],[strength'[1']]], 0)</f>
        <v>0</v>
      </c>
      <c r="AA27">
        <f xml:space="preserve"> IF(Table13[[#This Row],[dye'[0']]]=0, Table13[[#This Row],[strength'[0']]], 0)</f>
        <v>0</v>
      </c>
      <c r="AB27">
        <v>0</v>
      </c>
      <c r="AC27">
        <f>MAX($D$2, Table13[[#This Row],[t1'[0']]])</f>
        <v>0</v>
      </c>
      <c r="AD27">
        <v>0</v>
      </c>
      <c r="AE27">
        <f>Table13[[#This Row],[t1'[0']]]+Table13[[#This Row],[dt'[0']]]</f>
        <v>0</v>
      </c>
      <c r="AF27">
        <f>MIN($C$2, Table13[[#This Row],[tf'[0']]])</f>
        <v>0</v>
      </c>
      <c r="AG27">
        <f>Table13[[#This Row],[time2'[0']]]-Table13[[#This Row],[time1'[0']]]</f>
        <v>0</v>
      </c>
      <c r="AH27">
        <v>0</v>
      </c>
      <c r="AI27">
        <f xml:space="preserve"> INDEX(Table3[[#All],[Intensity]], Table13[[#This Row],[int'[0']]]+2)</f>
        <v>0</v>
      </c>
      <c r="AJ27">
        <f>Table13[[#This Row],[duration'[0']]]*Table13[[#This Row],[intensity'[0']]]</f>
        <v>0</v>
      </c>
      <c r="AK27">
        <f>MOD(Table13[[#This Row],[ZMW num]], 4)</f>
        <v>2</v>
      </c>
      <c r="AL27">
        <v>0</v>
      </c>
      <c r="AM27">
        <f>MAX($D$2, Table13[[#This Row],[t1'[1']]])</f>
        <v>0</v>
      </c>
      <c r="AN27">
        <v>0</v>
      </c>
      <c r="AO27">
        <f>Table13[[#This Row],[t1'[1']]]+Table13[[#This Row],[dt'[1']]]</f>
        <v>0</v>
      </c>
      <c r="AP27">
        <f>MIN($C$2, Table13[[#This Row],[tf'[1']]])</f>
        <v>0</v>
      </c>
      <c r="AQ27">
        <f>Table13[[#This Row],[time2'[1']]]-Table13[[#This Row],[time1'[1']]]</f>
        <v>0</v>
      </c>
      <c r="AR27">
        <v>0</v>
      </c>
      <c r="AS27">
        <f xml:space="preserve"> INDEX(Table3[[#All],[Intensity]], Table13[[#This Row],[int'[1']]]+2)</f>
        <v>0</v>
      </c>
      <c r="AT27">
        <f>Table13[[#This Row],[duration'[1']]]*Table13[[#This Row],[intensity'[1']]]</f>
        <v>0</v>
      </c>
      <c r="AU27">
        <f>MOD(Table13[[#This Row],[ZMW num]]+1, 4)</f>
        <v>3</v>
      </c>
      <c r="AV27">
        <v>0</v>
      </c>
      <c r="AW27">
        <f>MAX($D$2, Table13[[#This Row],[t1'[2']]])</f>
        <v>0</v>
      </c>
      <c r="AX27">
        <v>0</v>
      </c>
      <c r="AY27">
        <f>Table13[[#This Row],[t1'[2']]]+Table13[[#This Row],[dt'[2']]]</f>
        <v>0</v>
      </c>
      <c r="AZ27">
        <f>MIN($C$2, Table13[[#This Row],[tf'[2']]])</f>
        <v>0</v>
      </c>
      <c r="BA27">
        <f>Table13[[#This Row],[time2'[2']]]-Table13[[#This Row],[time1'[2']]]</f>
        <v>0</v>
      </c>
      <c r="BB27">
        <v>0</v>
      </c>
      <c r="BC27">
        <f xml:space="preserve"> INDEX(Table3[[#All],[Intensity]], Table13[[#This Row],[int'[2']]]+2)</f>
        <v>0</v>
      </c>
      <c r="BD27">
        <f>Table13[[#This Row],[duration'[2']]]*Table13[[#This Row],[intensity'[2']]]</f>
        <v>0</v>
      </c>
      <c r="BE27">
        <f>MOD(Table13[[#This Row],[ZMW num]]+2, 4)</f>
        <v>0</v>
      </c>
      <c r="BF27" s="2" t="str">
        <f>Single2String(Table13[[#This Row],[t1'[0']]])</f>
        <v>00000000</v>
      </c>
      <c r="BG27" s="1" t="str">
        <f>Single2String(Table13[[#This Row],[dt'[0']]])</f>
        <v>00000000</v>
      </c>
      <c r="BH27" s="1" t="str">
        <f>Single2String(Table13[[#This Row],[t1'[1']]])</f>
        <v>00000000</v>
      </c>
      <c r="BI27" s="1" t="str">
        <f>Single2String(Table13[[#This Row],[dt'[1']]])</f>
        <v>00000000</v>
      </c>
      <c r="BJ27" s="1" t="str">
        <f>Single2String(Table13[[#This Row],[t1'[2']]])</f>
        <v>00000000</v>
      </c>
      <c r="BK27" s="1" t="str">
        <f>Single2String(Table13[[#This Row],[dt'[2']]])</f>
        <v>00000000</v>
      </c>
      <c r="BL27" s="1" t="str">
        <f>DEC2HEX(Table13[[#This Row],[ZMW num]], 6)</f>
        <v>000016</v>
      </c>
      <c r="BM27" s="1">
        <f>LEN(Table13[[#This Row],[DRAM data]])</f>
        <v>64</v>
      </c>
      <c r="BN2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0000000000000000000000000000000000000000000000002030000000001600</v>
      </c>
      <c r="CU27"/>
    </row>
    <row r="28" spans="1:99" x14ac:dyDescent="0.25">
      <c r="A28" t="str">
        <f>Single2String(Table13[[#This Row],[duration'[0']]])</f>
        <v>00000000</v>
      </c>
      <c r="B28" t="str">
        <f>Single2String(Table13[[#This Row],[duration'[1']]])</f>
        <v>00000000</v>
      </c>
      <c r="C28" t="str">
        <f>Single2String(Table13[[#This Row],[duration'[2']]])</f>
        <v>00000000</v>
      </c>
      <c r="D28" t="str">
        <f>INDEX(Table3[Hex], Table13[[#This Row],[int'[0']]]+1)</f>
        <v>00000000</v>
      </c>
      <c r="E28" t="str">
        <f>INDEX(Table3[Hex], Table13[[#This Row],[int'[1']]]+1)</f>
        <v>00000000</v>
      </c>
      <c r="F28" t="str">
        <f>INDEX(Table3[Hex], Table13[[#This Row],[int'[1']]]+1)</f>
        <v>00000000</v>
      </c>
      <c r="G28" t="str">
        <f>Single2String(Table13[[#This Row],[c ktrace]])</f>
        <v>00000000</v>
      </c>
      <c r="H28" t="str">
        <f>Single2String(Table13[[#This Row],[a ktrace]])</f>
        <v>00000000</v>
      </c>
      <c r="I28" t="str">
        <f>Single2String(Table13[[#This Row],[g ktrace]])</f>
        <v>00000000</v>
      </c>
      <c r="J28" t="str">
        <f>Single2String(Table13[[#This Row],[t ktrace]])</f>
        <v>00000000</v>
      </c>
      <c r="K28" s="3">
        <v>23</v>
      </c>
      <c r="L28">
        <f>SUM(Table13[[#This Row],[c ktrace'[2']]:[c ktrace'[0']]])</f>
        <v>0</v>
      </c>
      <c r="M28">
        <f>SUM(Table13[[#This Row],[a ktrace'[2']]:[a ktrace'[0']]])</f>
        <v>0</v>
      </c>
      <c r="N28">
        <f>SUM(Table13[[#This Row],[g ktrace'[2']]:[g ktrace'[0']]])</f>
        <v>0</v>
      </c>
      <c r="O28">
        <f>SUM(Table13[[#This Row],[t ktrace'[2']]:[t ktrace'[0']]])</f>
        <v>0</v>
      </c>
      <c r="P28">
        <f xml:space="preserve"> IF(Table13[[#This Row],[dye'[2']]]=3, Table13[[#This Row],[strength'[2']]], 0)</f>
        <v>0</v>
      </c>
      <c r="Q28">
        <f xml:space="preserve"> IF(Table13[[#This Row],[dye'[1']]]=3, Table13[[#This Row],[strength'[1']]], 0)</f>
        <v>0</v>
      </c>
      <c r="R28">
        <f xml:space="preserve"> IF(Table13[[#This Row],[dye'[0']]]=3, Table13[[#This Row],[strength'[0']]], 0)</f>
        <v>0</v>
      </c>
      <c r="S28">
        <f xml:space="preserve"> IF(Table13[[#This Row],[dye'[2']]]=2, Table13[[#This Row],[strength'[2']]], 0)</f>
        <v>0</v>
      </c>
      <c r="T28">
        <f xml:space="preserve"> IF(Table13[[#This Row],[dye'[1']]]=2, Table13[[#This Row],[strength'[1']]], 0)</f>
        <v>0</v>
      </c>
      <c r="U28">
        <f xml:space="preserve"> IF(Table13[[#This Row],[dye'[0']]]=2, Table13[[#This Row],[strength'[0']]], 0)</f>
        <v>0</v>
      </c>
      <c r="V28">
        <f xml:space="preserve"> IF(Table13[[#This Row],[dye'[2']]]=1, Table13[[#This Row],[strength'[2']]], 0)</f>
        <v>0</v>
      </c>
      <c r="W28">
        <f xml:space="preserve"> IF(Table13[[#This Row],[dye'[1']]]=1, Table13[[#This Row],[strength'[1']]], 0)</f>
        <v>0</v>
      </c>
      <c r="X28">
        <f xml:space="preserve"> IF(Table13[[#This Row],[dye'[0']]]=1, Table13[[#This Row],[strength'[0']]], 0)</f>
        <v>0</v>
      </c>
      <c r="Y28">
        <f xml:space="preserve"> IF(Table13[[#This Row],[dye'[2']]]=0, Table13[[#This Row],[strength'[2']]], 0)</f>
        <v>0</v>
      </c>
      <c r="Z28">
        <f xml:space="preserve"> IF(Table13[[#This Row],[dye'[1']]]=0, Table13[[#This Row],[strength'[1']]], 0)</f>
        <v>0</v>
      </c>
      <c r="AA28">
        <f xml:space="preserve"> IF(Table13[[#This Row],[dye'[0']]]=0, Table13[[#This Row],[strength'[0']]], 0)</f>
        <v>0</v>
      </c>
      <c r="AB28">
        <v>0</v>
      </c>
      <c r="AC28">
        <f>MAX($D$2, Table13[[#This Row],[t1'[0']]])</f>
        <v>0</v>
      </c>
      <c r="AD28">
        <v>0</v>
      </c>
      <c r="AE28">
        <f>Table13[[#This Row],[t1'[0']]]+Table13[[#This Row],[dt'[0']]]</f>
        <v>0</v>
      </c>
      <c r="AF28">
        <f>MIN($C$2, Table13[[#This Row],[tf'[0']]])</f>
        <v>0</v>
      </c>
      <c r="AG28">
        <f>Table13[[#This Row],[time2'[0']]]-Table13[[#This Row],[time1'[0']]]</f>
        <v>0</v>
      </c>
      <c r="AH28">
        <v>0</v>
      </c>
      <c r="AI28">
        <f xml:space="preserve"> INDEX(Table3[[#All],[Intensity]], Table13[[#This Row],[int'[0']]]+2)</f>
        <v>0</v>
      </c>
      <c r="AJ28">
        <f>Table13[[#This Row],[duration'[0']]]*Table13[[#This Row],[intensity'[0']]]</f>
        <v>0</v>
      </c>
      <c r="AK28">
        <f>MOD(Table13[[#This Row],[ZMW num]], 4)</f>
        <v>3</v>
      </c>
      <c r="AL28">
        <v>0</v>
      </c>
      <c r="AM28">
        <f>MAX($D$2, Table13[[#This Row],[t1'[1']]])</f>
        <v>0</v>
      </c>
      <c r="AN28">
        <v>0</v>
      </c>
      <c r="AO28">
        <f>Table13[[#This Row],[t1'[1']]]+Table13[[#This Row],[dt'[1']]]</f>
        <v>0</v>
      </c>
      <c r="AP28">
        <f>MIN($C$2, Table13[[#This Row],[tf'[1']]])</f>
        <v>0</v>
      </c>
      <c r="AQ28">
        <f>Table13[[#This Row],[time2'[1']]]-Table13[[#This Row],[time1'[1']]]</f>
        <v>0</v>
      </c>
      <c r="AR28">
        <v>0</v>
      </c>
      <c r="AS28">
        <f xml:space="preserve"> INDEX(Table3[[#All],[Intensity]], Table13[[#This Row],[int'[1']]]+2)</f>
        <v>0</v>
      </c>
      <c r="AT28">
        <f>Table13[[#This Row],[duration'[1']]]*Table13[[#This Row],[intensity'[1']]]</f>
        <v>0</v>
      </c>
      <c r="AU28">
        <f>MOD(Table13[[#This Row],[ZMW num]]+1, 4)</f>
        <v>0</v>
      </c>
      <c r="AV28">
        <v>0</v>
      </c>
      <c r="AW28">
        <f>MAX($D$2, Table13[[#This Row],[t1'[2']]])</f>
        <v>0</v>
      </c>
      <c r="AX28">
        <v>0</v>
      </c>
      <c r="AY28">
        <f>Table13[[#This Row],[t1'[2']]]+Table13[[#This Row],[dt'[2']]]</f>
        <v>0</v>
      </c>
      <c r="AZ28">
        <f>MIN($C$2, Table13[[#This Row],[tf'[2']]])</f>
        <v>0</v>
      </c>
      <c r="BA28">
        <f>Table13[[#This Row],[time2'[2']]]-Table13[[#This Row],[time1'[2']]]</f>
        <v>0</v>
      </c>
      <c r="BB28">
        <v>0</v>
      </c>
      <c r="BC28">
        <f xml:space="preserve"> INDEX(Table3[[#All],[Intensity]], Table13[[#This Row],[int'[2']]]+2)</f>
        <v>0</v>
      </c>
      <c r="BD28">
        <f>Table13[[#This Row],[duration'[2']]]*Table13[[#This Row],[intensity'[2']]]</f>
        <v>0</v>
      </c>
      <c r="BE28">
        <f>MOD(Table13[[#This Row],[ZMW num]]+2, 4)</f>
        <v>1</v>
      </c>
      <c r="BF28" s="2" t="str">
        <f>Single2String(Table13[[#This Row],[t1'[0']]])</f>
        <v>00000000</v>
      </c>
      <c r="BG28" s="1" t="str">
        <f>Single2String(Table13[[#This Row],[dt'[0']]])</f>
        <v>00000000</v>
      </c>
      <c r="BH28" s="1" t="str">
        <f>Single2String(Table13[[#This Row],[t1'[1']]])</f>
        <v>00000000</v>
      </c>
      <c r="BI28" s="1" t="str">
        <f>Single2String(Table13[[#This Row],[dt'[1']]])</f>
        <v>00000000</v>
      </c>
      <c r="BJ28" s="1" t="str">
        <f>Single2String(Table13[[#This Row],[t1'[2']]])</f>
        <v>00000000</v>
      </c>
      <c r="BK28" s="1" t="str">
        <f>Single2String(Table13[[#This Row],[dt'[2']]])</f>
        <v>00000000</v>
      </c>
      <c r="BL28" s="1" t="str">
        <f>DEC2HEX(Table13[[#This Row],[ZMW num]], 6)</f>
        <v>000017</v>
      </c>
      <c r="BM28" s="1">
        <f>LEN(Table13[[#This Row],[DRAM data]])</f>
        <v>64</v>
      </c>
      <c r="BN2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0000000000000000000000000000000000000000000000003000100000001700</v>
      </c>
      <c r="CU28"/>
    </row>
    <row r="29" spans="1:99" x14ac:dyDescent="0.25">
      <c r="A29" t="str">
        <f>Single2String(Table13[[#This Row],[duration'[0']]])</f>
        <v>00000000</v>
      </c>
      <c r="B29" t="str">
        <f>Single2String(Table13[[#This Row],[duration'[1']]])</f>
        <v>00000000</v>
      </c>
      <c r="C29" t="str">
        <f>Single2String(Table13[[#This Row],[duration'[2']]])</f>
        <v>00000000</v>
      </c>
      <c r="D29" t="str">
        <f>INDEX(Table3[Hex], Table13[[#This Row],[int'[0']]]+1)</f>
        <v>00000000</v>
      </c>
      <c r="E29" t="str">
        <f>INDEX(Table3[Hex], Table13[[#This Row],[int'[1']]]+1)</f>
        <v>00000000</v>
      </c>
      <c r="F29" t="str">
        <f>INDEX(Table3[Hex], Table13[[#This Row],[int'[1']]]+1)</f>
        <v>00000000</v>
      </c>
      <c r="G29" t="str">
        <f>Single2String(Table13[[#This Row],[c ktrace]])</f>
        <v>00000000</v>
      </c>
      <c r="H29" t="str">
        <f>Single2String(Table13[[#This Row],[a ktrace]])</f>
        <v>00000000</v>
      </c>
      <c r="I29" t="str">
        <f>Single2String(Table13[[#This Row],[g ktrace]])</f>
        <v>00000000</v>
      </c>
      <c r="J29" t="str">
        <f>Single2String(Table13[[#This Row],[t ktrace]])</f>
        <v>00000000</v>
      </c>
      <c r="K29" s="3">
        <v>24</v>
      </c>
      <c r="L29">
        <f>SUM(Table13[[#This Row],[c ktrace'[2']]:[c ktrace'[0']]])</f>
        <v>0</v>
      </c>
      <c r="M29">
        <f>SUM(Table13[[#This Row],[a ktrace'[2']]:[a ktrace'[0']]])</f>
        <v>0</v>
      </c>
      <c r="N29">
        <f>SUM(Table13[[#This Row],[g ktrace'[2']]:[g ktrace'[0']]])</f>
        <v>0</v>
      </c>
      <c r="O29">
        <f>SUM(Table13[[#This Row],[t ktrace'[2']]:[t ktrace'[0']]])</f>
        <v>0</v>
      </c>
      <c r="P29">
        <f xml:space="preserve"> IF(Table13[[#This Row],[dye'[2']]]=3, Table13[[#This Row],[strength'[2']]], 0)</f>
        <v>0</v>
      </c>
      <c r="Q29">
        <f xml:space="preserve"> IF(Table13[[#This Row],[dye'[1']]]=3, Table13[[#This Row],[strength'[1']]], 0)</f>
        <v>0</v>
      </c>
      <c r="R29">
        <f xml:space="preserve"> IF(Table13[[#This Row],[dye'[0']]]=3, Table13[[#This Row],[strength'[0']]], 0)</f>
        <v>0</v>
      </c>
      <c r="S29">
        <f xml:space="preserve"> IF(Table13[[#This Row],[dye'[2']]]=2, Table13[[#This Row],[strength'[2']]], 0)</f>
        <v>0</v>
      </c>
      <c r="T29">
        <f xml:space="preserve"> IF(Table13[[#This Row],[dye'[1']]]=2, Table13[[#This Row],[strength'[1']]], 0)</f>
        <v>0</v>
      </c>
      <c r="U29">
        <f xml:space="preserve"> IF(Table13[[#This Row],[dye'[0']]]=2, Table13[[#This Row],[strength'[0']]], 0)</f>
        <v>0</v>
      </c>
      <c r="V29">
        <f xml:space="preserve"> IF(Table13[[#This Row],[dye'[2']]]=1, Table13[[#This Row],[strength'[2']]], 0)</f>
        <v>0</v>
      </c>
      <c r="W29">
        <f xml:space="preserve"> IF(Table13[[#This Row],[dye'[1']]]=1, Table13[[#This Row],[strength'[1']]], 0)</f>
        <v>0</v>
      </c>
      <c r="X29">
        <f xml:space="preserve"> IF(Table13[[#This Row],[dye'[0']]]=1, Table13[[#This Row],[strength'[0']]], 0)</f>
        <v>0</v>
      </c>
      <c r="Y29">
        <f xml:space="preserve"> IF(Table13[[#This Row],[dye'[2']]]=0, Table13[[#This Row],[strength'[2']]], 0)</f>
        <v>0</v>
      </c>
      <c r="Z29">
        <f xml:space="preserve"> IF(Table13[[#This Row],[dye'[1']]]=0, Table13[[#This Row],[strength'[1']]], 0)</f>
        <v>0</v>
      </c>
      <c r="AA29">
        <f xml:space="preserve"> IF(Table13[[#This Row],[dye'[0']]]=0, Table13[[#This Row],[strength'[0']]], 0)</f>
        <v>0</v>
      </c>
      <c r="AB29">
        <v>0</v>
      </c>
      <c r="AC29">
        <f>MAX($D$2, Table13[[#This Row],[t1'[0']]])</f>
        <v>0</v>
      </c>
      <c r="AD29">
        <v>0</v>
      </c>
      <c r="AE29">
        <f>Table13[[#This Row],[t1'[0']]]+Table13[[#This Row],[dt'[0']]]</f>
        <v>0</v>
      </c>
      <c r="AF29">
        <f>MIN($C$2, Table13[[#This Row],[tf'[0']]])</f>
        <v>0</v>
      </c>
      <c r="AG29">
        <f>Table13[[#This Row],[time2'[0']]]-Table13[[#This Row],[time1'[0']]]</f>
        <v>0</v>
      </c>
      <c r="AH29">
        <v>0</v>
      </c>
      <c r="AI29">
        <f xml:space="preserve"> INDEX(Table3[[#All],[Intensity]], Table13[[#This Row],[int'[0']]]+2)</f>
        <v>0</v>
      </c>
      <c r="AJ29">
        <f>Table13[[#This Row],[duration'[0']]]*Table13[[#This Row],[intensity'[0']]]</f>
        <v>0</v>
      </c>
      <c r="AK29">
        <f>MOD(Table13[[#This Row],[ZMW num]], 4)</f>
        <v>0</v>
      </c>
      <c r="AL29">
        <v>0</v>
      </c>
      <c r="AM29">
        <f>MAX($D$2, Table13[[#This Row],[t1'[1']]])</f>
        <v>0</v>
      </c>
      <c r="AN29">
        <v>0</v>
      </c>
      <c r="AO29">
        <f>Table13[[#This Row],[t1'[1']]]+Table13[[#This Row],[dt'[1']]]</f>
        <v>0</v>
      </c>
      <c r="AP29">
        <f>MIN($C$2, Table13[[#This Row],[tf'[1']]])</f>
        <v>0</v>
      </c>
      <c r="AQ29">
        <f>Table13[[#This Row],[time2'[1']]]-Table13[[#This Row],[time1'[1']]]</f>
        <v>0</v>
      </c>
      <c r="AR29">
        <v>0</v>
      </c>
      <c r="AS29">
        <f xml:space="preserve"> INDEX(Table3[[#All],[Intensity]], Table13[[#This Row],[int'[1']]]+2)</f>
        <v>0</v>
      </c>
      <c r="AT29">
        <f>Table13[[#This Row],[duration'[1']]]*Table13[[#This Row],[intensity'[1']]]</f>
        <v>0</v>
      </c>
      <c r="AU29">
        <f>MOD(Table13[[#This Row],[ZMW num]]+1, 4)</f>
        <v>1</v>
      </c>
      <c r="AV29">
        <v>0</v>
      </c>
      <c r="AW29">
        <f>MAX($D$2, Table13[[#This Row],[t1'[2']]])</f>
        <v>0</v>
      </c>
      <c r="AX29">
        <v>0</v>
      </c>
      <c r="AY29">
        <f>Table13[[#This Row],[t1'[2']]]+Table13[[#This Row],[dt'[2']]]</f>
        <v>0</v>
      </c>
      <c r="AZ29">
        <f>MIN($C$2, Table13[[#This Row],[tf'[2']]])</f>
        <v>0</v>
      </c>
      <c r="BA29">
        <f>Table13[[#This Row],[time2'[2']]]-Table13[[#This Row],[time1'[2']]]</f>
        <v>0</v>
      </c>
      <c r="BB29">
        <v>0</v>
      </c>
      <c r="BC29">
        <f xml:space="preserve"> INDEX(Table3[[#All],[Intensity]], Table13[[#This Row],[int'[2']]]+2)</f>
        <v>0</v>
      </c>
      <c r="BD29">
        <f>Table13[[#This Row],[duration'[2']]]*Table13[[#This Row],[intensity'[2']]]</f>
        <v>0</v>
      </c>
      <c r="BE29">
        <f>MOD(Table13[[#This Row],[ZMW num]]+2, 4)</f>
        <v>2</v>
      </c>
      <c r="BF29" s="2" t="str">
        <f>Single2String(Table13[[#This Row],[t1'[0']]])</f>
        <v>00000000</v>
      </c>
      <c r="BG29" s="1" t="str">
        <f>Single2String(Table13[[#This Row],[dt'[0']]])</f>
        <v>00000000</v>
      </c>
      <c r="BH29" s="1" t="str">
        <f>Single2String(Table13[[#This Row],[t1'[1']]])</f>
        <v>00000000</v>
      </c>
      <c r="BI29" s="1" t="str">
        <f>Single2String(Table13[[#This Row],[dt'[1']]])</f>
        <v>00000000</v>
      </c>
      <c r="BJ29" s="1" t="str">
        <f>Single2String(Table13[[#This Row],[t1'[2']]])</f>
        <v>00000000</v>
      </c>
      <c r="BK29" s="1" t="str">
        <f>Single2String(Table13[[#This Row],[dt'[2']]])</f>
        <v>00000000</v>
      </c>
      <c r="BL29" s="1" t="str">
        <f>DEC2HEX(Table13[[#This Row],[ZMW num]], 6)</f>
        <v>000018</v>
      </c>
      <c r="BM29" s="1">
        <f>LEN(Table13[[#This Row],[DRAM data]])</f>
        <v>64</v>
      </c>
      <c r="BN2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0000000000000000000000000000000000000000000000000010200000001800</v>
      </c>
      <c r="CU29"/>
    </row>
    <row r="30" spans="1:99" x14ac:dyDescent="0.25">
      <c r="A30" t="str">
        <f>Single2String(Table13[[#This Row],[duration'[0']]])</f>
        <v>00000000</v>
      </c>
      <c r="B30" t="str">
        <f>Single2String(Table13[[#This Row],[duration'[1']]])</f>
        <v>00000000</v>
      </c>
      <c r="C30" t="str">
        <f>Single2String(Table13[[#This Row],[duration'[2']]])</f>
        <v>00000000</v>
      </c>
      <c r="D30" t="str">
        <f>INDEX(Table3[Hex], Table13[[#This Row],[int'[0']]]+1)</f>
        <v>00000000</v>
      </c>
      <c r="E30" t="str">
        <f>INDEX(Table3[Hex], Table13[[#This Row],[int'[1']]]+1)</f>
        <v>00000000</v>
      </c>
      <c r="F30" t="str">
        <f>INDEX(Table3[Hex], Table13[[#This Row],[int'[1']]]+1)</f>
        <v>00000000</v>
      </c>
      <c r="G30" t="str">
        <f>Single2String(Table13[[#This Row],[c ktrace]])</f>
        <v>00000000</v>
      </c>
      <c r="H30" t="str">
        <f>Single2String(Table13[[#This Row],[a ktrace]])</f>
        <v>00000000</v>
      </c>
      <c r="I30" t="str">
        <f>Single2String(Table13[[#This Row],[g ktrace]])</f>
        <v>00000000</v>
      </c>
      <c r="J30" t="str">
        <f>Single2String(Table13[[#This Row],[t ktrace]])</f>
        <v>00000000</v>
      </c>
      <c r="K30" s="3">
        <v>25</v>
      </c>
      <c r="L30">
        <f>SUM(Table13[[#This Row],[c ktrace'[2']]:[c ktrace'[0']]])</f>
        <v>0</v>
      </c>
      <c r="M30">
        <f>SUM(Table13[[#This Row],[a ktrace'[2']]:[a ktrace'[0']]])</f>
        <v>0</v>
      </c>
      <c r="N30">
        <f>SUM(Table13[[#This Row],[g ktrace'[2']]:[g ktrace'[0']]])</f>
        <v>0</v>
      </c>
      <c r="O30">
        <f>SUM(Table13[[#This Row],[t ktrace'[2']]:[t ktrace'[0']]])</f>
        <v>0</v>
      </c>
      <c r="P30">
        <f xml:space="preserve"> IF(Table13[[#This Row],[dye'[2']]]=3, Table13[[#This Row],[strength'[2']]], 0)</f>
        <v>0</v>
      </c>
      <c r="Q30">
        <f xml:space="preserve"> IF(Table13[[#This Row],[dye'[1']]]=3, Table13[[#This Row],[strength'[1']]], 0)</f>
        <v>0</v>
      </c>
      <c r="R30">
        <f xml:space="preserve"> IF(Table13[[#This Row],[dye'[0']]]=3, Table13[[#This Row],[strength'[0']]], 0)</f>
        <v>0</v>
      </c>
      <c r="S30">
        <f xml:space="preserve"> IF(Table13[[#This Row],[dye'[2']]]=2, Table13[[#This Row],[strength'[2']]], 0)</f>
        <v>0</v>
      </c>
      <c r="T30">
        <f xml:space="preserve"> IF(Table13[[#This Row],[dye'[1']]]=2, Table13[[#This Row],[strength'[1']]], 0)</f>
        <v>0</v>
      </c>
      <c r="U30">
        <f xml:space="preserve"> IF(Table13[[#This Row],[dye'[0']]]=2, Table13[[#This Row],[strength'[0']]], 0)</f>
        <v>0</v>
      </c>
      <c r="V30">
        <f xml:space="preserve"> IF(Table13[[#This Row],[dye'[2']]]=1, Table13[[#This Row],[strength'[2']]], 0)</f>
        <v>0</v>
      </c>
      <c r="W30">
        <f xml:space="preserve"> IF(Table13[[#This Row],[dye'[1']]]=1, Table13[[#This Row],[strength'[1']]], 0)</f>
        <v>0</v>
      </c>
      <c r="X30">
        <f xml:space="preserve"> IF(Table13[[#This Row],[dye'[0']]]=1, Table13[[#This Row],[strength'[0']]], 0)</f>
        <v>0</v>
      </c>
      <c r="Y30">
        <f xml:space="preserve"> IF(Table13[[#This Row],[dye'[2']]]=0, Table13[[#This Row],[strength'[2']]], 0)</f>
        <v>0</v>
      </c>
      <c r="Z30">
        <f xml:space="preserve"> IF(Table13[[#This Row],[dye'[1']]]=0, Table13[[#This Row],[strength'[1']]], 0)</f>
        <v>0</v>
      </c>
      <c r="AA30">
        <f xml:space="preserve"> IF(Table13[[#This Row],[dye'[0']]]=0, Table13[[#This Row],[strength'[0']]], 0)</f>
        <v>0</v>
      </c>
      <c r="AB30">
        <v>0</v>
      </c>
      <c r="AC30">
        <f>MAX($D$2, Table13[[#This Row],[t1'[0']]])</f>
        <v>0</v>
      </c>
      <c r="AD30">
        <v>0</v>
      </c>
      <c r="AE30">
        <f>Table13[[#This Row],[t1'[0']]]+Table13[[#This Row],[dt'[0']]]</f>
        <v>0</v>
      </c>
      <c r="AF30">
        <f>MIN($C$2, Table13[[#This Row],[tf'[0']]])</f>
        <v>0</v>
      </c>
      <c r="AG30">
        <f>Table13[[#This Row],[time2'[0']]]-Table13[[#This Row],[time1'[0']]]</f>
        <v>0</v>
      </c>
      <c r="AH30">
        <v>0</v>
      </c>
      <c r="AI30">
        <f xml:space="preserve"> INDEX(Table3[[#All],[Intensity]], Table13[[#This Row],[int'[0']]]+2)</f>
        <v>0</v>
      </c>
      <c r="AJ30">
        <f>Table13[[#This Row],[duration'[0']]]*Table13[[#This Row],[intensity'[0']]]</f>
        <v>0</v>
      </c>
      <c r="AK30">
        <f>MOD(Table13[[#This Row],[ZMW num]], 4)</f>
        <v>1</v>
      </c>
      <c r="AL30">
        <v>0</v>
      </c>
      <c r="AM30">
        <f>MAX($D$2, Table13[[#This Row],[t1'[1']]])</f>
        <v>0</v>
      </c>
      <c r="AN30">
        <v>0</v>
      </c>
      <c r="AO30">
        <f>Table13[[#This Row],[t1'[1']]]+Table13[[#This Row],[dt'[1']]]</f>
        <v>0</v>
      </c>
      <c r="AP30">
        <f>MIN($C$2, Table13[[#This Row],[tf'[1']]])</f>
        <v>0</v>
      </c>
      <c r="AQ30">
        <f>Table13[[#This Row],[time2'[1']]]-Table13[[#This Row],[time1'[1']]]</f>
        <v>0</v>
      </c>
      <c r="AR30">
        <v>0</v>
      </c>
      <c r="AS30">
        <f xml:space="preserve"> INDEX(Table3[[#All],[Intensity]], Table13[[#This Row],[int'[1']]]+2)</f>
        <v>0</v>
      </c>
      <c r="AT30">
        <f>Table13[[#This Row],[duration'[1']]]*Table13[[#This Row],[intensity'[1']]]</f>
        <v>0</v>
      </c>
      <c r="AU30">
        <f>MOD(Table13[[#This Row],[ZMW num]]+1, 4)</f>
        <v>2</v>
      </c>
      <c r="AV30">
        <v>0</v>
      </c>
      <c r="AW30">
        <f>MAX($D$2, Table13[[#This Row],[t1'[2']]])</f>
        <v>0</v>
      </c>
      <c r="AX30">
        <v>0</v>
      </c>
      <c r="AY30">
        <f>Table13[[#This Row],[t1'[2']]]+Table13[[#This Row],[dt'[2']]]</f>
        <v>0</v>
      </c>
      <c r="AZ30">
        <f>MIN($C$2, Table13[[#This Row],[tf'[2']]])</f>
        <v>0</v>
      </c>
      <c r="BA30">
        <f>Table13[[#This Row],[time2'[2']]]-Table13[[#This Row],[time1'[2']]]</f>
        <v>0</v>
      </c>
      <c r="BB30">
        <v>0</v>
      </c>
      <c r="BC30">
        <f xml:space="preserve"> INDEX(Table3[[#All],[Intensity]], Table13[[#This Row],[int'[2']]]+2)</f>
        <v>0</v>
      </c>
      <c r="BD30">
        <f>Table13[[#This Row],[duration'[2']]]*Table13[[#This Row],[intensity'[2']]]</f>
        <v>0</v>
      </c>
      <c r="BE30">
        <f>MOD(Table13[[#This Row],[ZMW num]]+2, 4)</f>
        <v>3</v>
      </c>
      <c r="BF30" s="2" t="str">
        <f>Single2String(Table13[[#This Row],[t1'[0']]])</f>
        <v>00000000</v>
      </c>
      <c r="BG30" s="1" t="str">
        <f>Single2String(Table13[[#This Row],[dt'[0']]])</f>
        <v>00000000</v>
      </c>
      <c r="BH30" s="1" t="str">
        <f>Single2String(Table13[[#This Row],[t1'[1']]])</f>
        <v>00000000</v>
      </c>
      <c r="BI30" s="1" t="str">
        <f>Single2String(Table13[[#This Row],[dt'[1']]])</f>
        <v>00000000</v>
      </c>
      <c r="BJ30" s="1" t="str">
        <f>Single2String(Table13[[#This Row],[t1'[2']]])</f>
        <v>00000000</v>
      </c>
      <c r="BK30" s="1" t="str">
        <f>Single2String(Table13[[#This Row],[dt'[2']]])</f>
        <v>00000000</v>
      </c>
      <c r="BL30" s="1" t="str">
        <f>DEC2HEX(Table13[[#This Row],[ZMW num]], 6)</f>
        <v>000019</v>
      </c>
      <c r="BM30" s="1">
        <f>LEN(Table13[[#This Row],[DRAM data]])</f>
        <v>64</v>
      </c>
      <c r="BN3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0000000000000000000000000000000000000000000000001020300000001900</v>
      </c>
      <c r="CU30"/>
    </row>
    <row r="31" spans="1:99" x14ac:dyDescent="0.25">
      <c r="A31" t="str">
        <f>Single2String(Table13[[#This Row],[duration'[0']]])</f>
        <v>00000000</v>
      </c>
      <c r="B31" t="str">
        <f>Single2String(Table13[[#This Row],[duration'[1']]])</f>
        <v>00000000</v>
      </c>
      <c r="C31" t="str">
        <f>Single2String(Table13[[#This Row],[duration'[2']]])</f>
        <v>00000000</v>
      </c>
      <c r="D31" t="str">
        <f>INDEX(Table3[Hex], Table13[[#This Row],[int'[0']]]+1)</f>
        <v>00000000</v>
      </c>
      <c r="E31" t="str">
        <f>INDEX(Table3[Hex], Table13[[#This Row],[int'[1']]]+1)</f>
        <v>00000000</v>
      </c>
      <c r="F31" t="str">
        <f>INDEX(Table3[Hex], Table13[[#This Row],[int'[1']]]+1)</f>
        <v>00000000</v>
      </c>
      <c r="G31" t="str">
        <f>Single2String(Table13[[#This Row],[c ktrace]])</f>
        <v>00000000</v>
      </c>
      <c r="H31" t="str">
        <f>Single2String(Table13[[#This Row],[a ktrace]])</f>
        <v>00000000</v>
      </c>
      <c r="I31" t="str">
        <f>Single2String(Table13[[#This Row],[g ktrace]])</f>
        <v>00000000</v>
      </c>
      <c r="J31" t="str">
        <f>Single2String(Table13[[#This Row],[t ktrace]])</f>
        <v>00000000</v>
      </c>
      <c r="K31" s="3">
        <v>26</v>
      </c>
      <c r="L31">
        <f>SUM(Table13[[#This Row],[c ktrace'[2']]:[c ktrace'[0']]])</f>
        <v>0</v>
      </c>
      <c r="M31">
        <f>SUM(Table13[[#This Row],[a ktrace'[2']]:[a ktrace'[0']]])</f>
        <v>0</v>
      </c>
      <c r="N31">
        <f>SUM(Table13[[#This Row],[g ktrace'[2']]:[g ktrace'[0']]])</f>
        <v>0</v>
      </c>
      <c r="O31">
        <f>SUM(Table13[[#This Row],[t ktrace'[2']]:[t ktrace'[0']]])</f>
        <v>0</v>
      </c>
      <c r="P31">
        <f xml:space="preserve"> IF(Table13[[#This Row],[dye'[2']]]=3, Table13[[#This Row],[strength'[2']]], 0)</f>
        <v>0</v>
      </c>
      <c r="Q31">
        <f xml:space="preserve"> IF(Table13[[#This Row],[dye'[1']]]=3, Table13[[#This Row],[strength'[1']]], 0)</f>
        <v>0</v>
      </c>
      <c r="R31">
        <f xml:space="preserve"> IF(Table13[[#This Row],[dye'[0']]]=3, Table13[[#This Row],[strength'[0']]], 0)</f>
        <v>0</v>
      </c>
      <c r="S31">
        <f xml:space="preserve"> IF(Table13[[#This Row],[dye'[2']]]=2, Table13[[#This Row],[strength'[2']]], 0)</f>
        <v>0</v>
      </c>
      <c r="T31">
        <f xml:space="preserve"> IF(Table13[[#This Row],[dye'[1']]]=2, Table13[[#This Row],[strength'[1']]], 0)</f>
        <v>0</v>
      </c>
      <c r="U31">
        <f xml:space="preserve"> IF(Table13[[#This Row],[dye'[0']]]=2, Table13[[#This Row],[strength'[0']]], 0)</f>
        <v>0</v>
      </c>
      <c r="V31">
        <f xml:space="preserve"> IF(Table13[[#This Row],[dye'[2']]]=1, Table13[[#This Row],[strength'[2']]], 0)</f>
        <v>0</v>
      </c>
      <c r="W31">
        <f xml:space="preserve"> IF(Table13[[#This Row],[dye'[1']]]=1, Table13[[#This Row],[strength'[1']]], 0)</f>
        <v>0</v>
      </c>
      <c r="X31">
        <f xml:space="preserve"> IF(Table13[[#This Row],[dye'[0']]]=1, Table13[[#This Row],[strength'[0']]], 0)</f>
        <v>0</v>
      </c>
      <c r="Y31">
        <f xml:space="preserve"> IF(Table13[[#This Row],[dye'[2']]]=0, Table13[[#This Row],[strength'[2']]], 0)</f>
        <v>0</v>
      </c>
      <c r="Z31">
        <f xml:space="preserve"> IF(Table13[[#This Row],[dye'[1']]]=0, Table13[[#This Row],[strength'[1']]], 0)</f>
        <v>0</v>
      </c>
      <c r="AA31">
        <f xml:space="preserve"> IF(Table13[[#This Row],[dye'[0']]]=0, Table13[[#This Row],[strength'[0']]], 0)</f>
        <v>0</v>
      </c>
      <c r="AB31">
        <v>0</v>
      </c>
      <c r="AC31">
        <f>MAX($D$2, Table13[[#This Row],[t1'[0']]])</f>
        <v>0</v>
      </c>
      <c r="AD31">
        <v>0</v>
      </c>
      <c r="AE31">
        <f>Table13[[#This Row],[t1'[0']]]+Table13[[#This Row],[dt'[0']]]</f>
        <v>0</v>
      </c>
      <c r="AF31">
        <f>MIN($C$2, Table13[[#This Row],[tf'[0']]])</f>
        <v>0</v>
      </c>
      <c r="AG31">
        <f>Table13[[#This Row],[time2'[0']]]-Table13[[#This Row],[time1'[0']]]</f>
        <v>0</v>
      </c>
      <c r="AH31">
        <v>0</v>
      </c>
      <c r="AI31">
        <f xml:space="preserve"> INDEX(Table3[[#All],[Intensity]], Table13[[#This Row],[int'[0']]]+2)</f>
        <v>0</v>
      </c>
      <c r="AJ31">
        <f>Table13[[#This Row],[duration'[0']]]*Table13[[#This Row],[intensity'[0']]]</f>
        <v>0</v>
      </c>
      <c r="AK31">
        <f>MOD(Table13[[#This Row],[ZMW num]], 4)</f>
        <v>2</v>
      </c>
      <c r="AL31">
        <v>0</v>
      </c>
      <c r="AM31">
        <f>MAX($D$2, Table13[[#This Row],[t1'[1']]])</f>
        <v>0</v>
      </c>
      <c r="AN31">
        <v>0</v>
      </c>
      <c r="AO31">
        <f>Table13[[#This Row],[t1'[1']]]+Table13[[#This Row],[dt'[1']]]</f>
        <v>0</v>
      </c>
      <c r="AP31">
        <f>MIN($C$2, Table13[[#This Row],[tf'[1']]])</f>
        <v>0</v>
      </c>
      <c r="AQ31">
        <f>Table13[[#This Row],[time2'[1']]]-Table13[[#This Row],[time1'[1']]]</f>
        <v>0</v>
      </c>
      <c r="AR31">
        <v>0</v>
      </c>
      <c r="AS31">
        <f xml:space="preserve"> INDEX(Table3[[#All],[Intensity]], Table13[[#This Row],[int'[1']]]+2)</f>
        <v>0</v>
      </c>
      <c r="AT31">
        <f>Table13[[#This Row],[duration'[1']]]*Table13[[#This Row],[intensity'[1']]]</f>
        <v>0</v>
      </c>
      <c r="AU31">
        <f>MOD(Table13[[#This Row],[ZMW num]]+1, 4)</f>
        <v>3</v>
      </c>
      <c r="AV31">
        <v>0</v>
      </c>
      <c r="AW31">
        <f>MAX($D$2, Table13[[#This Row],[t1'[2']]])</f>
        <v>0</v>
      </c>
      <c r="AX31">
        <v>0</v>
      </c>
      <c r="AY31">
        <f>Table13[[#This Row],[t1'[2']]]+Table13[[#This Row],[dt'[2']]]</f>
        <v>0</v>
      </c>
      <c r="AZ31">
        <f>MIN($C$2, Table13[[#This Row],[tf'[2']]])</f>
        <v>0</v>
      </c>
      <c r="BA31">
        <f>Table13[[#This Row],[time2'[2']]]-Table13[[#This Row],[time1'[2']]]</f>
        <v>0</v>
      </c>
      <c r="BB31">
        <v>0</v>
      </c>
      <c r="BC31">
        <f xml:space="preserve"> INDEX(Table3[[#All],[Intensity]], Table13[[#This Row],[int'[2']]]+2)</f>
        <v>0</v>
      </c>
      <c r="BD31">
        <f>Table13[[#This Row],[duration'[2']]]*Table13[[#This Row],[intensity'[2']]]</f>
        <v>0</v>
      </c>
      <c r="BE31">
        <f>MOD(Table13[[#This Row],[ZMW num]]+2, 4)</f>
        <v>0</v>
      </c>
      <c r="BF31" s="2" t="str">
        <f>Single2String(Table13[[#This Row],[t1'[0']]])</f>
        <v>00000000</v>
      </c>
      <c r="BG31" s="1" t="str">
        <f>Single2String(Table13[[#This Row],[dt'[0']]])</f>
        <v>00000000</v>
      </c>
      <c r="BH31" s="1" t="str">
        <f>Single2String(Table13[[#This Row],[t1'[1']]])</f>
        <v>00000000</v>
      </c>
      <c r="BI31" s="1" t="str">
        <f>Single2String(Table13[[#This Row],[dt'[1']]])</f>
        <v>00000000</v>
      </c>
      <c r="BJ31" s="1" t="str">
        <f>Single2String(Table13[[#This Row],[t1'[2']]])</f>
        <v>00000000</v>
      </c>
      <c r="BK31" s="1" t="str">
        <f>Single2String(Table13[[#This Row],[dt'[2']]])</f>
        <v>00000000</v>
      </c>
      <c r="BL31" s="1" t="str">
        <f>DEC2HEX(Table13[[#This Row],[ZMW num]], 6)</f>
        <v>00001A</v>
      </c>
      <c r="BM31" s="1">
        <f>LEN(Table13[[#This Row],[DRAM data]])</f>
        <v>64</v>
      </c>
      <c r="BN3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0000000000000000000000000000000000000000000000002030000000001A00</v>
      </c>
      <c r="CU31"/>
    </row>
    <row r="32" spans="1:99" x14ac:dyDescent="0.25">
      <c r="A32" t="str">
        <f>Single2String(Table13[[#This Row],[duration'[0']]])</f>
        <v>00000000</v>
      </c>
      <c r="B32" t="str">
        <f>Single2String(Table13[[#This Row],[duration'[1']]])</f>
        <v>00000000</v>
      </c>
      <c r="C32" t="str">
        <f>Single2String(Table13[[#This Row],[duration'[2']]])</f>
        <v>00000000</v>
      </c>
      <c r="D32" t="str">
        <f>INDEX(Table3[Hex], Table13[[#This Row],[int'[0']]]+1)</f>
        <v>00000000</v>
      </c>
      <c r="E32" t="str">
        <f>INDEX(Table3[Hex], Table13[[#This Row],[int'[1']]]+1)</f>
        <v>00000000</v>
      </c>
      <c r="F32" t="str">
        <f>INDEX(Table3[Hex], Table13[[#This Row],[int'[1']]]+1)</f>
        <v>00000000</v>
      </c>
      <c r="G32" t="str">
        <f>Single2String(Table13[[#This Row],[c ktrace]])</f>
        <v>00000000</v>
      </c>
      <c r="H32" t="str">
        <f>Single2String(Table13[[#This Row],[a ktrace]])</f>
        <v>00000000</v>
      </c>
      <c r="I32" t="str">
        <f>Single2String(Table13[[#This Row],[g ktrace]])</f>
        <v>00000000</v>
      </c>
      <c r="J32" t="str">
        <f>Single2String(Table13[[#This Row],[t ktrace]])</f>
        <v>00000000</v>
      </c>
      <c r="K32" s="3">
        <v>27</v>
      </c>
      <c r="L32">
        <f>SUM(Table13[[#This Row],[c ktrace'[2']]:[c ktrace'[0']]])</f>
        <v>0</v>
      </c>
      <c r="M32">
        <f>SUM(Table13[[#This Row],[a ktrace'[2']]:[a ktrace'[0']]])</f>
        <v>0</v>
      </c>
      <c r="N32">
        <f>SUM(Table13[[#This Row],[g ktrace'[2']]:[g ktrace'[0']]])</f>
        <v>0</v>
      </c>
      <c r="O32">
        <f>SUM(Table13[[#This Row],[t ktrace'[2']]:[t ktrace'[0']]])</f>
        <v>0</v>
      </c>
      <c r="P32">
        <f xml:space="preserve"> IF(Table13[[#This Row],[dye'[2']]]=3, Table13[[#This Row],[strength'[2']]], 0)</f>
        <v>0</v>
      </c>
      <c r="Q32">
        <f xml:space="preserve"> IF(Table13[[#This Row],[dye'[1']]]=3, Table13[[#This Row],[strength'[1']]], 0)</f>
        <v>0</v>
      </c>
      <c r="R32">
        <f xml:space="preserve"> IF(Table13[[#This Row],[dye'[0']]]=3, Table13[[#This Row],[strength'[0']]], 0)</f>
        <v>0</v>
      </c>
      <c r="S32">
        <f xml:space="preserve"> IF(Table13[[#This Row],[dye'[2']]]=2, Table13[[#This Row],[strength'[2']]], 0)</f>
        <v>0</v>
      </c>
      <c r="T32">
        <f xml:space="preserve"> IF(Table13[[#This Row],[dye'[1']]]=2, Table13[[#This Row],[strength'[1']]], 0)</f>
        <v>0</v>
      </c>
      <c r="U32">
        <f xml:space="preserve"> IF(Table13[[#This Row],[dye'[0']]]=2, Table13[[#This Row],[strength'[0']]], 0)</f>
        <v>0</v>
      </c>
      <c r="V32">
        <f xml:space="preserve"> IF(Table13[[#This Row],[dye'[2']]]=1, Table13[[#This Row],[strength'[2']]], 0)</f>
        <v>0</v>
      </c>
      <c r="W32">
        <f xml:space="preserve"> IF(Table13[[#This Row],[dye'[1']]]=1, Table13[[#This Row],[strength'[1']]], 0)</f>
        <v>0</v>
      </c>
      <c r="X32">
        <f xml:space="preserve"> IF(Table13[[#This Row],[dye'[0']]]=1, Table13[[#This Row],[strength'[0']]], 0)</f>
        <v>0</v>
      </c>
      <c r="Y32">
        <f xml:space="preserve"> IF(Table13[[#This Row],[dye'[2']]]=0, Table13[[#This Row],[strength'[2']]], 0)</f>
        <v>0</v>
      </c>
      <c r="Z32">
        <f xml:space="preserve"> IF(Table13[[#This Row],[dye'[1']]]=0, Table13[[#This Row],[strength'[1']]], 0)</f>
        <v>0</v>
      </c>
      <c r="AA32">
        <f xml:space="preserve"> IF(Table13[[#This Row],[dye'[0']]]=0, Table13[[#This Row],[strength'[0']]], 0)</f>
        <v>0</v>
      </c>
      <c r="AB32">
        <v>0</v>
      </c>
      <c r="AC32">
        <f>MAX($D$2, Table13[[#This Row],[t1'[0']]])</f>
        <v>0</v>
      </c>
      <c r="AD32">
        <v>0</v>
      </c>
      <c r="AE32">
        <f>Table13[[#This Row],[t1'[0']]]+Table13[[#This Row],[dt'[0']]]</f>
        <v>0</v>
      </c>
      <c r="AF32">
        <f>MIN($C$2, Table13[[#This Row],[tf'[0']]])</f>
        <v>0</v>
      </c>
      <c r="AG32">
        <f>Table13[[#This Row],[time2'[0']]]-Table13[[#This Row],[time1'[0']]]</f>
        <v>0</v>
      </c>
      <c r="AH32">
        <v>0</v>
      </c>
      <c r="AI32">
        <f xml:space="preserve"> INDEX(Table3[[#All],[Intensity]], Table13[[#This Row],[int'[0']]]+2)</f>
        <v>0</v>
      </c>
      <c r="AJ32">
        <f>Table13[[#This Row],[duration'[0']]]*Table13[[#This Row],[intensity'[0']]]</f>
        <v>0</v>
      </c>
      <c r="AK32">
        <f>MOD(Table13[[#This Row],[ZMW num]], 4)</f>
        <v>3</v>
      </c>
      <c r="AL32">
        <v>0</v>
      </c>
      <c r="AM32">
        <f>MAX($D$2, Table13[[#This Row],[t1'[1']]])</f>
        <v>0</v>
      </c>
      <c r="AN32">
        <v>0</v>
      </c>
      <c r="AO32">
        <f>Table13[[#This Row],[t1'[1']]]+Table13[[#This Row],[dt'[1']]]</f>
        <v>0</v>
      </c>
      <c r="AP32">
        <f>MIN($C$2, Table13[[#This Row],[tf'[1']]])</f>
        <v>0</v>
      </c>
      <c r="AQ32">
        <f>Table13[[#This Row],[time2'[1']]]-Table13[[#This Row],[time1'[1']]]</f>
        <v>0</v>
      </c>
      <c r="AR32">
        <v>0</v>
      </c>
      <c r="AS32">
        <f xml:space="preserve"> INDEX(Table3[[#All],[Intensity]], Table13[[#This Row],[int'[1']]]+2)</f>
        <v>0</v>
      </c>
      <c r="AT32">
        <f>Table13[[#This Row],[duration'[1']]]*Table13[[#This Row],[intensity'[1']]]</f>
        <v>0</v>
      </c>
      <c r="AU32">
        <f>MOD(Table13[[#This Row],[ZMW num]]+1, 4)</f>
        <v>0</v>
      </c>
      <c r="AV32">
        <v>0</v>
      </c>
      <c r="AW32">
        <f>MAX($D$2, Table13[[#This Row],[t1'[2']]])</f>
        <v>0</v>
      </c>
      <c r="AX32">
        <v>0</v>
      </c>
      <c r="AY32">
        <f>Table13[[#This Row],[t1'[2']]]+Table13[[#This Row],[dt'[2']]]</f>
        <v>0</v>
      </c>
      <c r="AZ32">
        <f>MIN($C$2, Table13[[#This Row],[tf'[2']]])</f>
        <v>0</v>
      </c>
      <c r="BA32">
        <f>Table13[[#This Row],[time2'[2']]]-Table13[[#This Row],[time1'[2']]]</f>
        <v>0</v>
      </c>
      <c r="BB32">
        <v>0</v>
      </c>
      <c r="BC32">
        <f xml:space="preserve"> INDEX(Table3[[#All],[Intensity]], Table13[[#This Row],[int'[2']]]+2)</f>
        <v>0</v>
      </c>
      <c r="BD32">
        <f>Table13[[#This Row],[duration'[2']]]*Table13[[#This Row],[intensity'[2']]]</f>
        <v>0</v>
      </c>
      <c r="BE32">
        <f>MOD(Table13[[#This Row],[ZMW num]]+2, 4)</f>
        <v>1</v>
      </c>
      <c r="BF32" s="2" t="str">
        <f>Single2String(Table13[[#This Row],[t1'[0']]])</f>
        <v>00000000</v>
      </c>
      <c r="BG32" s="1" t="str">
        <f>Single2String(Table13[[#This Row],[dt'[0']]])</f>
        <v>00000000</v>
      </c>
      <c r="BH32" s="1" t="str">
        <f>Single2String(Table13[[#This Row],[t1'[1']]])</f>
        <v>00000000</v>
      </c>
      <c r="BI32" s="1" t="str">
        <f>Single2String(Table13[[#This Row],[dt'[1']]])</f>
        <v>00000000</v>
      </c>
      <c r="BJ32" s="1" t="str">
        <f>Single2String(Table13[[#This Row],[t1'[2']]])</f>
        <v>00000000</v>
      </c>
      <c r="BK32" s="1" t="str">
        <f>Single2String(Table13[[#This Row],[dt'[2']]])</f>
        <v>00000000</v>
      </c>
      <c r="BL32" s="1" t="str">
        <f>DEC2HEX(Table13[[#This Row],[ZMW num]], 6)</f>
        <v>00001B</v>
      </c>
      <c r="BM32" s="1">
        <f>LEN(Table13[[#This Row],[DRAM data]])</f>
        <v>64</v>
      </c>
      <c r="BN3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0000000000000000000000000000000000000000000000003000100000001B00</v>
      </c>
      <c r="CU32"/>
    </row>
    <row r="33" spans="1:99" x14ac:dyDescent="0.25">
      <c r="A33" t="str">
        <f>Single2String(Table13[[#This Row],[duration'[0']]])</f>
        <v>00000000</v>
      </c>
      <c r="B33" t="str">
        <f>Single2String(Table13[[#This Row],[duration'[1']]])</f>
        <v>00000000</v>
      </c>
      <c r="C33" t="str">
        <f>Single2String(Table13[[#This Row],[duration'[2']]])</f>
        <v>00000000</v>
      </c>
      <c r="D33" t="str">
        <f>INDEX(Table3[Hex], Table13[[#This Row],[int'[0']]]+1)</f>
        <v>00000000</v>
      </c>
      <c r="E33" t="str">
        <f>INDEX(Table3[Hex], Table13[[#This Row],[int'[1']]]+1)</f>
        <v>00000000</v>
      </c>
      <c r="F33" t="str">
        <f>INDEX(Table3[Hex], Table13[[#This Row],[int'[1']]]+1)</f>
        <v>00000000</v>
      </c>
      <c r="G33" t="str">
        <f>Single2String(Table13[[#This Row],[c ktrace]])</f>
        <v>00000000</v>
      </c>
      <c r="H33" t="str">
        <f>Single2String(Table13[[#This Row],[a ktrace]])</f>
        <v>00000000</v>
      </c>
      <c r="I33" t="str">
        <f>Single2String(Table13[[#This Row],[g ktrace]])</f>
        <v>00000000</v>
      </c>
      <c r="J33" t="str">
        <f>Single2String(Table13[[#This Row],[t ktrace]])</f>
        <v>00000000</v>
      </c>
      <c r="K33" s="3">
        <v>28</v>
      </c>
      <c r="L33">
        <f>SUM(Table13[[#This Row],[c ktrace'[2']]:[c ktrace'[0']]])</f>
        <v>0</v>
      </c>
      <c r="M33">
        <f>SUM(Table13[[#This Row],[a ktrace'[2']]:[a ktrace'[0']]])</f>
        <v>0</v>
      </c>
      <c r="N33">
        <f>SUM(Table13[[#This Row],[g ktrace'[2']]:[g ktrace'[0']]])</f>
        <v>0</v>
      </c>
      <c r="O33">
        <f>SUM(Table13[[#This Row],[t ktrace'[2']]:[t ktrace'[0']]])</f>
        <v>0</v>
      </c>
      <c r="P33">
        <f xml:space="preserve"> IF(Table13[[#This Row],[dye'[2']]]=3, Table13[[#This Row],[strength'[2']]], 0)</f>
        <v>0</v>
      </c>
      <c r="Q33">
        <f xml:space="preserve"> IF(Table13[[#This Row],[dye'[1']]]=3, Table13[[#This Row],[strength'[1']]], 0)</f>
        <v>0</v>
      </c>
      <c r="R33">
        <f xml:space="preserve"> IF(Table13[[#This Row],[dye'[0']]]=3, Table13[[#This Row],[strength'[0']]], 0)</f>
        <v>0</v>
      </c>
      <c r="S33">
        <f xml:space="preserve"> IF(Table13[[#This Row],[dye'[2']]]=2, Table13[[#This Row],[strength'[2']]], 0)</f>
        <v>0</v>
      </c>
      <c r="T33">
        <f xml:space="preserve"> IF(Table13[[#This Row],[dye'[1']]]=2, Table13[[#This Row],[strength'[1']]], 0)</f>
        <v>0</v>
      </c>
      <c r="U33">
        <f xml:space="preserve"> IF(Table13[[#This Row],[dye'[0']]]=2, Table13[[#This Row],[strength'[0']]], 0)</f>
        <v>0</v>
      </c>
      <c r="V33">
        <f xml:space="preserve"> IF(Table13[[#This Row],[dye'[2']]]=1, Table13[[#This Row],[strength'[2']]], 0)</f>
        <v>0</v>
      </c>
      <c r="W33">
        <f xml:space="preserve"> IF(Table13[[#This Row],[dye'[1']]]=1, Table13[[#This Row],[strength'[1']]], 0)</f>
        <v>0</v>
      </c>
      <c r="X33">
        <f xml:space="preserve"> IF(Table13[[#This Row],[dye'[0']]]=1, Table13[[#This Row],[strength'[0']]], 0)</f>
        <v>0</v>
      </c>
      <c r="Y33">
        <f xml:space="preserve"> IF(Table13[[#This Row],[dye'[2']]]=0, Table13[[#This Row],[strength'[2']]], 0)</f>
        <v>0</v>
      </c>
      <c r="Z33">
        <f xml:space="preserve"> IF(Table13[[#This Row],[dye'[1']]]=0, Table13[[#This Row],[strength'[1']]], 0)</f>
        <v>0</v>
      </c>
      <c r="AA33">
        <f xml:space="preserve"> IF(Table13[[#This Row],[dye'[0']]]=0, Table13[[#This Row],[strength'[0']]], 0)</f>
        <v>0</v>
      </c>
      <c r="AB33">
        <v>0</v>
      </c>
      <c r="AC33">
        <f>MAX($D$2, Table13[[#This Row],[t1'[0']]])</f>
        <v>0</v>
      </c>
      <c r="AD33">
        <v>0</v>
      </c>
      <c r="AE33">
        <f>Table13[[#This Row],[t1'[0']]]+Table13[[#This Row],[dt'[0']]]</f>
        <v>0</v>
      </c>
      <c r="AF33">
        <f>MIN($C$2, Table13[[#This Row],[tf'[0']]])</f>
        <v>0</v>
      </c>
      <c r="AG33">
        <f>Table13[[#This Row],[time2'[0']]]-Table13[[#This Row],[time1'[0']]]</f>
        <v>0</v>
      </c>
      <c r="AH33">
        <v>0</v>
      </c>
      <c r="AI33">
        <f xml:space="preserve"> INDEX(Table3[[#All],[Intensity]], Table13[[#This Row],[int'[0']]]+2)</f>
        <v>0</v>
      </c>
      <c r="AJ33">
        <f>Table13[[#This Row],[duration'[0']]]*Table13[[#This Row],[intensity'[0']]]</f>
        <v>0</v>
      </c>
      <c r="AK33">
        <f>MOD(Table13[[#This Row],[ZMW num]], 4)</f>
        <v>0</v>
      </c>
      <c r="AL33">
        <v>0</v>
      </c>
      <c r="AM33">
        <f>MAX($D$2, Table13[[#This Row],[t1'[1']]])</f>
        <v>0</v>
      </c>
      <c r="AN33">
        <v>0</v>
      </c>
      <c r="AO33">
        <f>Table13[[#This Row],[t1'[1']]]+Table13[[#This Row],[dt'[1']]]</f>
        <v>0</v>
      </c>
      <c r="AP33">
        <f>MIN($C$2, Table13[[#This Row],[tf'[1']]])</f>
        <v>0</v>
      </c>
      <c r="AQ33">
        <f>Table13[[#This Row],[time2'[1']]]-Table13[[#This Row],[time1'[1']]]</f>
        <v>0</v>
      </c>
      <c r="AR33">
        <v>0</v>
      </c>
      <c r="AS33">
        <f xml:space="preserve"> INDEX(Table3[[#All],[Intensity]], Table13[[#This Row],[int'[1']]]+2)</f>
        <v>0</v>
      </c>
      <c r="AT33">
        <f>Table13[[#This Row],[duration'[1']]]*Table13[[#This Row],[intensity'[1']]]</f>
        <v>0</v>
      </c>
      <c r="AU33">
        <f>MOD(Table13[[#This Row],[ZMW num]]+1, 4)</f>
        <v>1</v>
      </c>
      <c r="AV33">
        <v>0</v>
      </c>
      <c r="AW33">
        <f>MAX($D$2, Table13[[#This Row],[t1'[2']]])</f>
        <v>0</v>
      </c>
      <c r="AX33">
        <v>0</v>
      </c>
      <c r="AY33">
        <f>Table13[[#This Row],[t1'[2']]]+Table13[[#This Row],[dt'[2']]]</f>
        <v>0</v>
      </c>
      <c r="AZ33">
        <f>MIN($C$2, Table13[[#This Row],[tf'[2']]])</f>
        <v>0</v>
      </c>
      <c r="BA33">
        <f>Table13[[#This Row],[time2'[2']]]-Table13[[#This Row],[time1'[2']]]</f>
        <v>0</v>
      </c>
      <c r="BB33">
        <v>0</v>
      </c>
      <c r="BC33">
        <f xml:space="preserve"> INDEX(Table3[[#All],[Intensity]], Table13[[#This Row],[int'[2']]]+2)</f>
        <v>0</v>
      </c>
      <c r="BD33">
        <f>Table13[[#This Row],[duration'[2']]]*Table13[[#This Row],[intensity'[2']]]</f>
        <v>0</v>
      </c>
      <c r="BE33">
        <f>MOD(Table13[[#This Row],[ZMW num]]+2, 4)</f>
        <v>2</v>
      </c>
      <c r="BF33" s="2" t="str">
        <f>Single2String(Table13[[#This Row],[t1'[0']]])</f>
        <v>00000000</v>
      </c>
      <c r="BG33" s="1" t="str">
        <f>Single2String(Table13[[#This Row],[dt'[0']]])</f>
        <v>00000000</v>
      </c>
      <c r="BH33" s="1" t="str">
        <f>Single2String(Table13[[#This Row],[t1'[1']]])</f>
        <v>00000000</v>
      </c>
      <c r="BI33" s="1" t="str">
        <f>Single2String(Table13[[#This Row],[dt'[1']]])</f>
        <v>00000000</v>
      </c>
      <c r="BJ33" s="1" t="str">
        <f>Single2String(Table13[[#This Row],[t1'[2']]])</f>
        <v>00000000</v>
      </c>
      <c r="BK33" s="1" t="str">
        <f>Single2String(Table13[[#This Row],[dt'[2']]])</f>
        <v>00000000</v>
      </c>
      <c r="BL33" s="1" t="str">
        <f>DEC2HEX(Table13[[#This Row],[ZMW num]], 6)</f>
        <v>00001C</v>
      </c>
      <c r="BM33" s="1">
        <f>LEN(Table13[[#This Row],[DRAM data]])</f>
        <v>64</v>
      </c>
      <c r="BN3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0000000000000000000000000000000000000000000000000010200000001C00</v>
      </c>
      <c r="CU33"/>
    </row>
    <row r="34" spans="1:99" x14ac:dyDescent="0.25">
      <c r="A34" t="str">
        <f>Single2String(Table13[[#This Row],[duration'[0']]])</f>
        <v>00000000</v>
      </c>
      <c r="B34" t="str">
        <f>Single2String(Table13[[#This Row],[duration'[1']]])</f>
        <v>00000000</v>
      </c>
      <c r="C34" t="str">
        <f>Single2String(Table13[[#This Row],[duration'[2']]])</f>
        <v>00000000</v>
      </c>
      <c r="D34" t="str">
        <f>INDEX(Table3[Hex], Table13[[#This Row],[int'[0']]]+1)</f>
        <v>00000000</v>
      </c>
      <c r="E34" t="str">
        <f>INDEX(Table3[Hex], Table13[[#This Row],[int'[1']]]+1)</f>
        <v>00000000</v>
      </c>
      <c r="F34" t="str">
        <f>INDEX(Table3[Hex], Table13[[#This Row],[int'[1']]]+1)</f>
        <v>00000000</v>
      </c>
      <c r="G34" t="str">
        <f>Single2String(Table13[[#This Row],[c ktrace]])</f>
        <v>00000000</v>
      </c>
      <c r="H34" t="str">
        <f>Single2String(Table13[[#This Row],[a ktrace]])</f>
        <v>00000000</v>
      </c>
      <c r="I34" t="str">
        <f>Single2String(Table13[[#This Row],[g ktrace]])</f>
        <v>00000000</v>
      </c>
      <c r="J34" t="str">
        <f>Single2String(Table13[[#This Row],[t ktrace]])</f>
        <v>00000000</v>
      </c>
      <c r="K34" s="3">
        <v>29</v>
      </c>
      <c r="L34">
        <f>SUM(Table13[[#This Row],[c ktrace'[2']]:[c ktrace'[0']]])</f>
        <v>0</v>
      </c>
      <c r="M34">
        <f>SUM(Table13[[#This Row],[a ktrace'[2']]:[a ktrace'[0']]])</f>
        <v>0</v>
      </c>
      <c r="N34">
        <f>SUM(Table13[[#This Row],[g ktrace'[2']]:[g ktrace'[0']]])</f>
        <v>0</v>
      </c>
      <c r="O34">
        <f>SUM(Table13[[#This Row],[t ktrace'[2']]:[t ktrace'[0']]])</f>
        <v>0</v>
      </c>
      <c r="P34">
        <f xml:space="preserve"> IF(Table13[[#This Row],[dye'[2']]]=3, Table13[[#This Row],[strength'[2']]], 0)</f>
        <v>0</v>
      </c>
      <c r="Q34">
        <f xml:space="preserve"> IF(Table13[[#This Row],[dye'[1']]]=3, Table13[[#This Row],[strength'[1']]], 0)</f>
        <v>0</v>
      </c>
      <c r="R34">
        <f xml:space="preserve"> IF(Table13[[#This Row],[dye'[0']]]=3, Table13[[#This Row],[strength'[0']]], 0)</f>
        <v>0</v>
      </c>
      <c r="S34">
        <f xml:space="preserve"> IF(Table13[[#This Row],[dye'[2']]]=2, Table13[[#This Row],[strength'[2']]], 0)</f>
        <v>0</v>
      </c>
      <c r="T34">
        <f xml:space="preserve"> IF(Table13[[#This Row],[dye'[1']]]=2, Table13[[#This Row],[strength'[1']]], 0)</f>
        <v>0</v>
      </c>
      <c r="U34">
        <f xml:space="preserve"> IF(Table13[[#This Row],[dye'[0']]]=2, Table13[[#This Row],[strength'[0']]], 0)</f>
        <v>0</v>
      </c>
      <c r="V34">
        <f xml:space="preserve"> IF(Table13[[#This Row],[dye'[2']]]=1, Table13[[#This Row],[strength'[2']]], 0)</f>
        <v>0</v>
      </c>
      <c r="W34">
        <f xml:space="preserve"> IF(Table13[[#This Row],[dye'[1']]]=1, Table13[[#This Row],[strength'[1']]], 0)</f>
        <v>0</v>
      </c>
      <c r="X34">
        <f xml:space="preserve"> IF(Table13[[#This Row],[dye'[0']]]=1, Table13[[#This Row],[strength'[0']]], 0)</f>
        <v>0</v>
      </c>
      <c r="Y34">
        <f xml:space="preserve"> IF(Table13[[#This Row],[dye'[2']]]=0, Table13[[#This Row],[strength'[2']]], 0)</f>
        <v>0</v>
      </c>
      <c r="Z34">
        <f xml:space="preserve"> IF(Table13[[#This Row],[dye'[1']]]=0, Table13[[#This Row],[strength'[1']]], 0)</f>
        <v>0</v>
      </c>
      <c r="AA34">
        <f xml:space="preserve"> IF(Table13[[#This Row],[dye'[0']]]=0, Table13[[#This Row],[strength'[0']]], 0)</f>
        <v>0</v>
      </c>
      <c r="AB34">
        <v>0</v>
      </c>
      <c r="AC34">
        <f>MAX($D$2, Table13[[#This Row],[t1'[0']]])</f>
        <v>0</v>
      </c>
      <c r="AD34">
        <v>0</v>
      </c>
      <c r="AE34">
        <f>Table13[[#This Row],[t1'[0']]]+Table13[[#This Row],[dt'[0']]]</f>
        <v>0</v>
      </c>
      <c r="AF34">
        <f>MIN($C$2, Table13[[#This Row],[tf'[0']]])</f>
        <v>0</v>
      </c>
      <c r="AG34">
        <f>Table13[[#This Row],[time2'[0']]]-Table13[[#This Row],[time1'[0']]]</f>
        <v>0</v>
      </c>
      <c r="AH34">
        <v>0</v>
      </c>
      <c r="AI34">
        <f xml:space="preserve"> INDEX(Table3[[#All],[Intensity]], Table13[[#This Row],[int'[0']]]+2)</f>
        <v>0</v>
      </c>
      <c r="AJ34">
        <f>Table13[[#This Row],[duration'[0']]]*Table13[[#This Row],[intensity'[0']]]</f>
        <v>0</v>
      </c>
      <c r="AK34">
        <f>MOD(Table13[[#This Row],[ZMW num]], 4)</f>
        <v>1</v>
      </c>
      <c r="AL34">
        <v>0</v>
      </c>
      <c r="AM34">
        <f>MAX($D$2, Table13[[#This Row],[t1'[1']]])</f>
        <v>0</v>
      </c>
      <c r="AN34">
        <v>0</v>
      </c>
      <c r="AO34">
        <f>Table13[[#This Row],[t1'[1']]]+Table13[[#This Row],[dt'[1']]]</f>
        <v>0</v>
      </c>
      <c r="AP34">
        <f>MIN($C$2, Table13[[#This Row],[tf'[1']]])</f>
        <v>0</v>
      </c>
      <c r="AQ34">
        <f>Table13[[#This Row],[time2'[1']]]-Table13[[#This Row],[time1'[1']]]</f>
        <v>0</v>
      </c>
      <c r="AR34">
        <v>0</v>
      </c>
      <c r="AS34">
        <f xml:space="preserve"> INDEX(Table3[[#All],[Intensity]], Table13[[#This Row],[int'[1']]]+2)</f>
        <v>0</v>
      </c>
      <c r="AT34">
        <f>Table13[[#This Row],[duration'[1']]]*Table13[[#This Row],[intensity'[1']]]</f>
        <v>0</v>
      </c>
      <c r="AU34">
        <f>MOD(Table13[[#This Row],[ZMW num]]+1, 4)</f>
        <v>2</v>
      </c>
      <c r="AV34">
        <v>0</v>
      </c>
      <c r="AW34">
        <f>MAX($D$2, Table13[[#This Row],[t1'[2']]])</f>
        <v>0</v>
      </c>
      <c r="AX34">
        <v>0</v>
      </c>
      <c r="AY34">
        <f>Table13[[#This Row],[t1'[2']]]+Table13[[#This Row],[dt'[2']]]</f>
        <v>0</v>
      </c>
      <c r="AZ34">
        <f>MIN($C$2, Table13[[#This Row],[tf'[2']]])</f>
        <v>0</v>
      </c>
      <c r="BA34">
        <f>Table13[[#This Row],[time2'[2']]]-Table13[[#This Row],[time1'[2']]]</f>
        <v>0</v>
      </c>
      <c r="BB34">
        <v>0</v>
      </c>
      <c r="BC34">
        <f xml:space="preserve"> INDEX(Table3[[#All],[Intensity]], Table13[[#This Row],[int'[2']]]+2)</f>
        <v>0</v>
      </c>
      <c r="BD34">
        <f>Table13[[#This Row],[duration'[2']]]*Table13[[#This Row],[intensity'[2']]]</f>
        <v>0</v>
      </c>
      <c r="BE34">
        <f>MOD(Table13[[#This Row],[ZMW num]]+2, 4)</f>
        <v>3</v>
      </c>
      <c r="BF34" s="2" t="str">
        <f>Single2String(Table13[[#This Row],[t1'[0']]])</f>
        <v>00000000</v>
      </c>
      <c r="BG34" s="1" t="str">
        <f>Single2String(Table13[[#This Row],[dt'[0']]])</f>
        <v>00000000</v>
      </c>
      <c r="BH34" s="1" t="str">
        <f>Single2String(Table13[[#This Row],[t1'[1']]])</f>
        <v>00000000</v>
      </c>
      <c r="BI34" s="1" t="str">
        <f>Single2String(Table13[[#This Row],[dt'[1']]])</f>
        <v>00000000</v>
      </c>
      <c r="BJ34" s="1" t="str">
        <f>Single2String(Table13[[#This Row],[t1'[2']]])</f>
        <v>00000000</v>
      </c>
      <c r="BK34" s="1" t="str">
        <f>Single2String(Table13[[#This Row],[dt'[2']]])</f>
        <v>00000000</v>
      </c>
      <c r="BL34" s="1" t="str">
        <f>DEC2HEX(Table13[[#This Row],[ZMW num]], 6)</f>
        <v>00001D</v>
      </c>
      <c r="BM34" s="1">
        <f>LEN(Table13[[#This Row],[DRAM data]])</f>
        <v>64</v>
      </c>
      <c r="BN3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0000000000000000000000000000000000000000000000001020300000001D00</v>
      </c>
      <c r="CU34"/>
    </row>
    <row r="35" spans="1:99" x14ac:dyDescent="0.25">
      <c r="A35" t="str">
        <f>Single2String(Table13[[#This Row],[duration'[0']]])</f>
        <v>00000000</v>
      </c>
      <c r="B35" t="str">
        <f>Single2String(Table13[[#This Row],[duration'[1']]])</f>
        <v>00000000</v>
      </c>
      <c r="C35" t="str">
        <f>Single2String(Table13[[#This Row],[duration'[2']]])</f>
        <v>00000000</v>
      </c>
      <c r="D35" t="str">
        <f>INDEX(Table3[Hex], Table13[[#This Row],[int'[0']]]+1)</f>
        <v>00000000</v>
      </c>
      <c r="E35" t="str">
        <f>INDEX(Table3[Hex], Table13[[#This Row],[int'[1']]]+1)</f>
        <v>00000000</v>
      </c>
      <c r="F35" t="str">
        <f>INDEX(Table3[Hex], Table13[[#This Row],[int'[1']]]+1)</f>
        <v>00000000</v>
      </c>
      <c r="G35" t="str">
        <f>Single2String(Table13[[#This Row],[c ktrace]])</f>
        <v>00000000</v>
      </c>
      <c r="H35" t="str">
        <f>Single2String(Table13[[#This Row],[a ktrace]])</f>
        <v>00000000</v>
      </c>
      <c r="I35" t="str">
        <f>Single2String(Table13[[#This Row],[g ktrace]])</f>
        <v>00000000</v>
      </c>
      <c r="J35" t="str">
        <f>Single2String(Table13[[#This Row],[t ktrace]])</f>
        <v>00000000</v>
      </c>
      <c r="K35" s="3">
        <v>30</v>
      </c>
      <c r="L35">
        <f>SUM(Table13[[#This Row],[c ktrace'[2']]:[c ktrace'[0']]])</f>
        <v>0</v>
      </c>
      <c r="M35">
        <f>SUM(Table13[[#This Row],[a ktrace'[2']]:[a ktrace'[0']]])</f>
        <v>0</v>
      </c>
      <c r="N35">
        <f>SUM(Table13[[#This Row],[g ktrace'[2']]:[g ktrace'[0']]])</f>
        <v>0</v>
      </c>
      <c r="O35">
        <f>SUM(Table13[[#This Row],[t ktrace'[2']]:[t ktrace'[0']]])</f>
        <v>0</v>
      </c>
      <c r="P35">
        <f xml:space="preserve"> IF(Table13[[#This Row],[dye'[2']]]=3, Table13[[#This Row],[strength'[2']]], 0)</f>
        <v>0</v>
      </c>
      <c r="Q35">
        <f xml:space="preserve"> IF(Table13[[#This Row],[dye'[1']]]=3, Table13[[#This Row],[strength'[1']]], 0)</f>
        <v>0</v>
      </c>
      <c r="R35">
        <f xml:space="preserve"> IF(Table13[[#This Row],[dye'[0']]]=3, Table13[[#This Row],[strength'[0']]], 0)</f>
        <v>0</v>
      </c>
      <c r="S35">
        <f xml:space="preserve"> IF(Table13[[#This Row],[dye'[2']]]=2, Table13[[#This Row],[strength'[2']]], 0)</f>
        <v>0</v>
      </c>
      <c r="T35">
        <f xml:space="preserve"> IF(Table13[[#This Row],[dye'[1']]]=2, Table13[[#This Row],[strength'[1']]], 0)</f>
        <v>0</v>
      </c>
      <c r="U35">
        <f xml:space="preserve"> IF(Table13[[#This Row],[dye'[0']]]=2, Table13[[#This Row],[strength'[0']]], 0)</f>
        <v>0</v>
      </c>
      <c r="V35">
        <f xml:space="preserve"> IF(Table13[[#This Row],[dye'[2']]]=1, Table13[[#This Row],[strength'[2']]], 0)</f>
        <v>0</v>
      </c>
      <c r="W35">
        <f xml:space="preserve"> IF(Table13[[#This Row],[dye'[1']]]=1, Table13[[#This Row],[strength'[1']]], 0)</f>
        <v>0</v>
      </c>
      <c r="X35">
        <f xml:space="preserve"> IF(Table13[[#This Row],[dye'[0']]]=1, Table13[[#This Row],[strength'[0']]], 0)</f>
        <v>0</v>
      </c>
      <c r="Y35">
        <f xml:space="preserve"> IF(Table13[[#This Row],[dye'[2']]]=0, Table13[[#This Row],[strength'[2']]], 0)</f>
        <v>0</v>
      </c>
      <c r="Z35">
        <f xml:space="preserve"> IF(Table13[[#This Row],[dye'[1']]]=0, Table13[[#This Row],[strength'[1']]], 0)</f>
        <v>0</v>
      </c>
      <c r="AA35">
        <f xml:space="preserve"> IF(Table13[[#This Row],[dye'[0']]]=0, Table13[[#This Row],[strength'[0']]], 0)</f>
        <v>0</v>
      </c>
      <c r="AB35">
        <v>0</v>
      </c>
      <c r="AC35">
        <f>MAX($D$2, Table13[[#This Row],[t1'[0']]])</f>
        <v>0</v>
      </c>
      <c r="AD35">
        <v>0</v>
      </c>
      <c r="AE35">
        <f>Table13[[#This Row],[t1'[0']]]+Table13[[#This Row],[dt'[0']]]</f>
        <v>0</v>
      </c>
      <c r="AF35">
        <f>MIN($C$2, Table13[[#This Row],[tf'[0']]])</f>
        <v>0</v>
      </c>
      <c r="AG35">
        <f>Table13[[#This Row],[time2'[0']]]-Table13[[#This Row],[time1'[0']]]</f>
        <v>0</v>
      </c>
      <c r="AH35">
        <v>0</v>
      </c>
      <c r="AI35">
        <f xml:space="preserve"> INDEX(Table3[[#All],[Intensity]], Table13[[#This Row],[int'[0']]]+2)</f>
        <v>0</v>
      </c>
      <c r="AJ35">
        <f>Table13[[#This Row],[duration'[0']]]*Table13[[#This Row],[intensity'[0']]]</f>
        <v>0</v>
      </c>
      <c r="AK35">
        <f>MOD(Table13[[#This Row],[ZMW num]], 4)</f>
        <v>2</v>
      </c>
      <c r="AL35">
        <v>0</v>
      </c>
      <c r="AM35">
        <f>MAX($D$2, Table13[[#This Row],[t1'[1']]])</f>
        <v>0</v>
      </c>
      <c r="AN35">
        <v>0</v>
      </c>
      <c r="AO35">
        <f>Table13[[#This Row],[t1'[1']]]+Table13[[#This Row],[dt'[1']]]</f>
        <v>0</v>
      </c>
      <c r="AP35">
        <f>MIN($C$2, Table13[[#This Row],[tf'[1']]])</f>
        <v>0</v>
      </c>
      <c r="AQ35">
        <f>Table13[[#This Row],[time2'[1']]]-Table13[[#This Row],[time1'[1']]]</f>
        <v>0</v>
      </c>
      <c r="AR35">
        <v>0</v>
      </c>
      <c r="AS35">
        <f xml:space="preserve"> INDEX(Table3[[#All],[Intensity]], Table13[[#This Row],[int'[1']]]+2)</f>
        <v>0</v>
      </c>
      <c r="AT35">
        <f>Table13[[#This Row],[duration'[1']]]*Table13[[#This Row],[intensity'[1']]]</f>
        <v>0</v>
      </c>
      <c r="AU35">
        <f>MOD(Table13[[#This Row],[ZMW num]]+1, 4)</f>
        <v>3</v>
      </c>
      <c r="AV35">
        <v>0</v>
      </c>
      <c r="AW35">
        <f>MAX($D$2, Table13[[#This Row],[t1'[2']]])</f>
        <v>0</v>
      </c>
      <c r="AX35">
        <v>0</v>
      </c>
      <c r="AY35">
        <f>Table13[[#This Row],[t1'[2']]]+Table13[[#This Row],[dt'[2']]]</f>
        <v>0</v>
      </c>
      <c r="AZ35">
        <f>MIN($C$2, Table13[[#This Row],[tf'[2']]])</f>
        <v>0</v>
      </c>
      <c r="BA35">
        <f>Table13[[#This Row],[time2'[2']]]-Table13[[#This Row],[time1'[2']]]</f>
        <v>0</v>
      </c>
      <c r="BB35">
        <v>0</v>
      </c>
      <c r="BC35">
        <f xml:space="preserve"> INDEX(Table3[[#All],[Intensity]], Table13[[#This Row],[int'[2']]]+2)</f>
        <v>0</v>
      </c>
      <c r="BD35">
        <f>Table13[[#This Row],[duration'[2']]]*Table13[[#This Row],[intensity'[2']]]</f>
        <v>0</v>
      </c>
      <c r="BE35">
        <f>MOD(Table13[[#This Row],[ZMW num]]+2, 4)</f>
        <v>0</v>
      </c>
      <c r="BF35" s="2" t="str">
        <f>Single2String(Table13[[#This Row],[t1'[0']]])</f>
        <v>00000000</v>
      </c>
      <c r="BG35" s="1" t="str">
        <f>Single2String(Table13[[#This Row],[dt'[0']]])</f>
        <v>00000000</v>
      </c>
      <c r="BH35" s="1" t="str">
        <f>Single2String(Table13[[#This Row],[t1'[1']]])</f>
        <v>00000000</v>
      </c>
      <c r="BI35" s="1" t="str">
        <f>Single2String(Table13[[#This Row],[dt'[1']]])</f>
        <v>00000000</v>
      </c>
      <c r="BJ35" s="1" t="str">
        <f>Single2String(Table13[[#This Row],[t1'[2']]])</f>
        <v>00000000</v>
      </c>
      <c r="BK35" s="1" t="str">
        <f>Single2String(Table13[[#This Row],[dt'[2']]])</f>
        <v>00000000</v>
      </c>
      <c r="BL35" s="1" t="str">
        <f>DEC2HEX(Table13[[#This Row],[ZMW num]], 6)</f>
        <v>00001E</v>
      </c>
      <c r="BM35" s="1">
        <f>LEN(Table13[[#This Row],[DRAM data]])</f>
        <v>64</v>
      </c>
      <c r="BN3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0000000000000000000000000000000000000000000000002030000000001E00</v>
      </c>
      <c r="CU35"/>
    </row>
    <row r="36" spans="1:99" x14ac:dyDescent="0.25">
      <c r="A36" t="str">
        <f>Single2String(Table13[[#This Row],[duration'[0']]])</f>
        <v>00000000</v>
      </c>
      <c r="B36" t="str">
        <f>Single2String(Table13[[#This Row],[duration'[1']]])</f>
        <v>00000000</v>
      </c>
      <c r="C36" t="str">
        <f>Single2String(Table13[[#This Row],[duration'[2']]])</f>
        <v>00000000</v>
      </c>
      <c r="D36" t="str">
        <f>INDEX(Table3[Hex], Table13[[#This Row],[int'[0']]]+1)</f>
        <v>00000000</v>
      </c>
      <c r="E36" t="str">
        <f>INDEX(Table3[Hex], Table13[[#This Row],[int'[1']]]+1)</f>
        <v>00000000</v>
      </c>
      <c r="F36" t="str">
        <f>INDEX(Table3[Hex], Table13[[#This Row],[int'[1']]]+1)</f>
        <v>00000000</v>
      </c>
      <c r="G36" t="str">
        <f>Single2String(Table13[[#This Row],[c ktrace]])</f>
        <v>00000000</v>
      </c>
      <c r="H36" t="str">
        <f>Single2String(Table13[[#This Row],[a ktrace]])</f>
        <v>00000000</v>
      </c>
      <c r="I36" t="str">
        <f>Single2String(Table13[[#This Row],[g ktrace]])</f>
        <v>00000000</v>
      </c>
      <c r="J36" t="str">
        <f>Single2String(Table13[[#This Row],[t ktrace]])</f>
        <v>00000000</v>
      </c>
      <c r="K36" s="3">
        <v>31</v>
      </c>
      <c r="L36">
        <f>SUM(Table13[[#This Row],[c ktrace'[2']]:[c ktrace'[0']]])</f>
        <v>0</v>
      </c>
      <c r="M36">
        <f>SUM(Table13[[#This Row],[a ktrace'[2']]:[a ktrace'[0']]])</f>
        <v>0</v>
      </c>
      <c r="N36">
        <f>SUM(Table13[[#This Row],[g ktrace'[2']]:[g ktrace'[0']]])</f>
        <v>0</v>
      </c>
      <c r="O36">
        <f>SUM(Table13[[#This Row],[t ktrace'[2']]:[t ktrace'[0']]])</f>
        <v>0</v>
      </c>
      <c r="P36">
        <f xml:space="preserve"> IF(Table13[[#This Row],[dye'[2']]]=3, Table13[[#This Row],[strength'[2']]], 0)</f>
        <v>0</v>
      </c>
      <c r="Q36">
        <f xml:space="preserve"> IF(Table13[[#This Row],[dye'[1']]]=3, Table13[[#This Row],[strength'[1']]], 0)</f>
        <v>0</v>
      </c>
      <c r="R36">
        <f xml:space="preserve"> IF(Table13[[#This Row],[dye'[0']]]=3, Table13[[#This Row],[strength'[0']]], 0)</f>
        <v>0</v>
      </c>
      <c r="S36">
        <f xml:space="preserve"> IF(Table13[[#This Row],[dye'[2']]]=2, Table13[[#This Row],[strength'[2']]], 0)</f>
        <v>0</v>
      </c>
      <c r="T36">
        <f xml:space="preserve"> IF(Table13[[#This Row],[dye'[1']]]=2, Table13[[#This Row],[strength'[1']]], 0)</f>
        <v>0</v>
      </c>
      <c r="U36">
        <f xml:space="preserve"> IF(Table13[[#This Row],[dye'[0']]]=2, Table13[[#This Row],[strength'[0']]], 0)</f>
        <v>0</v>
      </c>
      <c r="V36">
        <f xml:space="preserve"> IF(Table13[[#This Row],[dye'[2']]]=1, Table13[[#This Row],[strength'[2']]], 0)</f>
        <v>0</v>
      </c>
      <c r="W36">
        <f xml:space="preserve"> IF(Table13[[#This Row],[dye'[1']]]=1, Table13[[#This Row],[strength'[1']]], 0)</f>
        <v>0</v>
      </c>
      <c r="X36">
        <f xml:space="preserve"> IF(Table13[[#This Row],[dye'[0']]]=1, Table13[[#This Row],[strength'[0']]], 0)</f>
        <v>0</v>
      </c>
      <c r="Y36">
        <f xml:space="preserve"> IF(Table13[[#This Row],[dye'[2']]]=0, Table13[[#This Row],[strength'[2']]], 0)</f>
        <v>0</v>
      </c>
      <c r="Z36">
        <f xml:space="preserve"> IF(Table13[[#This Row],[dye'[1']]]=0, Table13[[#This Row],[strength'[1']]], 0)</f>
        <v>0</v>
      </c>
      <c r="AA36">
        <f xml:space="preserve"> IF(Table13[[#This Row],[dye'[0']]]=0, Table13[[#This Row],[strength'[0']]], 0)</f>
        <v>0</v>
      </c>
      <c r="AB36">
        <v>0</v>
      </c>
      <c r="AC36">
        <f>MAX($D$2, Table13[[#This Row],[t1'[0']]])</f>
        <v>0</v>
      </c>
      <c r="AD36">
        <v>0</v>
      </c>
      <c r="AE36">
        <f>Table13[[#This Row],[t1'[0']]]+Table13[[#This Row],[dt'[0']]]</f>
        <v>0</v>
      </c>
      <c r="AF36">
        <f>MIN($C$2, Table13[[#This Row],[tf'[0']]])</f>
        <v>0</v>
      </c>
      <c r="AG36">
        <f>Table13[[#This Row],[time2'[0']]]-Table13[[#This Row],[time1'[0']]]</f>
        <v>0</v>
      </c>
      <c r="AH36">
        <v>0</v>
      </c>
      <c r="AI36">
        <f xml:space="preserve"> INDEX(Table3[[#All],[Intensity]], Table13[[#This Row],[int'[0']]]+2)</f>
        <v>0</v>
      </c>
      <c r="AJ36">
        <f>Table13[[#This Row],[duration'[0']]]*Table13[[#This Row],[intensity'[0']]]</f>
        <v>0</v>
      </c>
      <c r="AK36">
        <f>MOD(Table13[[#This Row],[ZMW num]], 4)</f>
        <v>3</v>
      </c>
      <c r="AL36">
        <v>0</v>
      </c>
      <c r="AM36">
        <f>MAX($D$2, Table13[[#This Row],[t1'[1']]])</f>
        <v>0</v>
      </c>
      <c r="AN36">
        <v>0</v>
      </c>
      <c r="AO36">
        <f>Table13[[#This Row],[t1'[1']]]+Table13[[#This Row],[dt'[1']]]</f>
        <v>0</v>
      </c>
      <c r="AP36">
        <f>MIN($C$2, Table13[[#This Row],[tf'[1']]])</f>
        <v>0</v>
      </c>
      <c r="AQ36">
        <f>Table13[[#This Row],[time2'[1']]]-Table13[[#This Row],[time1'[1']]]</f>
        <v>0</v>
      </c>
      <c r="AR36">
        <v>0</v>
      </c>
      <c r="AS36">
        <f xml:space="preserve"> INDEX(Table3[[#All],[Intensity]], Table13[[#This Row],[int'[1']]]+2)</f>
        <v>0</v>
      </c>
      <c r="AT36">
        <f>Table13[[#This Row],[duration'[1']]]*Table13[[#This Row],[intensity'[1']]]</f>
        <v>0</v>
      </c>
      <c r="AU36">
        <f>MOD(Table13[[#This Row],[ZMW num]]+1, 4)</f>
        <v>0</v>
      </c>
      <c r="AV36">
        <v>0</v>
      </c>
      <c r="AW36">
        <f>MAX($D$2, Table13[[#This Row],[t1'[2']]])</f>
        <v>0</v>
      </c>
      <c r="AX36">
        <v>0</v>
      </c>
      <c r="AY36">
        <f>Table13[[#This Row],[t1'[2']]]+Table13[[#This Row],[dt'[2']]]</f>
        <v>0</v>
      </c>
      <c r="AZ36">
        <f>MIN($C$2, Table13[[#This Row],[tf'[2']]])</f>
        <v>0</v>
      </c>
      <c r="BA36">
        <f>Table13[[#This Row],[time2'[2']]]-Table13[[#This Row],[time1'[2']]]</f>
        <v>0</v>
      </c>
      <c r="BB36">
        <v>0</v>
      </c>
      <c r="BC36">
        <f xml:space="preserve"> INDEX(Table3[[#All],[Intensity]], Table13[[#This Row],[int'[2']]]+2)</f>
        <v>0</v>
      </c>
      <c r="BD36">
        <f>Table13[[#This Row],[duration'[2']]]*Table13[[#This Row],[intensity'[2']]]</f>
        <v>0</v>
      </c>
      <c r="BE36">
        <f>MOD(Table13[[#This Row],[ZMW num]]+2, 4)</f>
        <v>1</v>
      </c>
      <c r="BF36" s="2" t="str">
        <f>Single2String(Table13[[#This Row],[t1'[0']]])</f>
        <v>00000000</v>
      </c>
      <c r="BG36" s="1" t="str">
        <f>Single2String(Table13[[#This Row],[dt'[0']]])</f>
        <v>00000000</v>
      </c>
      <c r="BH36" s="1" t="str">
        <f>Single2String(Table13[[#This Row],[t1'[1']]])</f>
        <v>00000000</v>
      </c>
      <c r="BI36" s="1" t="str">
        <f>Single2String(Table13[[#This Row],[dt'[1']]])</f>
        <v>00000000</v>
      </c>
      <c r="BJ36" s="1" t="str">
        <f>Single2String(Table13[[#This Row],[t1'[2']]])</f>
        <v>00000000</v>
      </c>
      <c r="BK36" s="1" t="str">
        <f>Single2String(Table13[[#This Row],[dt'[2']]])</f>
        <v>00000000</v>
      </c>
      <c r="BL36" s="1" t="str">
        <f>DEC2HEX(Table13[[#This Row],[ZMW num]], 6)</f>
        <v>00001F</v>
      </c>
      <c r="BM36" s="1">
        <f>LEN(Table13[[#This Row],[DRAM data]])</f>
        <v>64</v>
      </c>
      <c r="BN3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0000000000000000000000000000000000000000000000003000100000001F00</v>
      </c>
      <c r="CU36"/>
    </row>
    <row r="37" spans="1:99" x14ac:dyDescent="0.25">
      <c r="A37" t="str">
        <f>Single2String(Table13[[#This Row],[duration'[0']]])</f>
        <v>00000000</v>
      </c>
      <c r="B37" t="str">
        <f>Single2String(Table13[[#This Row],[duration'[1']]])</f>
        <v>00000000</v>
      </c>
      <c r="C37" t="str">
        <f>Single2String(Table13[[#This Row],[duration'[2']]])</f>
        <v>00000000</v>
      </c>
      <c r="D37" t="str">
        <f>INDEX(Table3[Hex], Table13[[#This Row],[int'[0']]]+1)</f>
        <v>00000000</v>
      </c>
      <c r="E37" t="str">
        <f>INDEX(Table3[Hex], Table13[[#This Row],[int'[1']]]+1)</f>
        <v>00000000</v>
      </c>
      <c r="F37" t="str">
        <f>INDEX(Table3[Hex], Table13[[#This Row],[int'[1']]]+1)</f>
        <v>00000000</v>
      </c>
      <c r="G37" t="str">
        <f>Single2String(Table13[[#This Row],[c ktrace]])</f>
        <v>00000000</v>
      </c>
      <c r="H37" t="str">
        <f>Single2String(Table13[[#This Row],[a ktrace]])</f>
        <v>00000000</v>
      </c>
      <c r="I37" t="str">
        <f>Single2String(Table13[[#This Row],[g ktrace]])</f>
        <v>00000000</v>
      </c>
      <c r="J37" t="str">
        <f>Single2String(Table13[[#This Row],[t ktrace]])</f>
        <v>00000000</v>
      </c>
      <c r="K37" s="3">
        <v>32</v>
      </c>
      <c r="L37">
        <f>SUM(Table13[[#This Row],[c ktrace'[2']]:[c ktrace'[0']]])</f>
        <v>0</v>
      </c>
      <c r="M37">
        <f>SUM(Table13[[#This Row],[a ktrace'[2']]:[a ktrace'[0']]])</f>
        <v>0</v>
      </c>
      <c r="N37">
        <f>SUM(Table13[[#This Row],[g ktrace'[2']]:[g ktrace'[0']]])</f>
        <v>0</v>
      </c>
      <c r="O37">
        <f>SUM(Table13[[#This Row],[t ktrace'[2']]:[t ktrace'[0']]])</f>
        <v>0</v>
      </c>
      <c r="P37">
        <f xml:space="preserve"> IF(Table13[[#This Row],[dye'[2']]]=3, Table13[[#This Row],[strength'[2']]], 0)</f>
        <v>0</v>
      </c>
      <c r="Q37">
        <f xml:space="preserve"> IF(Table13[[#This Row],[dye'[1']]]=3, Table13[[#This Row],[strength'[1']]], 0)</f>
        <v>0</v>
      </c>
      <c r="R37">
        <f xml:space="preserve"> IF(Table13[[#This Row],[dye'[0']]]=3, Table13[[#This Row],[strength'[0']]], 0)</f>
        <v>0</v>
      </c>
      <c r="S37">
        <f xml:space="preserve"> IF(Table13[[#This Row],[dye'[2']]]=2, Table13[[#This Row],[strength'[2']]], 0)</f>
        <v>0</v>
      </c>
      <c r="T37">
        <f xml:space="preserve"> IF(Table13[[#This Row],[dye'[1']]]=2, Table13[[#This Row],[strength'[1']]], 0)</f>
        <v>0</v>
      </c>
      <c r="U37">
        <f xml:space="preserve"> IF(Table13[[#This Row],[dye'[0']]]=2, Table13[[#This Row],[strength'[0']]], 0)</f>
        <v>0</v>
      </c>
      <c r="V37">
        <f xml:space="preserve"> IF(Table13[[#This Row],[dye'[2']]]=1, Table13[[#This Row],[strength'[2']]], 0)</f>
        <v>0</v>
      </c>
      <c r="W37">
        <f xml:space="preserve"> IF(Table13[[#This Row],[dye'[1']]]=1, Table13[[#This Row],[strength'[1']]], 0)</f>
        <v>0</v>
      </c>
      <c r="X37">
        <f xml:space="preserve"> IF(Table13[[#This Row],[dye'[0']]]=1, Table13[[#This Row],[strength'[0']]], 0)</f>
        <v>0</v>
      </c>
      <c r="Y37">
        <f xml:space="preserve"> IF(Table13[[#This Row],[dye'[2']]]=0, Table13[[#This Row],[strength'[2']]], 0)</f>
        <v>0</v>
      </c>
      <c r="Z37">
        <f xml:space="preserve"> IF(Table13[[#This Row],[dye'[1']]]=0, Table13[[#This Row],[strength'[1']]], 0)</f>
        <v>0</v>
      </c>
      <c r="AA37">
        <f xml:space="preserve"> IF(Table13[[#This Row],[dye'[0']]]=0, Table13[[#This Row],[strength'[0']]], 0)</f>
        <v>0</v>
      </c>
      <c r="AB37">
        <v>0</v>
      </c>
      <c r="AC37">
        <f>MAX($D$2, Table13[[#This Row],[t1'[0']]])</f>
        <v>0</v>
      </c>
      <c r="AD37">
        <v>0</v>
      </c>
      <c r="AE37">
        <f>Table13[[#This Row],[t1'[0']]]+Table13[[#This Row],[dt'[0']]]</f>
        <v>0</v>
      </c>
      <c r="AF37">
        <f>MIN($C$2, Table13[[#This Row],[tf'[0']]])</f>
        <v>0</v>
      </c>
      <c r="AG37">
        <f>Table13[[#This Row],[time2'[0']]]-Table13[[#This Row],[time1'[0']]]</f>
        <v>0</v>
      </c>
      <c r="AH37">
        <v>0</v>
      </c>
      <c r="AI37">
        <f xml:space="preserve"> INDEX(Table3[[#All],[Intensity]], Table13[[#This Row],[int'[0']]]+2)</f>
        <v>0</v>
      </c>
      <c r="AJ37">
        <f>Table13[[#This Row],[duration'[0']]]*Table13[[#This Row],[intensity'[0']]]</f>
        <v>0</v>
      </c>
      <c r="AK37">
        <f>MOD(Table13[[#This Row],[ZMW num]], 4)</f>
        <v>0</v>
      </c>
      <c r="AL37">
        <v>0</v>
      </c>
      <c r="AM37">
        <f>MAX($D$2, Table13[[#This Row],[t1'[1']]])</f>
        <v>0</v>
      </c>
      <c r="AN37">
        <v>0</v>
      </c>
      <c r="AO37">
        <f>Table13[[#This Row],[t1'[1']]]+Table13[[#This Row],[dt'[1']]]</f>
        <v>0</v>
      </c>
      <c r="AP37">
        <f>MIN($C$2, Table13[[#This Row],[tf'[1']]])</f>
        <v>0</v>
      </c>
      <c r="AQ37">
        <f>Table13[[#This Row],[time2'[1']]]-Table13[[#This Row],[time1'[1']]]</f>
        <v>0</v>
      </c>
      <c r="AR37">
        <v>0</v>
      </c>
      <c r="AS37">
        <f xml:space="preserve"> INDEX(Table3[[#All],[Intensity]], Table13[[#This Row],[int'[1']]]+2)</f>
        <v>0</v>
      </c>
      <c r="AT37">
        <f>Table13[[#This Row],[duration'[1']]]*Table13[[#This Row],[intensity'[1']]]</f>
        <v>0</v>
      </c>
      <c r="AU37">
        <f>MOD(Table13[[#This Row],[ZMW num]]+1, 4)</f>
        <v>1</v>
      </c>
      <c r="AV37">
        <v>0</v>
      </c>
      <c r="AW37">
        <f>MAX($D$2, Table13[[#This Row],[t1'[2']]])</f>
        <v>0</v>
      </c>
      <c r="AX37">
        <v>0</v>
      </c>
      <c r="AY37">
        <f>Table13[[#This Row],[t1'[2']]]+Table13[[#This Row],[dt'[2']]]</f>
        <v>0</v>
      </c>
      <c r="AZ37">
        <f>MIN($C$2, Table13[[#This Row],[tf'[2']]])</f>
        <v>0</v>
      </c>
      <c r="BA37">
        <f>Table13[[#This Row],[time2'[2']]]-Table13[[#This Row],[time1'[2']]]</f>
        <v>0</v>
      </c>
      <c r="BB37">
        <v>0</v>
      </c>
      <c r="BC37">
        <f xml:space="preserve"> INDEX(Table3[[#All],[Intensity]], Table13[[#This Row],[int'[2']]]+2)</f>
        <v>0</v>
      </c>
      <c r="BD37">
        <f>Table13[[#This Row],[duration'[2']]]*Table13[[#This Row],[intensity'[2']]]</f>
        <v>0</v>
      </c>
      <c r="BE37">
        <f>MOD(Table13[[#This Row],[ZMW num]]+2, 4)</f>
        <v>2</v>
      </c>
      <c r="BF37" s="2" t="str">
        <f>Single2String(Table13[[#This Row],[t1'[0']]])</f>
        <v>00000000</v>
      </c>
      <c r="BG37" s="1" t="str">
        <f>Single2String(Table13[[#This Row],[dt'[0']]])</f>
        <v>00000000</v>
      </c>
      <c r="BH37" s="1" t="str">
        <f>Single2String(Table13[[#This Row],[t1'[1']]])</f>
        <v>00000000</v>
      </c>
      <c r="BI37" s="1" t="str">
        <f>Single2String(Table13[[#This Row],[dt'[1']]])</f>
        <v>00000000</v>
      </c>
      <c r="BJ37" s="1" t="str">
        <f>Single2String(Table13[[#This Row],[t1'[2']]])</f>
        <v>00000000</v>
      </c>
      <c r="BK37" s="1" t="str">
        <f>Single2String(Table13[[#This Row],[dt'[2']]])</f>
        <v>00000000</v>
      </c>
      <c r="BL37" s="1" t="str">
        <f>DEC2HEX(Table13[[#This Row],[ZMW num]], 6)</f>
        <v>000020</v>
      </c>
      <c r="BM37" s="1">
        <f>LEN(Table13[[#This Row],[DRAM data]])</f>
        <v>64</v>
      </c>
      <c r="BN3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0000000000000000000000000000000000000000000000000010200000002000</v>
      </c>
      <c r="CU37"/>
    </row>
    <row r="38" spans="1:99" x14ac:dyDescent="0.25">
      <c r="A38" t="str">
        <f>Single2String(Table13[[#This Row],[duration'[0']]])</f>
        <v>00000000</v>
      </c>
      <c r="B38" t="str">
        <f>Single2String(Table13[[#This Row],[duration'[1']]])</f>
        <v>00000000</v>
      </c>
      <c r="C38" t="str">
        <f>Single2String(Table13[[#This Row],[duration'[2']]])</f>
        <v>00000000</v>
      </c>
      <c r="D38" t="str">
        <f>INDEX(Table3[Hex], Table13[[#This Row],[int'[0']]]+1)</f>
        <v>00000000</v>
      </c>
      <c r="E38" t="str">
        <f>INDEX(Table3[Hex], Table13[[#This Row],[int'[1']]]+1)</f>
        <v>00000000</v>
      </c>
      <c r="F38" t="str">
        <f>INDEX(Table3[Hex], Table13[[#This Row],[int'[1']]]+1)</f>
        <v>00000000</v>
      </c>
      <c r="G38" t="str">
        <f>Single2String(Table13[[#This Row],[c ktrace]])</f>
        <v>00000000</v>
      </c>
      <c r="H38" t="str">
        <f>Single2String(Table13[[#This Row],[a ktrace]])</f>
        <v>00000000</v>
      </c>
      <c r="I38" t="str">
        <f>Single2String(Table13[[#This Row],[g ktrace]])</f>
        <v>00000000</v>
      </c>
      <c r="J38" t="str">
        <f>Single2String(Table13[[#This Row],[t ktrace]])</f>
        <v>00000000</v>
      </c>
      <c r="K38" s="3">
        <v>33</v>
      </c>
      <c r="L38">
        <f>SUM(Table13[[#This Row],[c ktrace'[2']]:[c ktrace'[0']]])</f>
        <v>0</v>
      </c>
      <c r="M38">
        <f>SUM(Table13[[#This Row],[a ktrace'[2']]:[a ktrace'[0']]])</f>
        <v>0</v>
      </c>
      <c r="N38">
        <f>SUM(Table13[[#This Row],[g ktrace'[2']]:[g ktrace'[0']]])</f>
        <v>0</v>
      </c>
      <c r="O38">
        <f>SUM(Table13[[#This Row],[t ktrace'[2']]:[t ktrace'[0']]])</f>
        <v>0</v>
      </c>
      <c r="P38">
        <f xml:space="preserve"> IF(Table13[[#This Row],[dye'[2']]]=3, Table13[[#This Row],[strength'[2']]], 0)</f>
        <v>0</v>
      </c>
      <c r="Q38">
        <f xml:space="preserve"> IF(Table13[[#This Row],[dye'[1']]]=3, Table13[[#This Row],[strength'[1']]], 0)</f>
        <v>0</v>
      </c>
      <c r="R38">
        <f xml:space="preserve"> IF(Table13[[#This Row],[dye'[0']]]=3, Table13[[#This Row],[strength'[0']]], 0)</f>
        <v>0</v>
      </c>
      <c r="S38">
        <f xml:space="preserve"> IF(Table13[[#This Row],[dye'[2']]]=2, Table13[[#This Row],[strength'[2']]], 0)</f>
        <v>0</v>
      </c>
      <c r="T38">
        <f xml:space="preserve"> IF(Table13[[#This Row],[dye'[1']]]=2, Table13[[#This Row],[strength'[1']]], 0)</f>
        <v>0</v>
      </c>
      <c r="U38">
        <f xml:space="preserve"> IF(Table13[[#This Row],[dye'[0']]]=2, Table13[[#This Row],[strength'[0']]], 0)</f>
        <v>0</v>
      </c>
      <c r="V38">
        <f xml:space="preserve"> IF(Table13[[#This Row],[dye'[2']]]=1, Table13[[#This Row],[strength'[2']]], 0)</f>
        <v>0</v>
      </c>
      <c r="W38">
        <f xml:space="preserve"> IF(Table13[[#This Row],[dye'[1']]]=1, Table13[[#This Row],[strength'[1']]], 0)</f>
        <v>0</v>
      </c>
      <c r="X38">
        <f xml:space="preserve"> IF(Table13[[#This Row],[dye'[0']]]=1, Table13[[#This Row],[strength'[0']]], 0)</f>
        <v>0</v>
      </c>
      <c r="Y38">
        <f xml:space="preserve"> IF(Table13[[#This Row],[dye'[2']]]=0, Table13[[#This Row],[strength'[2']]], 0)</f>
        <v>0</v>
      </c>
      <c r="Z38">
        <f xml:space="preserve"> IF(Table13[[#This Row],[dye'[1']]]=0, Table13[[#This Row],[strength'[1']]], 0)</f>
        <v>0</v>
      </c>
      <c r="AA38">
        <f xml:space="preserve"> IF(Table13[[#This Row],[dye'[0']]]=0, Table13[[#This Row],[strength'[0']]], 0)</f>
        <v>0</v>
      </c>
      <c r="AB38">
        <v>0</v>
      </c>
      <c r="AC38">
        <f>MAX($D$2, Table13[[#This Row],[t1'[0']]])</f>
        <v>0</v>
      </c>
      <c r="AD38">
        <v>0</v>
      </c>
      <c r="AE38">
        <f>Table13[[#This Row],[t1'[0']]]+Table13[[#This Row],[dt'[0']]]</f>
        <v>0</v>
      </c>
      <c r="AF38">
        <f>MIN($C$2, Table13[[#This Row],[tf'[0']]])</f>
        <v>0</v>
      </c>
      <c r="AG38">
        <f>Table13[[#This Row],[time2'[0']]]-Table13[[#This Row],[time1'[0']]]</f>
        <v>0</v>
      </c>
      <c r="AH38">
        <v>0</v>
      </c>
      <c r="AI38">
        <f xml:space="preserve"> INDEX(Table3[[#All],[Intensity]], Table13[[#This Row],[int'[0']]]+2)</f>
        <v>0</v>
      </c>
      <c r="AJ38">
        <f>Table13[[#This Row],[duration'[0']]]*Table13[[#This Row],[intensity'[0']]]</f>
        <v>0</v>
      </c>
      <c r="AK38">
        <f>MOD(Table13[[#This Row],[ZMW num]], 4)</f>
        <v>1</v>
      </c>
      <c r="AL38">
        <v>0</v>
      </c>
      <c r="AM38">
        <f>MAX($D$2, Table13[[#This Row],[t1'[1']]])</f>
        <v>0</v>
      </c>
      <c r="AN38">
        <v>0</v>
      </c>
      <c r="AO38">
        <f>Table13[[#This Row],[t1'[1']]]+Table13[[#This Row],[dt'[1']]]</f>
        <v>0</v>
      </c>
      <c r="AP38">
        <f>MIN($C$2, Table13[[#This Row],[tf'[1']]])</f>
        <v>0</v>
      </c>
      <c r="AQ38">
        <f>Table13[[#This Row],[time2'[1']]]-Table13[[#This Row],[time1'[1']]]</f>
        <v>0</v>
      </c>
      <c r="AR38">
        <v>0</v>
      </c>
      <c r="AS38">
        <f xml:space="preserve"> INDEX(Table3[[#All],[Intensity]], Table13[[#This Row],[int'[1']]]+2)</f>
        <v>0</v>
      </c>
      <c r="AT38">
        <f>Table13[[#This Row],[duration'[1']]]*Table13[[#This Row],[intensity'[1']]]</f>
        <v>0</v>
      </c>
      <c r="AU38">
        <f>MOD(Table13[[#This Row],[ZMW num]]+1, 4)</f>
        <v>2</v>
      </c>
      <c r="AV38">
        <v>0</v>
      </c>
      <c r="AW38">
        <f>MAX($D$2, Table13[[#This Row],[t1'[2']]])</f>
        <v>0</v>
      </c>
      <c r="AX38">
        <v>0</v>
      </c>
      <c r="AY38">
        <f>Table13[[#This Row],[t1'[2']]]+Table13[[#This Row],[dt'[2']]]</f>
        <v>0</v>
      </c>
      <c r="AZ38">
        <f>MIN($C$2, Table13[[#This Row],[tf'[2']]])</f>
        <v>0</v>
      </c>
      <c r="BA38">
        <f>Table13[[#This Row],[time2'[2']]]-Table13[[#This Row],[time1'[2']]]</f>
        <v>0</v>
      </c>
      <c r="BB38">
        <v>0</v>
      </c>
      <c r="BC38">
        <f xml:space="preserve"> INDEX(Table3[[#All],[Intensity]], Table13[[#This Row],[int'[2']]]+2)</f>
        <v>0</v>
      </c>
      <c r="BD38">
        <f>Table13[[#This Row],[duration'[2']]]*Table13[[#This Row],[intensity'[2']]]</f>
        <v>0</v>
      </c>
      <c r="BE38">
        <f>MOD(Table13[[#This Row],[ZMW num]]+2, 4)</f>
        <v>3</v>
      </c>
      <c r="BF38" s="2" t="str">
        <f>Single2String(Table13[[#This Row],[t1'[0']]])</f>
        <v>00000000</v>
      </c>
      <c r="BG38" s="1" t="str">
        <f>Single2String(Table13[[#This Row],[dt'[0']]])</f>
        <v>00000000</v>
      </c>
      <c r="BH38" s="1" t="str">
        <f>Single2String(Table13[[#This Row],[t1'[1']]])</f>
        <v>00000000</v>
      </c>
      <c r="BI38" s="1" t="str">
        <f>Single2String(Table13[[#This Row],[dt'[1']]])</f>
        <v>00000000</v>
      </c>
      <c r="BJ38" s="1" t="str">
        <f>Single2String(Table13[[#This Row],[t1'[2']]])</f>
        <v>00000000</v>
      </c>
      <c r="BK38" s="1" t="str">
        <f>Single2String(Table13[[#This Row],[dt'[2']]])</f>
        <v>00000000</v>
      </c>
      <c r="BL38" s="1" t="str">
        <f>DEC2HEX(Table13[[#This Row],[ZMW num]], 6)</f>
        <v>000021</v>
      </c>
      <c r="BM38" s="1">
        <f>LEN(Table13[[#This Row],[DRAM data]])</f>
        <v>64</v>
      </c>
      <c r="BN3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0000000000000000000000000000000000000000000000001020300000002100</v>
      </c>
      <c r="CU38"/>
    </row>
    <row r="39" spans="1:99" x14ac:dyDescent="0.25">
      <c r="A39" t="str">
        <f>Single2String(Table13[[#This Row],[duration'[0']]])</f>
        <v>00000000</v>
      </c>
      <c r="B39" t="str">
        <f>Single2String(Table13[[#This Row],[duration'[1']]])</f>
        <v>00000000</v>
      </c>
      <c r="C39" t="str">
        <f>Single2String(Table13[[#This Row],[duration'[2']]])</f>
        <v>00000000</v>
      </c>
      <c r="D39" t="str">
        <f>INDEX(Table3[Hex], Table13[[#This Row],[int'[0']]]+1)</f>
        <v>00000000</v>
      </c>
      <c r="E39" t="str">
        <f>INDEX(Table3[Hex], Table13[[#This Row],[int'[1']]]+1)</f>
        <v>00000000</v>
      </c>
      <c r="F39" t="str">
        <f>INDEX(Table3[Hex], Table13[[#This Row],[int'[1']]]+1)</f>
        <v>00000000</v>
      </c>
      <c r="G39" t="str">
        <f>Single2String(Table13[[#This Row],[c ktrace]])</f>
        <v>00000000</v>
      </c>
      <c r="H39" t="str">
        <f>Single2String(Table13[[#This Row],[a ktrace]])</f>
        <v>00000000</v>
      </c>
      <c r="I39" t="str">
        <f>Single2String(Table13[[#This Row],[g ktrace]])</f>
        <v>00000000</v>
      </c>
      <c r="J39" t="str">
        <f>Single2String(Table13[[#This Row],[t ktrace]])</f>
        <v>00000000</v>
      </c>
      <c r="K39" s="3">
        <v>34</v>
      </c>
      <c r="L39">
        <f>SUM(Table13[[#This Row],[c ktrace'[2']]:[c ktrace'[0']]])</f>
        <v>0</v>
      </c>
      <c r="M39">
        <f>SUM(Table13[[#This Row],[a ktrace'[2']]:[a ktrace'[0']]])</f>
        <v>0</v>
      </c>
      <c r="N39">
        <f>SUM(Table13[[#This Row],[g ktrace'[2']]:[g ktrace'[0']]])</f>
        <v>0</v>
      </c>
      <c r="O39">
        <f>SUM(Table13[[#This Row],[t ktrace'[2']]:[t ktrace'[0']]])</f>
        <v>0</v>
      </c>
      <c r="P39">
        <f xml:space="preserve"> IF(Table13[[#This Row],[dye'[2']]]=3, Table13[[#This Row],[strength'[2']]], 0)</f>
        <v>0</v>
      </c>
      <c r="Q39">
        <f xml:space="preserve"> IF(Table13[[#This Row],[dye'[1']]]=3, Table13[[#This Row],[strength'[1']]], 0)</f>
        <v>0</v>
      </c>
      <c r="R39">
        <f xml:space="preserve"> IF(Table13[[#This Row],[dye'[0']]]=3, Table13[[#This Row],[strength'[0']]], 0)</f>
        <v>0</v>
      </c>
      <c r="S39">
        <f xml:space="preserve"> IF(Table13[[#This Row],[dye'[2']]]=2, Table13[[#This Row],[strength'[2']]], 0)</f>
        <v>0</v>
      </c>
      <c r="T39">
        <f xml:space="preserve"> IF(Table13[[#This Row],[dye'[1']]]=2, Table13[[#This Row],[strength'[1']]], 0)</f>
        <v>0</v>
      </c>
      <c r="U39">
        <f xml:space="preserve"> IF(Table13[[#This Row],[dye'[0']]]=2, Table13[[#This Row],[strength'[0']]], 0)</f>
        <v>0</v>
      </c>
      <c r="V39">
        <f xml:space="preserve"> IF(Table13[[#This Row],[dye'[2']]]=1, Table13[[#This Row],[strength'[2']]], 0)</f>
        <v>0</v>
      </c>
      <c r="W39">
        <f xml:space="preserve"> IF(Table13[[#This Row],[dye'[1']]]=1, Table13[[#This Row],[strength'[1']]], 0)</f>
        <v>0</v>
      </c>
      <c r="X39">
        <f xml:space="preserve"> IF(Table13[[#This Row],[dye'[0']]]=1, Table13[[#This Row],[strength'[0']]], 0)</f>
        <v>0</v>
      </c>
      <c r="Y39">
        <f xml:space="preserve"> IF(Table13[[#This Row],[dye'[2']]]=0, Table13[[#This Row],[strength'[2']]], 0)</f>
        <v>0</v>
      </c>
      <c r="Z39">
        <f xml:space="preserve"> IF(Table13[[#This Row],[dye'[1']]]=0, Table13[[#This Row],[strength'[1']]], 0)</f>
        <v>0</v>
      </c>
      <c r="AA39">
        <f xml:space="preserve"> IF(Table13[[#This Row],[dye'[0']]]=0, Table13[[#This Row],[strength'[0']]], 0)</f>
        <v>0</v>
      </c>
      <c r="AB39">
        <v>0</v>
      </c>
      <c r="AC39">
        <f>MAX($D$2, Table13[[#This Row],[t1'[0']]])</f>
        <v>0</v>
      </c>
      <c r="AD39">
        <v>0</v>
      </c>
      <c r="AE39">
        <f>Table13[[#This Row],[t1'[0']]]+Table13[[#This Row],[dt'[0']]]</f>
        <v>0</v>
      </c>
      <c r="AF39">
        <f>MIN($C$2, Table13[[#This Row],[tf'[0']]])</f>
        <v>0</v>
      </c>
      <c r="AG39">
        <f>Table13[[#This Row],[time2'[0']]]-Table13[[#This Row],[time1'[0']]]</f>
        <v>0</v>
      </c>
      <c r="AH39">
        <v>0</v>
      </c>
      <c r="AI39">
        <f xml:space="preserve"> INDEX(Table3[[#All],[Intensity]], Table13[[#This Row],[int'[0']]]+2)</f>
        <v>0</v>
      </c>
      <c r="AJ39">
        <f>Table13[[#This Row],[duration'[0']]]*Table13[[#This Row],[intensity'[0']]]</f>
        <v>0</v>
      </c>
      <c r="AK39">
        <f>MOD(Table13[[#This Row],[ZMW num]], 4)</f>
        <v>2</v>
      </c>
      <c r="AL39">
        <v>0</v>
      </c>
      <c r="AM39">
        <f>MAX($D$2, Table13[[#This Row],[t1'[1']]])</f>
        <v>0</v>
      </c>
      <c r="AN39">
        <v>0</v>
      </c>
      <c r="AO39">
        <f>Table13[[#This Row],[t1'[1']]]+Table13[[#This Row],[dt'[1']]]</f>
        <v>0</v>
      </c>
      <c r="AP39">
        <f>MIN($C$2, Table13[[#This Row],[tf'[1']]])</f>
        <v>0</v>
      </c>
      <c r="AQ39">
        <f>Table13[[#This Row],[time2'[1']]]-Table13[[#This Row],[time1'[1']]]</f>
        <v>0</v>
      </c>
      <c r="AR39">
        <v>0</v>
      </c>
      <c r="AS39">
        <f xml:space="preserve"> INDEX(Table3[[#All],[Intensity]], Table13[[#This Row],[int'[1']]]+2)</f>
        <v>0</v>
      </c>
      <c r="AT39">
        <f>Table13[[#This Row],[duration'[1']]]*Table13[[#This Row],[intensity'[1']]]</f>
        <v>0</v>
      </c>
      <c r="AU39">
        <f>MOD(Table13[[#This Row],[ZMW num]]+1, 4)</f>
        <v>3</v>
      </c>
      <c r="AV39">
        <v>0</v>
      </c>
      <c r="AW39">
        <f>MAX($D$2, Table13[[#This Row],[t1'[2']]])</f>
        <v>0</v>
      </c>
      <c r="AX39">
        <v>0</v>
      </c>
      <c r="AY39">
        <f>Table13[[#This Row],[t1'[2']]]+Table13[[#This Row],[dt'[2']]]</f>
        <v>0</v>
      </c>
      <c r="AZ39">
        <f>MIN($C$2, Table13[[#This Row],[tf'[2']]])</f>
        <v>0</v>
      </c>
      <c r="BA39">
        <f>Table13[[#This Row],[time2'[2']]]-Table13[[#This Row],[time1'[2']]]</f>
        <v>0</v>
      </c>
      <c r="BB39">
        <v>0</v>
      </c>
      <c r="BC39">
        <f xml:space="preserve"> INDEX(Table3[[#All],[Intensity]], Table13[[#This Row],[int'[2']]]+2)</f>
        <v>0</v>
      </c>
      <c r="BD39">
        <f>Table13[[#This Row],[duration'[2']]]*Table13[[#This Row],[intensity'[2']]]</f>
        <v>0</v>
      </c>
      <c r="BE39">
        <f>MOD(Table13[[#This Row],[ZMW num]]+2, 4)</f>
        <v>0</v>
      </c>
      <c r="BF39" s="2" t="str">
        <f>Single2String(Table13[[#This Row],[t1'[0']]])</f>
        <v>00000000</v>
      </c>
      <c r="BG39" s="1" t="str">
        <f>Single2String(Table13[[#This Row],[dt'[0']]])</f>
        <v>00000000</v>
      </c>
      <c r="BH39" s="1" t="str">
        <f>Single2String(Table13[[#This Row],[t1'[1']]])</f>
        <v>00000000</v>
      </c>
      <c r="BI39" s="1" t="str">
        <f>Single2String(Table13[[#This Row],[dt'[1']]])</f>
        <v>00000000</v>
      </c>
      <c r="BJ39" s="1" t="str">
        <f>Single2String(Table13[[#This Row],[t1'[2']]])</f>
        <v>00000000</v>
      </c>
      <c r="BK39" s="1" t="str">
        <f>Single2String(Table13[[#This Row],[dt'[2']]])</f>
        <v>00000000</v>
      </c>
      <c r="BL39" s="1" t="str">
        <f>DEC2HEX(Table13[[#This Row],[ZMW num]], 6)</f>
        <v>000022</v>
      </c>
      <c r="BM39" s="1">
        <f>LEN(Table13[[#This Row],[DRAM data]])</f>
        <v>64</v>
      </c>
      <c r="BN3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0000000000000000000000000000000000000000000000002030000000002200</v>
      </c>
      <c r="CU39"/>
    </row>
    <row r="40" spans="1:99" x14ac:dyDescent="0.25">
      <c r="A40" t="str">
        <f>Single2String(Table13[[#This Row],[duration'[0']]])</f>
        <v>00000000</v>
      </c>
      <c r="B40" t="str">
        <f>Single2String(Table13[[#This Row],[duration'[1']]])</f>
        <v>00000000</v>
      </c>
      <c r="C40" t="str">
        <f>Single2String(Table13[[#This Row],[duration'[2']]])</f>
        <v>00000000</v>
      </c>
      <c r="D40" t="str">
        <f>INDEX(Table3[Hex], Table13[[#This Row],[int'[0']]]+1)</f>
        <v>00000000</v>
      </c>
      <c r="E40" t="str">
        <f>INDEX(Table3[Hex], Table13[[#This Row],[int'[1']]]+1)</f>
        <v>00000000</v>
      </c>
      <c r="F40" t="str">
        <f>INDEX(Table3[Hex], Table13[[#This Row],[int'[1']]]+1)</f>
        <v>00000000</v>
      </c>
      <c r="G40" t="str">
        <f>Single2String(Table13[[#This Row],[c ktrace]])</f>
        <v>00000000</v>
      </c>
      <c r="H40" t="str">
        <f>Single2String(Table13[[#This Row],[a ktrace]])</f>
        <v>00000000</v>
      </c>
      <c r="I40" t="str">
        <f>Single2String(Table13[[#This Row],[g ktrace]])</f>
        <v>00000000</v>
      </c>
      <c r="J40" t="str">
        <f>Single2String(Table13[[#This Row],[t ktrace]])</f>
        <v>00000000</v>
      </c>
      <c r="K40" s="3">
        <v>35</v>
      </c>
      <c r="L40">
        <f>SUM(Table13[[#This Row],[c ktrace'[2']]:[c ktrace'[0']]])</f>
        <v>0</v>
      </c>
      <c r="M40">
        <f>SUM(Table13[[#This Row],[a ktrace'[2']]:[a ktrace'[0']]])</f>
        <v>0</v>
      </c>
      <c r="N40">
        <f>SUM(Table13[[#This Row],[g ktrace'[2']]:[g ktrace'[0']]])</f>
        <v>0</v>
      </c>
      <c r="O40">
        <f>SUM(Table13[[#This Row],[t ktrace'[2']]:[t ktrace'[0']]])</f>
        <v>0</v>
      </c>
      <c r="P40">
        <f xml:space="preserve"> IF(Table13[[#This Row],[dye'[2']]]=3, Table13[[#This Row],[strength'[2']]], 0)</f>
        <v>0</v>
      </c>
      <c r="Q40">
        <f xml:space="preserve"> IF(Table13[[#This Row],[dye'[1']]]=3, Table13[[#This Row],[strength'[1']]], 0)</f>
        <v>0</v>
      </c>
      <c r="R40">
        <f xml:space="preserve"> IF(Table13[[#This Row],[dye'[0']]]=3, Table13[[#This Row],[strength'[0']]], 0)</f>
        <v>0</v>
      </c>
      <c r="S40">
        <f xml:space="preserve"> IF(Table13[[#This Row],[dye'[2']]]=2, Table13[[#This Row],[strength'[2']]], 0)</f>
        <v>0</v>
      </c>
      <c r="T40">
        <f xml:space="preserve"> IF(Table13[[#This Row],[dye'[1']]]=2, Table13[[#This Row],[strength'[1']]], 0)</f>
        <v>0</v>
      </c>
      <c r="U40">
        <f xml:space="preserve"> IF(Table13[[#This Row],[dye'[0']]]=2, Table13[[#This Row],[strength'[0']]], 0)</f>
        <v>0</v>
      </c>
      <c r="V40">
        <f xml:space="preserve"> IF(Table13[[#This Row],[dye'[2']]]=1, Table13[[#This Row],[strength'[2']]], 0)</f>
        <v>0</v>
      </c>
      <c r="W40">
        <f xml:space="preserve"> IF(Table13[[#This Row],[dye'[1']]]=1, Table13[[#This Row],[strength'[1']]], 0)</f>
        <v>0</v>
      </c>
      <c r="X40">
        <f xml:space="preserve"> IF(Table13[[#This Row],[dye'[0']]]=1, Table13[[#This Row],[strength'[0']]], 0)</f>
        <v>0</v>
      </c>
      <c r="Y40">
        <f xml:space="preserve"> IF(Table13[[#This Row],[dye'[2']]]=0, Table13[[#This Row],[strength'[2']]], 0)</f>
        <v>0</v>
      </c>
      <c r="Z40">
        <f xml:space="preserve"> IF(Table13[[#This Row],[dye'[1']]]=0, Table13[[#This Row],[strength'[1']]], 0)</f>
        <v>0</v>
      </c>
      <c r="AA40">
        <f xml:space="preserve"> IF(Table13[[#This Row],[dye'[0']]]=0, Table13[[#This Row],[strength'[0']]], 0)</f>
        <v>0</v>
      </c>
      <c r="AB40">
        <v>0</v>
      </c>
      <c r="AC40">
        <f>MAX($D$2, Table13[[#This Row],[t1'[0']]])</f>
        <v>0</v>
      </c>
      <c r="AD40">
        <v>0</v>
      </c>
      <c r="AE40">
        <f>Table13[[#This Row],[t1'[0']]]+Table13[[#This Row],[dt'[0']]]</f>
        <v>0</v>
      </c>
      <c r="AF40">
        <f>MIN($C$2, Table13[[#This Row],[tf'[0']]])</f>
        <v>0</v>
      </c>
      <c r="AG40">
        <f>Table13[[#This Row],[time2'[0']]]-Table13[[#This Row],[time1'[0']]]</f>
        <v>0</v>
      </c>
      <c r="AH40">
        <v>0</v>
      </c>
      <c r="AI40">
        <f xml:space="preserve"> INDEX(Table3[[#All],[Intensity]], Table13[[#This Row],[int'[0']]]+2)</f>
        <v>0</v>
      </c>
      <c r="AJ40">
        <f>Table13[[#This Row],[duration'[0']]]*Table13[[#This Row],[intensity'[0']]]</f>
        <v>0</v>
      </c>
      <c r="AK40">
        <f>MOD(Table13[[#This Row],[ZMW num]], 4)</f>
        <v>3</v>
      </c>
      <c r="AL40">
        <v>0</v>
      </c>
      <c r="AM40">
        <f>MAX($D$2, Table13[[#This Row],[t1'[1']]])</f>
        <v>0</v>
      </c>
      <c r="AN40">
        <v>0</v>
      </c>
      <c r="AO40">
        <f>Table13[[#This Row],[t1'[1']]]+Table13[[#This Row],[dt'[1']]]</f>
        <v>0</v>
      </c>
      <c r="AP40">
        <f>MIN($C$2, Table13[[#This Row],[tf'[1']]])</f>
        <v>0</v>
      </c>
      <c r="AQ40">
        <f>Table13[[#This Row],[time2'[1']]]-Table13[[#This Row],[time1'[1']]]</f>
        <v>0</v>
      </c>
      <c r="AR40">
        <v>0</v>
      </c>
      <c r="AS40">
        <f xml:space="preserve"> INDEX(Table3[[#All],[Intensity]], Table13[[#This Row],[int'[1']]]+2)</f>
        <v>0</v>
      </c>
      <c r="AT40">
        <f>Table13[[#This Row],[duration'[1']]]*Table13[[#This Row],[intensity'[1']]]</f>
        <v>0</v>
      </c>
      <c r="AU40">
        <f>MOD(Table13[[#This Row],[ZMW num]]+1, 4)</f>
        <v>0</v>
      </c>
      <c r="AV40">
        <v>0</v>
      </c>
      <c r="AW40">
        <f>MAX($D$2, Table13[[#This Row],[t1'[2']]])</f>
        <v>0</v>
      </c>
      <c r="AX40">
        <v>0</v>
      </c>
      <c r="AY40">
        <f>Table13[[#This Row],[t1'[2']]]+Table13[[#This Row],[dt'[2']]]</f>
        <v>0</v>
      </c>
      <c r="AZ40">
        <f>MIN($C$2, Table13[[#This Row],[tf'[2']]])</f>
        <v>0</v>
      </c>
      <c r="BA40">
        <f>Table13[[#This Row],[time2'[2']]]-Table13[[#This Row],[time1'[2']]]</f>
        <v>0</v>
      </c>
      <c r="BB40">
        <v>0</v>
      </c>
      <c r="BC40">
        <f xml:space="preserve"> INDEX(Table3[[#All],[Intensity]], Table13[[#This Row],[int'[2']]]+2)</f>
        <v>0</v>
      </c>
      <c r="BD40">
        <f>Table13[[#This Row],[duration'[2']]]*Table13[[#This Row],[intensity'[2']]]</f>
        <v>0</v>
      </c>
      <c r="BE40">
        <f>MOD(Table13[[#This Row],[ZMW num]]+2, 4)</f>
        <v>1</v>
      </c>
      <c r="BF40" s="2" t="str">
        <f>Single2String(Table13[[#This Row],[t1'[0']]])</f>
        <v>00000000</v>
      </c>
      <c r="BG40" s="1" t="str">
        <f>Single2String(Table13[[#This Row],[dt'[0']]])</f>
        <v>00000000</v>
      </c>
      <c r="BH40" s="1" t="str">
        <f>Single2String(Table13[[#This Row],[t1'[1']]])</f>
        <v>00000000</v>
      </c>
      <c r="BI40" s="1" t="str">
        <f>Single2String(Table13[[#This Row],[dt'[1']]])</f>
        <v>00000000</v>
      </c>
      <c r="BJ40" s="1" t="str">
        <f>Single2String(Table13[[#This Row],[t1'[2']]])</f>
        <v>00000000</v>
      </c>
      <c r="BK40" s="1" t="str">
        <f>Single2String(Table13[[#This Row],[dt'[2']]])</f>
        <v>00000000</v>
      </c>
      <c r="BL40" s="1" t="str">
        <f>DEC2HEX(Table13[[#This Row],[ZMW num]], 6)</f>
        <v>000023</v>
      </c>
      <c r="BM40" s="1">
        <f>LEN(Table13[[#This Row],[DRAM data]])</f>
        <v>64</v>
      </c>
      <c r="BN4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0000000000000000000000000000000000000000000000003000100000002300</v>
      </c>
      <c r="CU40"/>
    </row>
    <row r="41" spans="1:99" x14ac:dyDescent="0.25">
      <c r="A41" t="str">
        <f>Single2String(Table13[[#This Row],[duration'[0']]])</f>
        <v>00000000</v>
      </c>
      <c r="B41" t="str">
        <f>Single2String(Table13[[#This Row],[duration'[1']]])</f>
        <v>00000000</v>
      </c>
      <c r="C41" t="str">
        <f>Single2String(Table13[[#This Row],[duration'[2']]])</f>
        <v>00000000</v>
      </c>
      <c r="D41" t="str">
        <f>INDEX(Table3[Hex], Table13[[#This Row],[int'[0']]]+1)</f>
        <v>00000000</v>
      </c>
      <c r="E41" t="str">
        <f>INDEX(Table3[Hex], Table13[[#This Row],[int'[1']]]+1)</f>
        <v>00000000</v>
      </c>
      <c r="F41" t="str">
        <f>INDEX(Table3[Hex], Table13[[#This Row],[int'[1']]]+1)</f>
        <v>00000000</v>
      </c>
      <c r="G41" t="str">
        <f>Single2String(Table13[[#This Row],[c ktrace]])</f>
        <v>00000000</v>
      </c>
      <c r="H41" t="str">
        <f>Single2String(Table13[[#This Row],[a ktrace]])</f>
        <v>00000000</v>
      </c>
      <c r="I41" t="str">
        <f>Single2String(Table13[[#This Row],[g ktrace]])</f>
        <v>00000000</v>
      </c>
      <c r="J41" t="str">
        <f>Single2String(Table13[[#This Row],[t ktrace]])</f>
        <v>00000000</v>
      </c>
      <c r="K41" s="3">
        <v>36</v>
      </c>
      <c r="L41">
        <f>SUM(Table13[[#This Row],[c ktrace'[2']]:[c ktrace'[0']]])</f>
        <v>0</v>
      </c>
      <c r="M41">
        <f>SUM(Table13[[#This Row],[a ktrace'[2']]:[a ktrace'[0']]])</f>
        <v>0</v>
      </c>
      <c r="N41">
        <f>SUM(Table13[[#This Row],[g ktrace'[2']]:[g ktrace'[0']]])</f>
        <v>0</v>
      </c>
      <c r="O41">
        <f>SUM(Table13[[#This Row],[t ktrace'[2']]:[t ktrace'[0']]])</f>
        <v>0</v>
      </c>
      <c r="P41">
        <f xml:space="preserve"> IF(Table13[[#This Row],[dye'[2']]]=3, Table13[[#This Row],[strength'[2']]], 0)</f>
        <v>0</v>
      </c>
      <c r="Q41">
        <f xml:space="preserve"> IF(Table13[[#This Row],[dye'[1']]]=3, Table13[[#This Row],[strength'[1']]], 0)</f>
        <v>0</v>
      </c>
      <c r="R41">
        <f xml:space="preserve"> IF(Table13[[#This Row],[dye'[0']]]=3, Table13[[#This Row],[strength'[0']]], 0)</f>
        <v>0</v>
      </c>
      <c r="S41">
        <f xml:space="preserve"> IF(Table13[[#This Row],[dye'[2']]]=2, Table13[[#This Row],[strength'[2']]], 0)</f>
        <v>0</v>
      </c>
      <c r="T41">
        <f xml:space="preserve"> IF(Table13[[#This Row],[dye'[1']]]=2, Table13[[#This Row],[strength'[1']]], 0)</f>
        <v>0</v>
      </c>
      <c r="U41">
        <f xml:space="preserve"> IF(Table13[[#This Row],[dye'[0']]]=2, Table13[[#This Row],[strength'[0']]], 0)</f>
        <v>0</v>
      </c>
      <c r="V41">
        <f xml:space="preserve"> IF(Table13[[#This Row],[dye'[2']]]=1, Table13[[#This Row],[strength'[2']]], 0)</f>
        <v>0</v>
      </c>
      <c r="W41">
        <f xml:space="preserve"> IF(Table13[[#This Row],[dye'[1']]]=1, Table13[[#This Row],[strength'[1']]], 0)</f>
        <v>0</v>
      </c>
      <c r="X41">
        <f xml:space="preserve"> IF(Table13[[#This Row],[dye'[0']]]=1, Table13[[#This Row],[strength'[0']]], 0)</f>
        <v>0</v>
      </c>
      <c r="Y41">
        <f xml:space="preserve"> IF(Table13[[#This Row],[dye'[2']]]=0, Table13[[#This Row],[strength'[2']]], 0)</f>
        <v>0</v>
      </c>
      <c r="Z41">
        <f xml:space="preserve"> IF(Table13[[#This Row],[dye'[1']]]=0, Table13[[#This Row],[strength'[1']]], 0)</f>
        <v>0</v>
      </c>
      <c r="AA41">
        <f xml:space="preserve"> IF(Table13[[#This Row],[dye'[0']]]=0, Table13[[#This Row],[strength'[0']]], 0)</f>
        <v>0</v>
      </c>
      <c r="AB41">
        <v>0</v>
      </c>
      <c r="AC41">
        <f>MAX($D$2, Table13[[#This Row],[t1'[0']]])</f>
        <v>0</v>
      </c>
      <c r="AD41">
        <v>0</v>
      </c>
      <c r="AE41">
        <f>Table13[[#This Row],[t1'[0']]]+Table13[[#This Row],[dt'[0']]]</f>
        <v>0</v>
      </c>
      <c r="AF41">
        <f>MIN($C$2, Table13[[#This Row],[tf'[0']]])</f>
        <v>0</v>
      </c>
      <c r="AG41">
        <f>Table13[[#This Row],[time2'[0']]]-Table13[[#This Row],[time1'[0']]]</f>
        <v>0</v>
      </c>
      <c r="AH41">
        <v>0</v>
      </c>
      <c r="AI41">
        <f xml:space="preserve"> INDEX(Table3[[#All],[Intensity]], Table13[[#This Row],[int'[0']]]+2)</f>
        <v>0</v>
      </c>
      <c r="AJ41">
        <f>Table13[[#This Row],[duration'[0']]]*Table13[[#This Row],[intensity'[0']]]</f>
        <v>0</v>
      </c>
      <c r="AK41">
        <f>MOD(Table13[[#This Row],[ZMW num]], 4)</f>
        <v>0</v>
      </c>
      <c r="AL41">
        <v>0</v>
      </c>
      <c r="AM41">
        <f>MAX($D$2, Table13[[#This Row],[t1'[1']]])</f>
        <v>0</v>
      </c>
      <c r="AN41">
        <v>0</v>
      </c>
      <c r="AO41">
        <f>Table13[[#This Row],[t1'[1']]]+Table13[[#This Row],[dt'[1']]]</f>
        <v>0</v>
      </c>
      <c r="AP41">
        <f>MIN($C$2, Table13[[#This Row],[tf'[1']]])</f>
        <v>0</v>
      </c>
      <c r="AQ41">
        <f>Table13[[#This Row],[time2'[1']]]-Table13[[#This Row],[time1'[1']]]</f>
        <v>0</v>
      </c>
      <c r="AR41">
        <v>0</v>
      </c>
      <c r="AS41">
        <f xml:space="preserve"> INDEX(Table3[[#All],[Intensity]], Table13[[#This Row],[int'[1']]]+2)</f>
        <v>0</v>
      </c>
      <c r="AT41">
        <f>Table13[[#This Row],[duration'[1']]]*Table13[[#This Row],[intensity'[1']]]</f>
        <v>0</v>
      </c>
      <c r="AU41">
        <f>MOD(Table13[[#This Row],[ZMW num]]+1, 4)</f>
        <v>1</v>
      </c>
      <c r="AV41">
        <v>0</v>
      </c>
      <c r="AW41">
        <f>MAX($D$2, Table13[[#This Row],[t1'[2']]])</f>
        <v>0</v>
      </c>
      <c r="AX41">
        <v>0</v>
      </c>
      <c r="AY41">
        <f>Table13[[#This Row],[t1'[2']]]+Table13[[#This Row],[dt'[2']]]</f>
        <v>0</v>
      </c>
      <c r="AZ41">
        <f>MIN($C$2, Table13[[#This Row],[tf'[2']]])</f>
        <v>0</v>
      </c>
      <c r="BA41">
        <f>Table13[[#This Row],[time2'[2']]]-Table13[[#This Row],[time1'[2']]]</f>
        <v>0</v>
      </c>
      <c r="BB41">
        <v>0</v>
      </c>
      <c r="BC41">
        <f xml:space="preserve"> INDEX(Table3[[#All],[Intensity]], Table13[[#This Row],[int'[2']]]+2)</f>
        <v>0</v>
      </c>
      <c r="BD41">
        <f>Table13[[#This Row],[duration'[2']]]*Table13[[#This Row],[intensity'[2']]]</f>
        <v>0</v>
      </c>
      <c r="BE41">
        <f>MOD(Table13[[#This Row],[ZMW num]]+2, 4)</f>
        <v>2</v>
      </c>
      <c r="BF41" s="2" t="str">
        <f>Single2String(Table13[[#This Row],[t1'[0']]])</f>
        <v>00000000</v>
      </c>
      <c r="BG41" s="1" t="str">
        <f>Single2String(Table13[[#This Row],[dt'[0']]])</f>
        <v>00000000</v>
      </c>
      <c r="BH41" s="1" t="str">
        <f>Single2String(Table13[[#This Row],[t1'[1']]])</f>
        <v>00000000</v>
      </c>
      <c r="BI41" s="1" t="str">
        <f>Single2String(Table13[[#This Row],[dt'[1']]])</f>
        <v>00000000</v>
      </c>
      <c r="BJ41" s="1" t="str">
        <f>Single2String(Table13[[#This Row],[t1'[2']]])</f>
        <v>00000000</v>
      </c>
      <c r="BK41" s="1" t="str">
        <f>Single2String(Table13[[#This Row],[dt'[2']]])</f>
        <v>00000000</v>
      </c>
      <c r="BL41" s="1" t="str">
        <f>DEC2HEX(Table13[[#This Row],[ZMW num]], 6)</f>
        <v>000024</v>
      </c>
      <c r="BM41" s="1">
        <f>LEN(Table13[[#This Row],[DRAM data]])</f>
        <v>64</v>
      </c>
      <c r="BN4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0000000000000000000000000000000000000000000000000010200000002400</v>
      </c>
      <c r="CU41"/>
    </row>
    <row r="42" spans="1:99" x14ac:dyDescent="0.25">
      <c r="A42" t="str">
        <f>Single2String(Table13[[#This Row],[duration'[0']]])</f>
        <v>00000000</v>
      </c>
      <c r="B42" t="str">
        <f>Single2String(Table13[[#This Row],[duration'[1']]])</f>
        <v>00000000</v>
      </c>
      <c r="C42" t="str">
        <f>Single2String(Table13[[#This Row],[duration'[2']]])</f>
        <v>00000000</v>
      </c>
      <c r="D42" t="str">
        <f>INDEX(Table3[Hex], Table13[[#This Row],[int'[0']]]+1)</f>
        <v>00000000</v>
      </c>
      <c r="E42" t="str">
        <f>INDEX(Table3[Hex], Table13[[#This Row],[int'[1']]]+1)</f>
        <v>00000000</v>
      </c>
      <c r="F42" t="str">
        <f>INDEX(Table3[Hex], Table13[[#This Row],[int'[1']]]+1)</f>
        <v>00000000</v>
      </c>
      <c r="G42" t="str">
        <f>Single2String(Table13[[#This Row],[c ktrace]])</f>
        <v>00000000</v>
      </c>
      <c r="H42" t="str">
        <f>Single2String(Table13[[#This Row],[a ktrace]])</f>
        <v>00000000</v>
      </c>
      <c r="I42" t="str">
        <f>Single2String(Table13[[#This Row],[g ktrace]])</f>
        <v>00000000</v>
      </c>
      <c r="J42" t="str">
        <f>Single2String(Table13[[#This Row],[t ktrace]])</f>
        <v>00000000</v>
      </c>
      <c r="K42" s="3">
        <v>37</v>
      </c>
      <c r="L42">
        <f>SUM(Table13[[#This Row],[c ktrace'[2']]:[c ktrace'[0']]])</f>
        <v>0</v>
      </c>
      <c r="M42">
        <f>SUM(Table13[[#This Row],[a ktrace'[2']]:[a ktrace'[0']]])</f>
        <v>0</v>
      </c>
      <c r="N42">
        <f>SUM(Table13[[#This Row],[g ktrace'[2']]:[g ktrace'[0']]])</f>
        <v>0</v>
      </c>
      <c r="O42">
        <f>SUM(Table13[[#This Row],[t ktrace'[2']]:[t ktrace'[0']]])</f>
        <v>0</v>
      </c>
      <c r="P42">
        <f xml:space="preserve"> IF(Table13[[#This Row],[dye'[2']]]=3, Table13[[#This Row],[strength'[2']]], 0)</f>
        <v>0</v>
      </c>
      <c r="Q42">
        <f xml:space="preserve"> IF(Table13[[#This Row],[dye'[1']]]=3, Table13[[#This Row],[strength'[1']]], 0)</f>
        <v>0</v>
      </c>
      <c r="R42">
        <f xml:space="preserve"> IF(Table13[[#This Row],[dye'[0']]]=3, Table13[[#This Row],[strength'[0']]], 0)</f>
        <v>0</v>
      </c>
      <c r="S42">
        <f xml:space="preserve"> IF(Table13[[#This Row],[dye'[2']]]=2, Table13[[#This Row],[strength'[2']]], 0)</f>
        <v>0</v>
      </c>
      <c r="T42">
        <f xml:space="preserve"> IF(Table13[[#This Row],[dye'[1']]]=2, Table13[[#This Row],[strength'[1']]], 0)</f>
        <v>0</v>
      </c>
      <c r="U42">
        <f xml:space="preserve"> IF(Table13[[#This Row],[dye'[0']]]=2, Table13[[#This Row],[strength'[0']]], 0)</f>
        <v>0</v>
      </c>
      <c r="V42">
        <f xml:space="preserve"> IF(Table13[[#This Row],[dye'[2']]]=1, Table13[[#This Row],[strength'[2']]], 0)</f>
        <v>0</v>
      </c>
      <c r="W42">
        <f xml:space="preserve"> IF(Table13[[#This Row],[dye'[1']]]=1, Table13[[#This Row],[strength'[1']]], 0)</f>
        <v>0</v>
      </c>
      <c r="X42">
        <f xml:space="preserve"> IF(Table13[[#This Row],[dye'[0']]]=1, Table13[[#This Row],[strength'[0']]], 0)</f>
        <v>0</v>
      </c>
      <c r="Y42">
        <f xml:space="preserve"> IF(Table13[[#This Row],[dye'[2']]]=0, Table13[[#This Row],[strength'[2']]], 0)</f>
        <v>0</v>
      </c>
      <c r="Z42">
        <f xml:space="preserve"> IF(Table13[[#This Row],[dye'[1']]]=0, Table13[[#This Row],[strength'[1']]], 0)</f>
        <v>0</v>
      </c>
      <c r="AA42">
        <f xml:space="preserve"> IF(Table13[[#This Row],[dye'[0']]]=0, Table13[[#This Row],[strength'[0']]], 0)</f>
        <v>0</v>
      </c>
      <c r="AB42">
        <v>0</v>
      </c>
      <c r="AC42">
        <f>MAX($D$2, Table13[[#This Row],[t1'[0']]])</f>
        <v>0</v>
      </c>
      <c r="AD42">
        <v>0</v>
      </c>
      <c r="AE42">
        <f>Table13[[#This Row],[t1'[0']]]+Table13[[#This Row],[dt'[0']]]</f>
        <v>0</v>
      </c>
      <c r="AF42">
        <f>MIN($C$2, Table13[[#This Row],[tf'[0']]])</f>
        <v>0</v>
      </c>
      <c r="AG42">
        <f>Table13[[#This Row],[time2'[0']]]-Table13[[#This Row],[time1'[0']]]</f>
        <v>0</v>
      </c>
      <c r="AH42">
        <v>0</v>
      </c>
      <c r="AI42">
        <f xml:space="preserve"> INDEX(Table3[[#All],[Intensity]], Table13[[#This Row],[int'[0']]]+2)</f>
        <v>0</v>
      </c>
      <c r="AJ42">
        <f>Table13[[#This Row],[duration'[0']]]*Table13[[#This Row],[intensity'[0']]]</f>
        <v>0</v>
      </c>
      <c r="AK42">
        <f>MOD(Table13[[#This Row],[ZMW num]], 4)</f>
        <v>1</v>
      </c>
      <c r="AL42">
        <v>0</v>
      </c>
      <c r="AM42">
        <f>MAX($D$2, Table13[[#This Row],[t1'[1']]])</f>
        <v>0</v>
      </c>
      <c r="AN42">
        <v>0</v>
      </c>
      <c r="AO42">
        <f>Table13[[#This Row],[t1'[1']]]+Table13[[#This Row],[dt'[1']]]</f>
        <v>0</v>
      </c>
      <c r="AP42">
        <f>MIN($C$2, Table13[[#This Row],[tf'[1']]])</f>
        <v>0</v>
      </c>
      <c r="AQ42">
        <f>Table13[[#This Row],[time2'[1']]]-Table13[[#This Row],[time1'[1']]]</f>
        <v>0</v>
      </c>
      <c r="AR42">
        <v>0</v>
      </c>
      <c r="AS42">
        <f xml:space="preserve"> INDEX(Table3[[#All],[Intensity]], Table13[[#This Row],[int'[1']]]+2)</f>
        <v>0</v>
      </c>
      <c r="AT42">
        <f>Table13[[#This Row],[duration'[1']]]*Table13[[#This Row],[intensity'[1']]]</f>
        <v>0</v>
      </c>
      <c r="AU42">
        <f>MOD(Table13[[#This Row],[ZMW num]]+1, 4)</f>
        <v>2</v>
      </c>
      <c r="AV42">
        <v>0</v>
      </c>
      <c r="AW42">
        <f>MAX($D$2, Table13[[#This Row],[t1'[2']]])</f>
        <v>0</v>
      </c>
      <c r="AX42">
        <v>0</v>
      </c>
      <c r="AY42">
        <f>Table13[[#This Row],[t1'[2']]]+Table13[[#This Row],[dt'[2']]]</f>
        <v>0</v>
      </c>
      <c r="AZ42">
        <f>MIN($C$2, Table13[[#This Row],[tf'[2']]])</f>
        <v>0</v>
      </c>
      <c r="BA42">
        <f>Table13[[#This Row],[time2'[2']]]-Table13[[#This Row],[time1'[2']]]</f>
        <v>0</v>
      </c>
      <c r="BB42">
        <v>0</v>
      </c>
      <c r="BC42">
        <f xml:space="preserve"> INDEX(Table3[[#All],[Intensity]], Table13[[#This Row],[int'[2']]]+2)</f>
        <v>0</v>
      </c>
      <c r="BD42">
        <f>Table13[[#This Row],[duration'[2']]]*Table13[[#This Row],[intensity'[2']]]</f>
        <v>0</v>
      </c>
      <c r="BE42">
        <f>MOD(Table13[[#This Row],[ZMW num]]+2, 4)</f>
        <v>3</v>
      </c>
      <c r="BF42" s="2" t="str">
        <f>Single2String(Table13[[#This Row],[t1'[0']]])</f>
        <v>00000000</v>
      </c>
      <c r="BG42" s="1" t="str">
        <f>Single2String(Table13[[#This Row],[dt'[0']]])</f>
        <v>00000000</v>
      </c>
      <c r="BH42" s="1" t="str">
        <f>Single2String(Table13[[#This Row],[t1'[1']]])</f>
        <v>00000000</v>
      </c>
      <c r="BI42" s="1" t="str">
        <f>Single2String(Table13[[#This Row],[dt'[1']]])</f>
        <v>00000000</v>
      </c>
      <c r="BJ42" s="1" t="str">
        <f>Single2String(Table13[[#This Row],[t1'[2']]])</f>
        <v>00000000</v>
      </c>
      <c r="BK42" s="1" t="str">
        <f>Single2String(Table13[[#This Row],[dt'[2']]])</f>
        <v>00000000</v>
      </c>
      <c r="BL42" s="1" t="str">
        <f>DEC2HEX(Table13[[#This Row],[ZMW num]], 6)</f>
        <v>000025</v>
      </c>
      <c r="BM42" s="1">
        <f>LEN(Table13[[#This Row],[DRAM data]])</f>
        <v>64</v>
      </c>
      <c r="BN4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0000000000000000000000000000000000000000000000001020300000002500</v>
      </c>
      <c r="CU42"/>
    </row>
    <row r="43" spans="1:99" x14ac:dyDescent="0.25">
      <c r="A43" t="str">
        <f>Single2String(Table13[[#This Row],[duration'[0']]])</f>
        <v>00000000</v>
      </c>
      <c r="B43" t="str">
        <f>Single2String(Table13[[#This Row],[duration'[1']]])</f>
        <v>00000000</v>
      </c>
      <c r="C43" t="str">
        <f>Single2String(Table13[[#This Row],[duration'[2']]])</f>
        <v>00000000</v>
      </c>
      <c r="D43" t="str">
        <f>INDEX(Table3[Hex], Table13[[#This Row],[int'[0']]]+1)</f>
        <v>00000000</v>
      </c>
      <c r="E43" t="str">
        <f>INDEX(Table3[Hex], Table13[[#This Row],[int'[1']]]+1)</f>
        <v>00000000</v>
      </c>
      <c r="F43" t="str">
        <f>INDEX(Table3[Hex], Table13[[#This Row],[int'[1']]]+1)</f>
        <v>00000000</v>
      </c>
      <c r="G43" t="str">
        <f>Single2String(Table13[[#This Row],[c ktrace]])</f>
        <v>00000000</v>
      </c>
      <c r="H43" t="str">
        <f>Single2String(Table13[[#This Row],[a ktrace]])</f>
        <v>00000000</v>
      </c>
      <c r="I43" t="str">
        <f>Single2String(Table13[[#This Row],[g ktrace]])</f>
        <v>00000000</v>
      </c>
      <c r="J43" t="str">
        <f>Single2String(Table13[[#This Row],[t ktrace]])</f>
        <v>00000000</v>
      </c>
      <c r="K43" s="3">
        <v>38</v>
      </c>
      <c r="L43">
        <f>SUM(Table13[[#This Row],[c ktrace'[2']]:[c ktrace'[0']]])</f>
        <v>0</v>
      </c>
      <c r="M43">
        <f>SUM(Table13[[#This Row],[a ktrace'[2']]:[a ktrace'[0']]])</f>
        <v>0</v>
      </c>
      <c r="N43">
        <f>SUM(Table13[[#This Row],[g ktrace'[2']]:[g ktrace'[0']]])</f>
        <v>0</v>
      </c>
      <c r="O43">
        <f>SUM(Table13[[#This Row],[t ktrace'[2']]:[t ktrace'[0']]])</f>
        <v>0</v>
      </c>
      <c r="P43">
        <f xml:space="preserve"> IF(Table13[[#This Row],[dye'[2']]]=3, Table13[[#This Row],[strength'[2']]], 0)</f>
        <v>0</v>
      </c>
      <c r="Q43">
        <f xml:space="preserve"> IF(Table13[[#This Row],[dye'[1']]]=3, Table13[[#This Row],[strength'[1']]], 0)</f>
        <v>0</v>
      </c>
      <c r="R43">
        <f xml:space="preserve"> IF(Table13[[#This Row],[dye'[0']]]=3, Table13[[#This Row],[strength'[0']]], 0)</f>
        <v>0</v>
      </c>
      <c r="S43">
        <f xml:space="preserve"> IF(Table13[[#This Row],[dye'[2']]]=2, Table13[[#This Row],[strength'[2']]], 0)</f>
        <v>0</v>
      </c>
      <c r="T43">
        <f xml:space="preserve"> IF(Table13[[#This Row],[dye'[1']]]=2, Table13[[#This Row],[strength'[1']]], 0)</f>
        <v>0</v>
      </c>
      <c r="U43">
        <f xml:space="preserve"> IF(Table13[[#This Row],[dye'[0']]]=2, Table13[[#This Row],[strength'[0']]], 0)</f>
        <v>0</v>
      </c>
      <c r="V43">
        <f xml:space="preserve"> IF(Table13[[#This Row],[dye'[2']]]=1, Table13[[#This Row],[strength'[2']]], 0)</f>
        <v>0</v>
      </c>
      <c r="W43">
        <f xml:space="preserve"> IF(Table13[[#This Row],[dye'[1']]]=1, Table13[[#This Row],[strength'[1']]], 0)</f>
        <v>0</v>
      </c>
      <c r="X43">
        <f xml:space="preserve"> IF(Table13[[#This Row],[dye'[0']]]=1, Table13[[#This Row],[strength'[0']]], 0)</f>
        <v>0</v>
      </c>
      <c r="Y43">
        <f xml:space="preserve"> IF(Table13[[#This Row],[dye'[2']]]=0, Table13[[#This Row],[strength'[2']]], 0)</f>
        <v>0</v>
      </c>
      <c r="Z43">
        <f xml:space="preserve"> IF(Table13[[#This Row],[dye'[1']]]=0, Table13[[#This Row],[strength'[1']]], 0)</f>
        <v>0</v>
      </c>
      <c r="AA43">
        <f xml:space="preserve"> IF(Table13[[#This Row],[dye'[0']]]=0, Table13[[#This Row],[strength'[0']]], 0)</f>
        <v>0</v>
      </c>
      <c r="AB43">
        <v>0</v>
      </c>
      <c r="AC43">
        <f>MAX($D$2, Table13[[#This Row],[t1'[0']]])</f>
        <v>0</v>
      </c>
      <c r="AD43">
        <v>0</v>
      </c>
      <c r="AE43">
        <f>Table13[[#This Row],[t1'[0']]]+Table13[[#This Row],[dt'[0']]]</f>
        <v>0</v>
      </c>
      <c r="AF43">
        <f>MIN($C$2, Table13[[#This Row],[tf'[0']]])</f>
        <v>0</v>
      </c>
      <c r="AG43">
        <f>Table13[[#This Row],[time2'[0']]]-Table13[[#This Row],[time1'[0']]]</f>
        <v>0</v>
      </c>
      <c r="AH43">
        <v>0</v>
      </c>
      <c r="AI43">
        <f xml:space="preserve"> INDEX(Table3[[#All],[Intensity]], Table13[[#This Row],[int'[0']]]+2)</f>
        <v>0</v>
      </c>
      <c r="AJ43">
        <f>Table13[[#This Row],[duration'[0']]]*Table13[[#This Row],[intensity'[0']]]</f>
        <v>0</v>
      </c>
      <c r="AK43">
        <f>MOD(Table13[[#This Row],[ZMW num]], 4)</f>
        <v>2</v>
      </c>
      <c r="AL43">
        <v>0</v>
      </c>
      <c r="AM43">
        <f>MAX($D$2, Table13[[#This Row],[t1'[1']]])</f>
        <v>0</v>
      </c>
      <c r="AN43">
        <v>0</v>
      </c>
      <c r="AO43">
        <f>Table13[[#This Row],[t1'[1']]]+Table13[[#This Row],[dt'[1']]]</f>
        <v>0</v>
      </c>
      <c r="AP43">
        <f>MIN($C$2, Table13[[#This Row],[tf'[1']]])</f>
        <v>0</v>
      </c>
      <c r="AQ43">
        <f>Table13[[#This Row],[time2'[1']]]-Table13[[#This Row],[time1'[1']]]</f>
        <v>0</v>
      </c>
      <c r="AR43">
        <v>0</v>
      </c>
      <c r="AS43">
        <f xml:space="preserve"> INDEX(Table3[[#All],[Intensity]], Table13[[#This Row],[int'[1']]]+2)</f>
        <v>0</v>
      </c>
      <c r="AT43">
        <f>Table13[[#This Row],[duration'[1']]]*Table13[[#This Row],[intensity'[1']]]</f>
        <v>0</v>
      </c>
      <c r="AU43">
        <f>MOD(Table13[[#This Row],[ZMW num]]+1, 4)</f>
        <v>3</v>
      </c>
      <c r="AV43">
        <v>0</v>
      </c>
      <c r="AW43">
        <f>MAX($D$2, Table13[[#This Row],[t1'[2']]])</f>
        <v>0</v>
      </c>
      <c r="AX43">
        <v>0</v>
      </c>
      <c r="AY43">
        <f>Table13[[#This Row],[t1'[2']]]+Table13[[#This Row],[dt'[2']]]</f>
        <v>0</v>
      </c>
      <c r="AZ43">
        <f>MIN($C$2, Table13[[#This Row],[tf'[2']]])</f>
        <v>0</v>
      </c>
      <c r="BA43">
        <f>Table13[[#This Row],[time2'[2']]]-Table13[[#This Row],[time1'[2']]]</f>
        <v>0</v>
      </c>
      <c r="BB43">
        <v>0</v>
      </c>
      <c r="BC43">
        <f xml:space="preserve"> INDEX(Table3[[#All],[Intensity]], Table13[[#This Row],[int'[2']]]+2)</f>
        <v>0</v>
      </c>
      <c r="BD43">
        <f>Table13[[#This Row],[duration'[2']]]*Table13[[#This Row],[intensity'[2']]]</f>
        <v>0</v>
      </c>
      <c r="BE43">
        <f>MOD(Table13[[#This Row],[ZMW num]]+2, 4)</f>
        <v>0</v>
      </c>
      <c r="BF43" s="2" t="str">
        <f>Single2String(Table13[[#This Row],[t1'[0']]])</f>
        <v>00000000</v>
      </c>
      <c r="BG43" s="1" t="str">
        <f>Single2String(Table13[[#This Row],[dt'[0']]])</f>
        <v>00000000</v>
      </c>
      <c r="BH43" s="1" t="str">
        <f>Single2String(Table13[[#This Row],[t1'[1']]])</f>
        <v>00000000</v>
      </c>
      <c r="BI43" s="1" t="str">
        <f>Single2String(Table13[[#This Row],[dt'[1']]])</f>
        <v>00000000</v>
      </c>
      <c r="BJ43" s="1" t="str">
        <f>Single2String(Table13[[#This Row],[t1'[2']]])</f>
        <v>00000000</v>
      </c>
      <c r="BK43" s="1" t="str">
        <f>Single2String(Table13[[#This Row],[dt'[2']]])</f>
        <v>00000000</v>
      </c>
      <c r="BL43" s="1" t="str">
        <f>DEC2HEX(Table13[[#This Row],[ZMW num]], 6)</f>
        <v>000026</v>
      </c>
      <c r="BM43" s="1">
        <f>LEN(Table13[[#This Row],[DRAM data]])</f>
        <v>64</v>
      </c>
      <c r="BN4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0000000000000000000000000000000000000000000000002030000000002600</v>
      </c>
      <c r="CU43"/>
    </row>
    <row r="44" spans="1:99" x14ac:dyDescent="0.25">
      <c r="A44" t="str">
        <f>Single2String(Table13[[#This Row],[duration'[0']]])</f>
        <v>00000000</v>
      </c>
      <c r="B44" t="str">
        <f>Single2String(Table13[[#This Row],[duration'[1']]])</f>
        <v>00000000</v>
      </c>
      <c r="C44" t="str">
        <f>Single2String(Table13[[#This Row],[duration'[2']]])</f>
        <v>00000000</v>
      </c>
      <c r="D44" t="str">
        <f>INDEX(Table3[Hex], Table13[[#This Row],[int'[0']]]+1)</f>
        <v>00000000</v>
      </c>
      <c r="E44" t="str">
        <f>INDEX(Table3[Hex], Table13[[#This Row],[int'[1']]]+1)</f>
        <v>00000000</v>
      </c>
      <c r="F44" t="str">
        <f>INDEX(Table3[Hex], Table13[[#This Row],[int'[1']]]+1)</f>
        <v>00000000</v>
      </c>
      <c r="G44" t="str">
        <f>Single2String(Table13[[#This Row],[c ktrace]])</f>
        <v>00000000</v>
      </c>
      <c r="H44" t="str">
        <f>Single2String(Table13[[#This Row],[a ktrace]])</f>
        <v>00000000</v>
      </c>
      <c r="I44" t="str">
        <f>Single2String(Table13[[#This Row],[g ktrace]])</f>
        <v>00000000</v>
      </c>
      <c r="J44" t="str">
        <f>Single2String(Table13[[#This Row],[t ktrace]])</f>
        <v>00000000</v>
      </c>
      <c r="K44" s="3">
        <v>39</v>
      </c>
      <c r="L44">
        <f>SUM(Table13[[#This Row],[c ktrace'[2']]:[c ktrace'[0']]])</f>
        <v>0</v>
      </c>
      <c r="M44">
        <f>SUM(Table13[[#This Row],[a ktrace'[2']]:[a ktrace'[0']]])</f>
        <v>0</v>
      </c>
      <c r="N44">
        <f>SUM(Table13[[#This Row],[g ktrace'[2']]:[g ktrace'[0']]])</f>
        <v>0</v>
      </c>
      <c r="O44">
        <f>SUM(Table13[[#This Row],[t ktrace'[2']]:[t ktrace'[0']]])</f>
        <v>0</v>
      </c>
      <c r="P44">
        <f xml:space="preserve"> IF(Table13[[#This Row],[dye'[2']]]=3, Table13[[#This Row],[strength'[2']]], 0)</f>
        <v>0</v>
      </c>
      <c r="Q44">
        <f xml:space="preserve"> IF(Table13[[#This Row],[dye'[1']]]=3, Table13[[#This Row],[strength'[1']]], 0)</f>
        <v>0</v>
      </c>
      <c r="R44">
        <f xml:space="preserve"> IF(Table13[[#This Row],[dye'[0']]]=3, Table13[[#This Row],[strength'[0']]], 0)</f>
        <v>0</v>
      </c>
      <c r="S44">
        <f xml:space="preserve"> IF(Table13[[#This Row],[dye'[2']]]=2, Table13[[#This Row],[strength'[2']]], 0)</f>
        <v>0</v>
      </c>
      <c r="T44">
        <f xml:space="preserve"> IF(Table13[[#This Row],[dye'[1']]]=2, Table13[[#This Row],[strength'[1']]], 0)</f>
        <v>0</v>
      </c>
      <c r="U44">
        <f xml:space="preserve"> IF(Table13[[#This Row],[dye'[0']]]=2, Table13[[#This Row],[strength'[0']]], 0)</f>
        <v>0</v>
      </c>
      <c r="V44">
        <f xml:space="preserve"> IF(Table13[[#This Row],[dye'[2']]]=1, Table13[[#This Row],[strength'[2']]], 0)</f>
        <v>0</v>
      </c>
      <c r="W44">
        <f xml:space="preserve"> IF(Table13[[#This Row],[dye'[1']]]=1, Table13[[#This Row],[strength'[1']]], 0)</f>
        <v>0</v>
      </c>
      <c r="X44">
        <f xml:space="preserve"> IF(Table13[[#This Row],[dye'[0']]]=1, Table13[[#This Row],[strength'[0']]], 0)</f>
        <v>0</v>
      </c>
      <c r="Y44">
        <f xml:space="preserve"> IF(Table13[[#This Row],[dye'[2']]]=0, Table13[[#This Row],[strength'[2']]], 0)</f>
        <v>0</v>
      </c>
      <c r="Z44">
        <f xml:space="preserve"> IF(Table13[[#This Row],[dye'[1']]]=0, Table13[[#This Row],[strength'[1']]], 0)</f>
        <v>0</v>
      </c>
      <c r="AA44">
        <f xml:space="preserve"> IF(Table13[[#This Row],[dye'[0']]]=0, Table13[[#This Row],[strength'[0']]], 0)</f>
        <v>0</v>
      </c>
      <c r="AB44">
        <v>0</v>
      </c>
      <c r="AC44">
        <f>MAX($D$2, Table13[[#This Row],[t1'[0']]])</f>
        <v>0</v>
      </c>
      <c r="AD44">
        <v>0</v>
      </c>
      <c r="AE44">
        <f>Table13[[#This Row],[t1'[0']]]+Table13[[#This Row],[dt'[0']]]</f>
        <v>0</v>
      </c>
      <c r="AF44">
        <f>MIN($C$2, Table13[[#This Row],[tf'[0']]])</f>
        <v>0</v>
      </c>
      <c r="AG44">
        <f>Table13[[#This Row],[time2'[0']]]-Table13[[#This Row],[time1'[0']]]</f>
        <v>0</v>
      </c>
      <c r="AH44">
        <v>0</v>
      </c>
      <c r="AI44">
        <f xml:space="preserve"> INDEX(Table3[[#All],[Intensity]], Table13[[#This Row],[int'[0']]]+2)</f>
        <v>0</v>
      </c>
      <c r="AJ44">
        <f>Table13[[#This Row],[duration'[0']]]*Table13[[#This Row],[intensity'[0']]]</f>
        <v>0</v>
      </c>
      <c r="AK44">
        <f>MOD(Table13[[#This Row],[ZMW num]], 4)</f>
        <v>3</v>
      </c>
      <c r="AL44">
        <v>0</v>
      </c>
      <c r="AM44">
        <f>MAX($D$2, Table13[[#This Row],[t1'[1']]])</f>
        <v>0</v>
      </c>
      <c r="AN44">
        <v>0</v>
      </c>
      <c r="AO44">
        <f>Table13[[#This Row],[t1'[1']]]+Table13[[#This Row],[dt'[1']]]</f>
        <v>0</v>
      </c>
      <c r="AP44">
        <f>MIN($C$2, Table13[[#This Row],[tf'[1']]])</f>
        <v>0</v>
      </c>
      <c r="AQ44">
        <f>Table13[[#This Row],[time2'[1']]]-Table13[[#This Row],[time1'[1']]]</f>
        <v>0</v>
      </c>
      <c r="AR44">
        <v>0</v>
      </c>
      <c r="AS44">
        <f xml:space="preserve"> INDEX(Table3[[#All],[Intensity]], Table13[[#This Row],[int'[1']]]+2)</f>
        <v>0</v>
      </c>
      <c r="AT44">
        <f>Table13[[#This Row],[duration'[1']]]*Table13[[#This Row],[intensity'[1']]]</f>
        <v>0</v>
      </c>
      <c r="AU44">
        <f>MOD(Table13[[#This Row],[ZMW num]]+1, 4)</f>
        <v>0</v>
      </c>
      <c r="AV44">
        <v>0</v>
      </c>
      <c r="AW44">
        <f>MAX($D$2, Table13[[#This Row],[t1'[2']]])</f>
        <v>0</v>
      </c>
      <c r="AX44">
        <v>0</v>
      </c>
      <c r="AY44">
        <f>Table13[[#This Row],[t1'[2']]]+Table13[[#This Row],[dt'[2']]]</f>
        <v>0</v>
      </c>
      <c r="AZ44">
        <f>MIN($C$2, Table13[[#This Row],[tf'[2']]])</f>
        <v>0</v>
      </c>
      <c r="BA44">
        <f>Table13[[#This Row],[time2'[2']]]-Table13[[#This Row],[time1'[2']]]</f>
        <v>0</v>
      </c>
      <c r="BB44">
        <v>0</v>
      </c>
      <c r="BC44">
        <f xml:space="preserve"> INDEX(Table3[[#All],[Intensity]], Table13[[#This Row],[int'[2']]]+2)</f>
        <v>0</v>
      </c>
      <c r="BD44">
        <f>Table13[[#This Row],[duration'[2']]]*Table13[[#This Row],[intensity'[2']]]</f>
        <v>0</v>
      </c>
      <c r="BE44">
        <f>MOD(Table13[[#This Row],[ZMW num]]+2, 4)</f>
        <v>1</v>
      </c>
      <c r="BF44" s="2" t="str">
        <f>Single2String(Table13[[#This Row],[t1'[0']]])</f>
        <v>00000000</v>
      </c>
      <c r="BG44" s="1" t="str">
        <f>Single2String(Table13[[#This Row],[dt'[0']]])</f>
        <v>00000000</v>
      </c>
      <c r="BH44" s="1" t="str">
        <f>Single2String(Table13[[#This Row],[t1'[1']]])</f>
        <v>00000000</v>
      </c>
      <c r="BI44" s="1" t="str">
        <f>Single2String(Table13[[#This Row],[dt'[1']]])</f>
        <v>00000000</v>
      </c>
      <c r="BJ44" s="1" t="str">
        <f>Single2String(Table13[[#This Row],[t1'[2']]])</f>
        <v>00000000</v>
      </c>
      <c r="BK44" s="1" t="str">
        <f>Single2String(Table13[[#This Row],[dt'[2']]])</f>
        <v>00000000</v>
      </c>
      <c r="BL44" s="1" t="str">
        <f>DEC2HEX(Table13[[#This Row],[ZMW num]], 6)</f>
        <v>000027</v>
      </c>
      <c r="BM44" s="1">
        <f>LEN(Table13[[#This Row],[DRAM data]])</f>
        <v>64</v>
      </c>
      <c r="BN4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0000000000000000000000000000000000000000000000003000100000002700</v>
      </c>
      <c r="CU44"/>
    </row>
    <row r="45" spans="1:99" x14ac:dyDescent="0.25">
      <c r="A45" t="str">
        <f>Single2String(Table13[[#This Row],[duration'[0']]])</f>
        <v>00000000</v>
      </c>
      <c r="B45" t="str">
        <f>Single2String(Table13[[#This Row],[duration'[1']]])</f>
        <v>00000000</v>
      </c>
      <c r="C45" t="str">
        <f>Single2String(Table13[[#This Row],[duration'[2']]])</f>
        <v>00000000</v>
      </c>
      <c r="D45" t="str">
        <f>INDEX(Table3[Hex], Table13[[#This Row],[int'[0']]]+1)</f>
        <v>00000000</v>
      </c>
      <c r="E45" t="str">
        <f>INDEX(Table3[Hex], Table13[[#This Row],[int'[1']]]+1)</f>
        <v>00000000</v>
      </c>
      <c r="F45" t="str">
        <f>INDEX(Table3[Hex], Table13[[#This Row],[int'[1']]]+1)</f>
        <v>00000000</v>
      </c>
      <c r="G45" t="str">
        <f>Single2String(Table13[[#This Row],[c ktrace]])</f>
        <v>00000000</v>
      </c>
      <c r="H45" t="str">
        <f>Single2String(Table13[[#This Row],[a ktrace]])</f>
        <v>00000000</v>
      </c>
      <c r="I45" t="str">
        <f>Single2String(Table13[[#This Row],[g ktrace]])</f>
        <v>00000000</v>
      </c>
      <c r="J45" t="str">
        <f>Single2String(Table13[[#This Row],[t ktrace]])</f>
        <v>00000000</v>
      </c>
      <c r="K45" s="3">
        <v>40</v>
      </c>
      <c r="L45">
        <f>SUM(Table13[[#This Row],[c ktrace'[2']]:[c ktrace'[0']]])</f>
        <v>0</v>
      </c>
      <c r="M45">
        <f>SUM(Table13[[#This Row],[a ktrace'[2']]:[a ktrace'[0']]])</f>
        <v>0</v>
      </c>
      <c r="N45">
        <f>SUM(Table13[[#This Row],[g ktrace'[2']]:[g ktrace'[0']]])</f>
        <v>0</v>
      </c>
      <c r="O45">
        <f>SUM(Table13[[#This Row],[t ktrace'[2']]:[t ktrace'[0']]])</f>
        <v>0</v>
      </c>
      <c r="P45">
        <f xml:space="preserve"> IF(Table13[[#This Row],[dye'[2']]]=3, Table13[[#This Row],[strength'[2']]], 0)</f>
        <v>0</v>
      </c>
      <c r="Q45">
        <f xml:space="preserve"> IF(Table13[[#This Row],[dye'[1']]]=3, Table13[[#This Row],[strength'[1']]], 0)</f>
        <v>0</v>
      </c>
      <c r="R45">
        <f xml:space="preserve"> IF(Table13[[#This Row],[dye'[0']]]=3, Table13[[#This Row],[strength'[0']]], 0)</f>
        <v>0</v>
      </c>
      <c r="S45">
        <f xml:space="preserve"> IF(Table13[[#This Row],[dye'[2']]]=2, Table13[[#This Row],[strength'[2']]], 0)</f>
        <v>0</v>
      </c>
      <c r="T45">
        <f xml:space="preserve"> IF(Table13[[#This Row],[dye'[1']]]=2, Table13[[#This Row],[strength'[1']]], 0)</f>
        <v>0</v>
      </c>
      <c r="U45">
        <f xml:space="preserve"> IF(Table13[[#This Row],[dye'[0']]]=2, Table13[[#This Row],[strength'[0']]], 0)</f>
        <v>0</v>
      </c>
      <c r="V45">
        <f xml:space="preserve"> IF(Table13[[#This Row],[dye'[2']]]=1, Table13[[#This Row],[strength'[2']]], 0)</f>
        <v>0</v>
      </c>
      <c r="W45">
        <f xml:space="preserve"> IF(Table13[[#This Row],[dye'[1']]]=1, Table13[[#This Row],[strength'[1']]], 0)</f>
        <v>0</v>
      </c>
      <c r="X45">
        <f xml:space="preserve"> IF(Table13[[#This Row],[dye'[0']]]=1, Table13[[#This Row],[strength'[0']]], 0)</f>
        <v>0</v>
      </c>
      <c r="Y45">
        <f xml:space="preserve"> IF(Table13[[#This Row],[dye'[2']]]=0, Table13[[#This Row],[strength'[2']]], 0)</f>
        <v>0</v>
      </c>
      <c r="Z45">
        <f xml:space="preserve"> IF(Table13[[#This Row],[dye'[1']]]=0, Table13[[#This Row],[strength'[1']]], 0)</f>
        <v>0</v>
      </c>
      <c r="AA45">
        <f xml:space="preserve"> IF(Table13[[#This Row],[dye'[0']]]=0, Table13[[#This Row],[strength'[0']]], 0)</f>
        <v>0</v>
      </c>
      <c r="AB45">
        <v>0</v>
      </c>
      <c r="AC45">
        <f>MAX($D$2, Table13[[#This Row],[t1'[0']]])</f>
        <v>0</v>
      </c>
      <c r="AD45">
        <v>0</v>
      </c>
      <c r="AE45">
        <f>Table13[[#This Row],[t1'[0']]]+Table13[[#This Row],[dt'[0']]]</f>
        <v>0</v>
      </c>
      <c r="AF45">
        <f>MIN($C$2, Table13[[#This Row],[tf'[0']]])</f>
        <v>0</v>
      </c>
      <c r="AG45">
        <f>Table13[[#This Row],[time2'[0']]]-Table13[[#This Row],[time1'[0']]]</f>
        <v>0</v>
      </c>
      <c r="AH45">
        <v>0</v>
      </c>
      <c r="AI45">
        <f xml:space="preserve"> INDEX(Table3[[#All],[Intensity]], Table13[[#This Row],[int'[0']]]+2)</f>
        <v>0</v>
      </c>
      <c r="AJ45">
        <f>Table13[[#This Row],[duration'[0']]]*Table13[[#This Row],[intensity'[0']]]</f>
        <v>0</v>
      </c>
      <c r="AK45">
        <f>MOD(Table13[[#This Row],[ZMW num]], 4)</f>
        <v>0</v>
      </c>
      <c r="AL45">
        <v>0</v>
      </c>
      <c r="AM45">
        <f>MAX($D$2, Table13[[#This Row],[t1'[1']]])</f>
        <v>0</v>
      </c>
      <c r="AN45">
        <v>0</v>
      </c>
      <c r="AO45">
        <f>Table13[[#This Row],[t1'[1']]]+Table13[[#This Row],[dt'[1']]]</f>
        <v>0</v>
      </c>
      <c r="AP45">
        <f>MIN($C$2, Table13[[#This Row],[tf'[1']]])</f>
        <v>0</v>
      </c>
      <c r="AQ45">
        <f>Table13[[#This Row],[time2'[1']]]-Table13[[#This Row],[time1'[1']]]</f>
        <v>0</v>
      </c>
      <c r="AR45">
        <v>0</v>
      </c>
      <c r="AS45">
        <f xml:space="preserve"> INDEX(Table3[[#All],[Intensity]], Table13[[#This Row],[int'[1']]]+2)</f>
        <v>0</v>
      </c>
      <c r="AT45">
        <f>Table13[[#This Row],[duration'[1']]]*Table13[[#This Row],[intensity'[1']]]</f>
        <v>0</v>
      </c>
      <c r="AU45">
        <f>MOD(Table13[[#This Row],[ZMW num]]+1, 4)</f>
        <v>1</v>
      </c>
      <c r="AV45">
        <v>0</v>
      </c>
      <c r="AW45">
        <f>MAX($D$2, Table13[[#This Row],[t1'[2']]])</f>
        <v>0</v>
      </c>
      <c r="AX45">
        <v>0</v>
      </c>
      <c r="AY45">
        <f>Table13[[#This Row],[t1'[2']]]+Table13[[#This Row],[dt'[2']]]</f>
        <v>0</v>
      </c>
      <c r="AZ45">
        <f>MIN($C$2, Table13[[#This Row],[tf'[2']]])</f>
        <v>0</v>
      </c>
      <c r="BA45">
        <f>Table13[[#This Row],[time2'[2']]]-Table13[[#This Row],[time1'[2']]]</f>
        <v>0</v>
      </c>
      <c r="BB45">
        <v>0</v>
      </c>
      <c r="BC45">
        <f xml:space="preserve"> INDEX(Table3[[#All],[Intensity]], Table13[[#This Row],[int'[2']]]+2)</f>
        <v>0</v>
      </c>
      <c r="BD45">
        <f>Table13[[#This Row],[duration'[2']]]*Table13[[#This Row],[intensity'[2']]]</f>
        <v>0</v>
      </c>
      <c r="BE45">
        <f>MOD(Table13[[#This Row],[ZMW num]]+2, 4)</f>
        <v>2</v>
      </c>
      <c r="BF45" s="2" t="str">
        <f>Single2String(Table13[[#This Row],[t1'[0']]])</f>
        <v>00000000</v>
      </c>
      <c r="BG45" s="1" t="str">
        <f>Single2String(Table13[[#This Row],[dt'[0']]])</f>
        <v>00000000</v>
      </c>
      <c r="BH45" s="1" t="str">
        <f>Single2String(Table13[[#This Row],[t1'[1']]])</f>
        <v>00000000</v>
      </c>
      <c r="BI45" s="1" t="str">
        <f>Single2String(Table13[[#This Row],[dt'[1']]])</f>
        <v>00000000</v>
      </c>
      <c r="BJ45" s="1" t="str">
        <f>Single2String(Table13[[#This Row],[t1'[2']]])</f>
        <v>00000000</v>
      </c>
      <c r="BK45" s="1" t="str">
        <f>Single2String(Table13[[#This Row],[dt'[2']]])</f>
        <v>00000000</v>
      </c>
      <c r="BL45" s="1" t="str">
        <f>DEC2HEX(Table13[[#This Row],[ZMW num]], 6)</f>
        <v>000028</v>
      </c>
      <c r="BM45" s="1">
        <f>LEN(Table13[[#This Row],[DRAM data]])</f>
        <v>64</v>
      </c>
      <c r="BN4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0000000000000000000000000000000000000000000000000010200000002800</v>
      </c>
      <c r="CU45"/>
    </row>
    <row r="46" spans="1:99" x14ac:dyDescent="0.25">
      <c r="A46" t="str">
        <f>Single2String(Table13[[#This Row],[duration'[0']]])</f>
        <v>00000000</v>
      </c>
      <c r="B46" t="str">
        <f>Single2String(Table13[[#This Row],[duration'[1']]])</f>
        <v>00000000</v>
      </c>
      <c r="C46" t="str">
        <f>Single2String(Table13[[#This Row],[duration'[2']]])</f>
        <v>00000000</v>
      </c>
      <c r="D46" t="str">
        <f>INDEX(Table3[Hex], Table13[[#This Row],[int'[0']]]+1)</f>
        <v>00000000</v>
      </c>
      <c r="E46" t="str">
        <f>INDEX(Table3[Hex], Table13[[#This Row],[int'[1']]]+1)</f>
        <v>00000000</v>
      </c>
      <c r="F46" t="str">
        <f>INDEX(Table3[Hex], Table13[[#This Row],[int'[1']]]+1)</f>
        <v>00000000</v>
      </c>
      <c r="G46" t="str">
        <f>Single2String(Table13[[#This Row],[c ktrace]])</f>
        <v>00000000</v>
      </c>
      <c r="H46" t="str">
        <f>Single2String(Table13[[#This Row],[a ktrace]])</f>
        <v>00000000</v>
      </c>
      <c r="I46" t="str">
        <f>Single2String(Table13[[#This Row],[g ktrace]])</f>
        <v>00000000</v>
      </c>
      <c r="J46" t="str">
        <f>Single2String(Table13[[#This Row],[t ktrace]])</f>
        <v>00000000</v>
      </c>
      <c r="K46" s="3">
        <v>41</v>
      </c>
      <c r="L46">
        <f>SUM(Table13[[#This Row],[c ktrace'[2']]:[c ktrace'[0']]])</f>
        <v>0</v>
      </c>
      <c r="M46">
        <f>SUM(Table13[[#This Row],[a ktrace'[2']]:[a ktrace'[0']]])</f>
        <v>0</v>
      </c>
      <c r="N46">
        <f>SUM(Table13[[#This Row],[g ktrace'[2']]:[g ktrace'[0']]])</f>
        <v>0</v>
      </c>
      <c r="O46">
        <f>SUM(Table13[[#This Row],[t ktrace'[2']]:[t ktrace'[0']]])</f>
        <v>0</v>
      </c>
      <c r="P46">
        <f xml:space="preserve"> IF(Table13[[#This Row],[dye'[2']]]=3, Table13[[#This Row],[strength'[2']]], 0)</f>
        <v>0</v>
      </c>
      <c r="Q46">
        <f xml:space="preserve"> IF(Table13[[#This Row],[dye'[1']]]=3, Table13[[#This Row],[strength'[1']]], 0)</f>
        <v>0</v>
      </c>
      <c r="R46">
        <f xml:space="preserve"> IF(Table13[[#This Row],[dye'[0']]]=3, Table13[[#This Row],[strength'[0']]], 0)</f>
        <v>0</v>
      </c>
      <c r="S46">
        <f xml:space="preserve"> IF(Table13[[#This Row],[dye'[2']]]=2, Table13[[#This Row],[strength'[2']]], 0)</f>
        <v>0</v>
      </c>
      <c r="T46">
        <f xml:space="preserve"> IF(Table13[[#This Row],[dye'[1']]]=2, Table13[[#This Row],[strength'[1']]], 0)</f>
        <v>0</v>
      </c>
      <c r="U46">
        <f xml:space="preserve"> IF(Table13[[#This Row],[dye'[0']]]=2, Table13[[#This Row],[strength'[0']]], 0)</f>
        <v>0</v>
      </c>
      <c r="V46">
        <f xml:space="preserve"> IF(Table13[[#This Row],[dye'[2']]]=1, Table13[[#This Row],[strength'[2']]], 0)</f>
        <v>0</v>
      </c>
      <c r="W46">
        <f xml:space="preserve"> IF(Table13[[#This Row],[dye'[1']]]=1, Table13[[#This Row],[strength'[1']]], 0)</f>
        <v>0</v>
      </c>
      <c r="X46">
        <f xml:space="preserve"> IF(Table13[[#This Row],[dye'[0']]]=1, Table13[[#This Row],[strength'[0']]], 0)</f>
        <v>0</v>
      </c>
      <c r="Y46">
        <f xml:space="preserve"> IF(Table13[[#This Row],[dye'[2']]]=0, Table13[[#This Row],[strength'[2']]], 0)</f>
        <v>0</v>
      </c>
      <c r="Z46">
        <f xml:space="preserve"> IF(Table13[[#This Row],[dye'[1']]]=0, Table13[[#This Row],[strength'[1']]], 0)</f>
        <v>0</v>
      </c>
      <c r="AA46">
        <f xml:space="preserve"> IF(Table13[[#This Row],[dye'[0']]]=0, Table13[[#This Row],[strength'[0']]], 0)</f>
        <v>0</v>
      </c>
      <c r="AB46">
        <v>0</v>
      </c>
      <c r="AC46">
        <f>MAX($D$2, Table13[[#This Row],[t1'[0']]])</f>
        <v>0</v>
      </c>
      <c r="AD46">
        <v>0</v>
      </c>
      <c r="AE46">
        <f>Table13[[#This Row],[t1'[0']]]+Table13[[#This Row],[dt'[0']]]</f>
        <v>0</v>
      </c>
      <c r="AF46">
        <f>MIN($C$2, Table13[[#This Row],[tf'[0']]])</f>
        <v>0</v>
      </c>
      <c r="AG46">
        <f>Table13[[#This Row],[time2'[0']]]-Table13[[#This Row],[time1'[0']]]</f>
        <v>0</v>
      </c>
      <c r="AH46">
        <v>0</v>
      </c>
      <c r="AI46">
        <f xml:space="preserve"> INDEX(Table3[[#All],[Intensity]], Table13[[#This Row],[int'[0']]]+2)</f>
        <v>0</v>
      </c>
      <c r="AJ46">
        <f>Table13[[#This Row],[duration'[0']]]*Table13[[#This Row],[intensity'[0']]]</f>
        <v>0</v>
      </c>
      <c r="AK46">
        <f>MOD(Table13[[#This Row],[ZMW num]], 4)</f>
        <v>1</v>
      </c>
      <c r="AL46">
        <v>0</v>
      </c>
      <c r="AM46">
        <f>MAX($D$2, Table13[[#This Row],[t1'[1']]])</f>
        <v>0</v>
      </c>
      <c r="AN46">
        <v>0</v>
      </c>
      <c r="AO46">
        <f>Table13[[#This Row],[t1'[1']]]+Table13[[#This Row],[dt'[1']]]</f>
        <v>0</v>
      </c>
      <c r="AP46">
        <f>MIN($C$2, Table13[[#This Row],[tf'[1']]])</f>
        <v>0</v>
      </c>
      <c r="AQ46">
        <f>Table13[[#This Row],[time2'[1']]]-Table13[[#This Row],[time1'[1']]]</f>
        <v>0</v>
      </c>
      <c r="AR46">
        <v>0</v>
      </c>
      <c r="AS46">
        <f xml:space="preserve"> INDEX(Table3[[#All],[Intensity]], Table13[[#This Row],[int'[1']]]+2)</f>
        <v>0</v>
      </c>
      <c r="AT46">
        <f>Table13[[#This Row],[duration'[1']]]*Table13[[#This Row],[intensity'[1']]]</f>
        <v>0</v>
      </c>
      <c r="AU46">
        <f>MOD(Table13[[#This Row],[ZMW num]]+1, 4)</f>
        <v>2</v>
      </c>
      <c r="AV46">
        <v>0</v>
      </c>
      <c r="AW46">
        <f>MAX($D$2, Table13[[#This Row],[t1'[2']]])</f>
        <v>0</v>
      </c>
      <c r="AX46">
        <v>0</v>
      </c>
      <c r="AY46">
        <f>Table13[[#This Row],[t1'[2']]]+Table13[[#This Row],[dt'[2']]]</f>
        <v>0</v>
      </c>
      <c r="AZ46">
        <f>MIN($C$2, Table13[[#This Row],[tf'[2']]])</f>
        <v>0</v>
      </c>
      <c r="BA46">
        <f>Table13[[#This Row],[time2'[2']]]-Table13[[#This Row],[time1'[2']]]</f>
        <v>0</v>
      </c>
      <c r="BB46">
        <v>0</v>
      </c>
      <c r="BC46">
        <f xml:space="preserve"> INDEX(Table3[[#All],[Intensity]], Table13[[#This Row],[int'[2']]]+2)</f>
        <v>0</v>
      </c>
      <c r="BD46">
        <f>Table13[[#This Row],[duration'[2']]]*Table13[[#This Row],[intensity'[2']]]</f>
        <v>0</v>
      </c>
      <c r="BE46">
        <f>MOD(Table13[[#This Row],[ZMW num]]+2, 4)</f>
        <v>3</v>
      </c>
      <c r="BF46" s="2" t="str">
        <f>Single2String(Table13[[#This Row],[t1'[0']]])</f>
        <v>00000000</v>
      </c>
      <c r="BG46" s="1" t="str">
        <f>Single2String(Table13[[#This Row],[dt'[0']]])</f>
        <v>00000000</v>
      </c>
      <c r="BH46" s="1" t="str">
        <f>Single2String(Table13[[#This Row],[t1'[1']]])</f>
        <v>00000000</v>
      </c>
      <c r="BI46" s="1" t="str">
        <f>Single2String(Table13[[#This Row],[dt'[1']]])</f>
        <v>00000000</v>
      </c>
      <c r="BJ46" s="1" t="str">
        <f>Single2String(Table13[[#This Row],[t1'[2']]])</f>
        <v>00000000</v>
      </c>
      <c r="BK46" s="1" t="str">
        <f>Single2String(Table13[[#This Row],[dt'[2']]])</f>
        <v>00000000</v>
      </c>
      <c r="BL46" s="1" t="str">
        <f>DEC2HEX(Table13[[#This Row],[ZMW num]], 6)</f>
        <v>000029</v>
      </c>
      <c r="BM46" s="1">
        <f>LEN(Table13[[#This Row],[DRAM data]])</f>
        <v>64</v>
      </c>
      <c r="BN4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0000000000000000000000000000000000000000000000001020300000002900</v>
      </c>
      <c r="CU46"/>
    </row>
    <row r="47" spans="1:99" x14ac:dyDescent="0.25">
      <c r="A47" t="str">
        <f>Single2String(Table13[[#This Row],[duration'[0']]])</f>
        <v>00000000</v>
      </c>
      <c r="B47" t="str">
        <f>Single2String(Table13[[#This Row],[duration'[1']]])</f>
        <v>00000000</v>
      </c>
      <c r="C47" t="str">
        <f>Single2String(Table13[[#This Row],[duration'[2']]])</f>
        <v>00000000</v>
      </c>
      <c r="D47" t="str">
        <f>INDEX(Table3[Hex], Table13[[#This Row],[int'[0']]]+1)</f>
        <v>00000000</v>
      </c>
      <c r="E47" t="str">
        <f>INDEX(Table3[Hex], Table13[[#This Row],[int'[1']]]+1)</f>
        <v>00000000</v>
      </c>
      <c r="F47" t="str">
        <f>INDEX(Table3[Hex], Table13[[#This Row],[int'[1']]]+1)</f>
        <v>00000000</v>
      </c>
      <c r="G47" t="str">
        <f>Single2String(Table13[[#This Row],[c ktrace]])</f>
        <v>00000000</v>
      </c>
      <c r="H47" t="str">
        <f>Single2String(Table13[[#This Row],[a ktrace]])</f>
        <v>00000000</v>
      </c>
      <c r="I47" t="str">
        <f>Single2String(Table13[[#This Row],[g ktrace]])</f>
        <v>00000000</v>
      </c>
      <c r="J47" t="str">
        <f>Single2String(Table13[[#This Row],[t ktrace]])</f>
        <v>00000000</v>
      </c>
      <c r="K47" s="3">
        <v>42</v>
      </c>
      <c r="L47">
        <f>SUM(Table13[[#This Row],[c ktrace'[2']]:[c ktrace'[0']]])</f>
        <v>0</v>
      </c>
      <c r="M47">
        <f>SUM(Table13[[#This Row],[a ktrace'[2']]:[a ktrace'[0']]])</f>
        <v>0</v>
      </c>
      <c r="N47">
        <f>SUM(Table13[[#This Row],[g ktrace'[2']]:[g ktrace'[0']]])</f>
        <v>0</v>
      </c>
      <c r="O47">
        <f>SUM(Table13[[#This Row],[t ktrace'[2']]:[t ktrace'[0']]])</f>
        <v>0</v>
      </c>
      <c r="P47">
        <f xml:space="preserve"> IF(Table13[[#This Row],[dye'[2']]]=3, Table13[[#This Row],[strength'[2']]], 0)</f>
        <v>0</v>
      </c>
      <c r="Q47">
        <f xml:space="preserve"> IF(Table13[[#This Row],[dye'[1']]]=3, Table13[[#This Row],[strength'[1']]], 0)</f>
        <v>0</v>
      </c>
      <c r="R47">
        <f xml:space="preserve"> IF(Table13[[#This Row],[dye'[0']]]=3, Table13[[#This Row],[strength'[0']]], 0)</f>
        <v>0</v>
      </c>
      <c r="S47">
        <f xml:space="preserve"> IF(Table13[[#This Row],[dye'[2']]]=2, Table13[[#This Row],[strength'[2']]], 0)</f>
        <v>0</v>
      </c>
      <c r="T47">
        <f xml:space="preserve"> IF(Table13[[#This Row],[dye'[1']]]=2, Table13[[#This Row],[strength'[1']]], 0)</f>
        <v>0</v>
      </c>
      <c r="U47">
        <f xml:space="preserve"> IF(Table13[[#This Row],[dye'[0']]]=2, Table13[[#This Row],[strength'[0']]], 0)</f>
        <v>0</v>
      </c>
      <c r="V47">
        <f xml:space="preserve"> IF(Table13[[#This Row],[dye'[2']]]=1, Table13[[#This Row],[strength'[2']]], 0)</f>
        <v>0</v>
      </c>
      <c r="W47">
        <f xml:space="preserve"> IF(Table13[[#This Row],[dye'[1']]]=1, Table13[[#This Row],[strength'[1']]], 0)</f>
        <v>0</v>
      </c>
      <c r="X47">
        <f xml:space="preserve"> IF(Table13[[#This Row],[dye'[0']]]=1, Table13[[#This Row],[strength'[0']]], 0)</f>
        <v>0</v>
      </c>
      <c r="Y47">
        <f xml:space="preserve"> IF(Table13[[#This Row],[dye'[2']]]=0, Table13[[#This Row],[strength'[2']]], 0)</f>
        <v>0</v>
      </c>
      <c r="Z47">
        <f xml:space="preserve"> IF(Table13[[#This Row],[dye'[1']]]=0, Table13[[#This Row],[strength'[1']]], 0)</f>
        <v>0</v>
      </c>
      <c r="AA47">
        <f xml:space="preserve"> IF(Table13[[#This Row],[dye'[0']]]=0, Table13[[#This Row],[strength'[0']]], 0)</f>
        <v>0</v>
      </c>
      <c r="AB47">
        <v>0</v>
      </c>
      <c r="AC47">
        <f>MAX($D$2, Table13[[#This Row],[t1'[0']]])</f>
        <v>0</v>
      </c>
      <c r="AD47">
        <v>0</v>
      </c>
      <c r="AE47">
        <f>Table13[[#This Row],[t1'[0']]]+Table13[[#This Row],[dt'[0']]]</f>
        <v>0</v>
      </c>
      <c r="AF47">
        <f>MIN($C$2, Table13[[#This Row],[tf'[0']]])</f>
        <v>0</v>
      </c>
      <c r="AG47">
        <f>Table13[[#This Row],[time2'[0']]]-Table13[[#This Row],[time1'[0']]]</f>
        <v>0</v>
      </c>
      <c r="AH47">
        <v>0</v>
      </c>
      <c r="AI47">
        <f xml:space="preserve"> INDEX(Table3[[#All],[Intensity]], Table13[[#This Row],[int'[0']]]+2)</f>
        <v>0</v>
      </c>
      <c r="AJ47">
        <f>Table13[[#This Row],[duration'[0']]]*Table13[[#This Row],[intensity'[0']]]</f>
        <v>0</v>
      </c>
      <c r="AK47">
        <f>MOD(Table13[[#This Row],[ZMW num]], 4)</f>
        <v>2</v>
      </c>
      <c r="AL47">
        <v>0</v>
      </c>
      <c r="AM47">
        <f>MAX($D$2, Table13[[#This Row],[t1'[1']]])</f>
        <v>0</v>
      </c>
      <c r="AN47">
        <v>0</v>
      </c>
      <c r="AO47">
        <f>Table13[[#This Row],[t1'[1']]]+Table13[[#This Row],[dt'[1']]]</f>
        <v>0</v>
      </c>
      <c r="AP47">
        <f>MIN($C$2, Table13[[#This Row],[tf'[1']]])</f>
        <v>0</v>
      </c>
      <c r="AQ47">
        <f>Table13[[#This Row],[time2'[1']]]-Table13[[#This Row],[time1'[1']]]</f>
        <v>0</v>
      </c>
      <c r="AR47">
        <v>0</v>
      </c>
      <c r="AS47">
        <f xml:space="preserve"> INDEX(Table3[[#All],[Intensity]], Table13[[#This Row],[int'[1']]]+2)</f>
        <v>0</v>
      </c>
      <c r="AT47">
        <f>Table13[[#This Row],[duration'[1']]]*Table13[[#This Row],[intensity'[1']]]</f>
        <v>0</v>
      </c>
      <c r="AU47">
        <f>MOD(Table13[[#This Row],[ZMW num]]+1, 4)</f>
        <v>3</v>
      </c>
      <c r="AV47">
        <v>0</v>
      </c>
      <c r="AW47">
        <f>MAX($D$2, Table13[[#This Row],[t1'[2']]])</f>
        <v>0</v>
      </c>
      <c r="AX47">
        <v>0</v>
      </c>
      <c r="AY47">
        <f>Table13[[#This Row],[t1'[2']]]+Table13[[#This Row],[dt'[2']]]</f>
        <v>0</v>
      </c>
      <c r="AZ47">
        <f>MIN($C$2, Table13[[#This Row],[tf'[2']]])</f>
        <v>0</v>
      </c>
      <c r="BA47">
        <f>Table13[[#This Row],[time2'[2']]]-Table13[[#This Row],[time1'[2']]]</f>
        <v>0</v>
      </c>
      <c r="BB47">
        <v>0</v>
      </c>
      <c r="BC47">
        <f xml:space="preserve"> INDEX(Table3[[#All],[Intensity]], Table13[[#This Row],[int'[2']]]+2)</f>
        <v>0</v>
      </c>
      <c r="BD47">
        <f>Table13[[#This Row],[duration'[2']]]*Table13[[#This Row],[intensity'[2']]]</f>
        <v>0</v>
      </c>
      <c r="BE47">
        <f>MOD(Table13[[#This Row],[ZMW num]]+2, 4)</f>
        <v>0</v>
      </c>
      <c r="BF47" s="2" t="str">
        <f>Single2String(Table13[[#This Row],[t1'[0']]])</f>
        <v>00000000</v>
      </c>
      <c r="BG47" s="1" t="str">
        <f>Single2String(Table13[[#This Row],[dt'[0']]])</f>
        <v>00000000</v>
      </c>
      <c r="BH47" s="1" t="str">
        <f>Single2String(Table13[[#This Row],[t1'[1']]])</f>
        <v>00000000</v>
      </c>
      <c r="BI47" s="1" t="str">
        <f>Single2String(Table13[[#This Row],[dt'[1']]])</f>
        <v>00000000</v>
      </c>
      <c r="BJ47" s="1" t="str">
        <f>Single2String(Table13[[#This Row],[t1'[2']]])</f>
        <v>00000000</v>
      </c>
      <c r="BK47" s="1" t="str">
        <f>Single2String(Table13[[#This Row],[dt'[2']]])</f>
        <v>00000000</v>
      </c>
      <c r="BL47" s="1" t="str">
        <f>DEC2HEX(Table13[[#This Row],[ZMW num]], 6)</f>
        <v>00002A</v>
      </c>
      <c r="BM47" s="1">
        <f>LEN(Table13[[#This Row],[DRAM data]])</f>
        <v>64</v>
      </c>
      <c r="BN4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0000000000000000000000000000000000000000000000002030000000002A00</v>
      </c>
      <c r="CU47"/>
    </row>
    <row r="48" spans="1:99" x14ac:dyDescent="0.25">
      <c r="A48" t="str">
        <f>Single2String(Table13[[#This Row],[duration'[0']]])</f>
        <v>00000000</v>
      </c>
      <c r="B48" t="str">
        <f>Single2String(Table13[[#This Row],[duration'[1']]])</f>
        <v>00000000</v>
      </c>
      <c r="C48" t="str">
        <f>Single2String(Table13[[#This Row],[duration'[2']]])</f>
        <v>00000000</v>
      </c>
      <c r="D48" t="str">
        <f>INDEX(Table3[Hex], Table13[[#This Row],[int'[0']]]+1)</f>
        <v>00000000</v>
      </c>
      <c r="E48" t="str">
        <f>INDEX(Table3[Hex], Table13[[#This Row],[int'[1']]]+1)</f>
        <v>00000000</v>
      </c>
      <c r="F48" t="str">
        <f>INDEX(Table3[Hex], Table13[[#This Row],[int'[1']]]+1)</f>
        <v>00000000</v>
      </c>
      <c r="G48" t="str">
        <f>Single2String(Table13[[#This Row],[c ktrace]])</f>
        <v>00000000</v>
      </c>
      <c r="H48" t="str">
        <f>Single2String(Table13[[#This Row],[a ktrace]])</f>
        <v>00000000</v>
      </c>
      <c r="I48" t="str">
        <f>Single2String(Table13[[#This Row],[g ktrace]])</f>
        <v>00000000</v>
      </c>
      <c r="J48" t="str">
        <f>Single2String(Table13[[#This Row],[t ktrace]])</f>
        <v>00000000</v>
      </c>
      <c r="K48" s="3">
        <v>43</v>
      </c>
      <c r="L48">
        <f>SUM(Table13[[#This Row],[c ktrace'[2']]:[c ktrace'[0']]])</f>
        <v>0</v>
      </c>
      <c r="M48">
        <f>SUM(Table13[[#This Row],[a ktrace'[2']]:[a ktrace'[0']]])</f>
        <v>0</v>
      </c>
      <c r="N48">
        <f>SUM(Table13[[#This Row],[g ktrace'[2']]:[g ktrace'[0']]])</f>
        <v>0</v>
      </c>
      <c r="O48">
        <f>SUM(Table13[[#This Row],[t ktrace'[2']]:[t ktrace'[0']]])</f>
        <v>0</v>
      </c>
      <c r="P48">
        <f xml:space="preserve"> IF(Table13[[#This Row],[dye'[2']]]=3, Table13[[#This Row],[strength'[2']]], 0)</f>
        <v>0</v>
      </c>
      <c r="Q48">
        <f xml:space="preserve"> IF(Table13[[#This Row],[dye'[1']]]=3, Table13[[#This Row],[strength'[1']]], 0)</f>
        <v>0</v>
      </c>
      <c r="R48">
        <f xml:space="preserve"> IF(Table13[[#This Row],[dye'[0']]]=3, Table13[[#This Row],[strength'[0']]], 0)</f>
        <v>0</v>
      </c>
      <c r="S48">
        <f xml:space="preserve"> IF(Table13[[#This Row],[dye'[2']]]=2, Table13[[#This Row],[strength'[2']]], 0)</f>
        <v>0</v>
      </c>
      <c r="T48">
        <f xml:space="preserve"> IF(Table13[[#This Row],[dye'[1']]]=2, Table13[[#This Row],[strength'[1']]], 0)</f>
        <v>0</v>
      </c>
      <c r="U48">
        <f xml:space="preserve"> IF(Table13[[#This Row],[dye'[0']]]=2, Table13[[#This Row],[strength'[0']]], 0)</f>
        <v>0</v>
      </c>
      <c r="V48">
        <f xml:space="preserve"> IF(Table13[[#This Row],[dye'[2']]]=1, Table13[[#This Row],[strength'[2']]], 0)</f>
        <v>0</v>
      </c>
      <c r="W48">
        <f xml:space="preserve"> IF(Table13[[#This Row],[dye'[1']]]=1, Table13[[#This Row],[strength'[1']]], 0)</f>
        <v>0</v>
      </c>
      <c r="X48">
        <f xml:space="preserve"> IF(Table13[[#This Row],[dye'[0']]]=1, Table13[[#This Row],[strength'[0']]], 0)</f>
        <v>0</v>
      </c>
      <c r="Y48">
        <f xml:space="preserve"> IF(Table13[[#This Row],[dye'[2']]]=0, Table13[[#This Row],[strength'[2']]], 0)</f>
        <v>0</v>
      </c>
      <c r="Z48">
        <f xml:space="preserve"> IF(Table13[[#This Row],[dye'[1']]]=0, Table13[[#This Row],[strength'[1']]], 0)</f>
        <v>0</v>
      </c>
      <c r="AA48">
        <f xml:space="preserve"> IF(Table13[[#This Row],[dye'[0']]]=0, Table13[[#This Row],[strength'[0']]], 0)</f>
        <v>0</v>
      </c>
      <c r="AB48">
        <v>0</v>
      </c>
      <c r="AC48">
        <f>MAX($D$2, Table13[[#This Row],[t1'[0']]])</f>
        <v>0</v>
      </c>
      <c r="AD48">
        <v>0</v>
      </c>
      <c r="AE48">
        <f>Table13[[#This Row],[t1'[0']]]+Table13[[#This Row],[dt'[0']]]</f>
        <v>0</v>
      </c>
      <c r="AF48">
        <f>MIN($C$2, Table13[[#This Row],[tf'[0']]])</f>
        <v>0</v>
      </c>
      <c r="AG48">
        <f>Table13[[#This Row],[time2'[0']]]-Table13[[#This Row],[time1'[0']]]</f>
        <v>0</v>
      </c>
      <c r="AH48">
        <v>0</v>
      </c>
      <c r="AI48">
        <f xml:space="preserve"> INDEX(Table3[[#All],[Intensity]], Table13[[#This Row],[int'[0']]]+2)</f>
        <v>0</v>
      </c>
      <c r="AJ48">
        <f>Table13[[#This Row],[duration'[0']]]*Table13[[#This Row],[intensity'[0']]]</f>
        <v>0</v>
      </c>
      <c r="AK48">
        <f>MOD(Table13[[#This Row],[ZMW num]], 4)</f>
        <v>3</v>
      </c>
      <c r="AL48">
        <v>0</v>
      </c>
      <c r="AM48">
        <f>MAX($D$2, Table13[[#This Row],[t1'[1']]])</f>
        <v>0</v>
      </c>
      <c r="AN48">
        <v>0</v>
      </c>
      <c r="AO48">
        <f>Table13[[#This Row],[t1'[1']]]+Table13[[#This Row],[dt'[1']]]</f>
        <v>0</v>
      </c>
      <c r="AP48">
        <f>MIN($C$2, Table13[[#This Row],[tf'[1']]])</f>
        <v>0</v>
      </c>
      <c r="AQ48">
        <f>Table13[[#This Row],[time2'[1']]]-Table13[[#This Row],[time1'[1']]]</f>
        <v>0</v>
      </c>
      <c r="AR48">
        <v>0</v>
      </c>
      <c r="AS48">
        <f xml:space="preserve"> INDEX(Table3[[#All],[Intensity]], Table13[[#This Row],[int'[1']]]+2)</f>
        <v>0</v>
      </c>
      <c r="AT48">
        <f>Table13[[#This Row],[duration'[1']]]*Table13[[#This Row],[intensity'[1']]]</f>
        <v>0</v>
      </c>
      <c r="AU48">
        <f>MOD(Table13[[#This Row],[ZMW num]]+1, 4)</f>
        <v>0</v>
      </c>
      <c r="AV48">
        <v>0</v>
      </c>
      <c r="AW48">
        <f>MAX($D$2, Table13[[#This Row],[t1'[2']]])</f>
        <v>0</v>
      </c>
      <c r="AX48">
        <v>0</v>
      </c>
      <c r="AY48">
        <f>Table13[[#This Row],[t1'[2']]]+Table13[[#This Row],[dt'[2']]]</f>
        <v>0</v>
      </c>
      <c r="AZ48">
        <f>MIN($C$2, Table13[[#This Row],[tf'[2']]])</f>
        <v>0</v>
      </c>
      <c r="BA48">
        <f>Table13[[#This Row],[time2'[2']]]-Table13[[#This Row],[time1'[2']]]</f>
        <v>0</v>
      </c>
      <c r="BB48">
        <v>0</v>
      </c>
      <c r="BC48">
        <f xml:space="preserve"> INDEX(Table3[[#All],[Intensity]], Table13[[#This Row],[int'[2']]]+2)</f>
        <v>0</v>
      </c>
      <c r="BD48">
        <f>Table13[[#This Row],[duration'[2']]]*Table13[[#This Row],[intensity'[2']]]</f>
        <v>0</v>
      </c>
      <c r="BE48">
        <f>MOD(Table13[[#This Row],[ZMW num]]+2, 4)</f>
        <v>1</v>
      </c>
      <c r="BF48" s="2" t="str">
        <f>Single2String(Table13[[#This Row],[t1'[0']]])</f>
        <v>00000000</v>
      </c>
      <c r="BG48" s="1" t="str">
        <f>Single2String(Table13[[#This Row],[dt'[0']]])</f>
        <v>00000000</v>
      </c>
      <c r="BH48" s="1" t="str">
        <f>Single2String(Table13[[#This Row],[t1'[1']]])</f>
        <v>00000000</v>
      </c>
      <c r="BI48" s="1" t="str">
        <f>Single2String(Table13[[#This Row],[dt'[1']]])</f>
        <v>00000000</v>
      </c>
      <c r="BJ48" s="1" t="str">
        <f>Single2String(Table13[[#This Row],[t1'[2']]])</f>
        <v>00000000</v>
      </c>
      <c r="BK48" s="1" t="str">
        <f>Single2String(Table13[[#This Row],[dt'[2']]])</f>
        <v>00000000</v>
      </c>
      <c r="BL48" s="1" t="str">
        <f>DEC2HEX(Table13[[#This Row],[ZMW num]], 6)</f>
        <v>00002B</v>
      </c>
      <c r="BM48" s="1">
        <f>LEN(Table13[[#This Row],[DRAM data]])</f>
        <v>64</v>
      </c>
      <c r="BN4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0000000000000000000000000000000000000000000000003000100000002B00</v>
      </c>
      <c r="CU48"/>
    </row>
    <row r="49" spans="1:99" x14ac:dyDescent="0.25">
      <c r="A49" t="str">
        <f>Single2String(Table13[[#This Row],[duration'[0']]])</f>
        <v>00000000</v>
      </c>
      <c r="B49" t="str">
        <f>Single2String(Table13[[#This Row],[duration'[1']]])</f>
        <v>00000000</v>
      </c>
      <c r="C49" t="str">
        <f>Single2String(Table13[[#This Row],[duration'[2']]])</f>
        <v>00000000</v>
      </c>
      <c r="D49" t="str">
        <f>INDEX(Table3[Hex], Table13[[#This Row],[int'[0']]]+1)</f>
        <v>00000000</v>
      </c>
      <c r="E49" t="str">
        <f>INDEX(Table3[Hex], Table13[[#This Row],[int'[1']]]+1)</f>
        <v>00000000</v>
      </c>
      <c r="F49" t="str">
        <f>INDEX(Table3[Hex], Table13[[#This Row],[int'[1']]]+1)</f>
        <v>00000000</v>
      </c>
      <c r="G49" t="str">
        <f>Single2String(Table13[[#This Row],[c ktrace]])</f>
        <v>00000000</v>
      </c>
      <c r="H49" t="str">
        <f>Single2String(Table13[[#This Row],[a ktrace]])</f>
        <v>00000000</v>
      </c>
      <c r="I49" t="str">
        <f>Single2String(Table13[[#This Row],[g ktrace]])</f>
        <v>00000000</v>
      </c>
      <c r="J49" t="str">
        <f>Single2String(Table13[[#This Row],[t ktrace]])</f>
        <v>00000000</v>
      </c>
      <c r="K49" s="3">
        <v>44</v>
      </c>
      <c r="L49">
        <f>SUM(Table13[[#This Row],[c ktrace'[2']]:[c ktrace'[0']]])</f>
        <v>0</v>
      </c>
      <c r="M49">
        <f>SUM(Table13[[#This Row],[a ktrace'[2']]:[a ktrace'[0']]])</f>
        <v>0</v>
      </c>
      <c r="N49">
        <f>SUM(Table13[[#This Row],[g ktrace'[2']]:[g ktrace'[0']]])</f>
        <v>0</v>
      </c>
      <c r="O49">
        <f>SUM(Table13[[#This Row],[t ktrace'[2']]:[t ktrace'[0']]])</f>
        <v>0</v>
      </c>
      <c r="P49">
        <f xml:space="preserve"> IF(Table13[[#This Row],[dye'[2']]]=3, Table13[[#This Row],[strength'[2']]], 0)</f>
        <v>0</v>
      </c>
      <c r="Q49">
        <f xml:space="preserve"> IF(Table13[[#This Row],[dye'[1']]]=3, Table13[[#This Row],[strength'[1']]], 0)</f>
        <v>0</v>
      </c>
      <c r="R49">
        <f xml:space="preserve"> IF(Table13[[#This Row],[dye'[0']]]=3, Table13[[#This Row],[strength'[0']]], 0)</f>
        <v>0</v>
      </c>
      <c r="S49">
        <f xml:space="preserve"> IF(Table13[[#This Row],[dye'[2']]]=2, Table13[[#This Row],[strength'[2']]], 0)</f>
        <v>0</v>
      </c>
      <c r="T49">
        <f xml:space="preserve"> IF(Table13[[#This Row],[dye'[1']]]=2, Table13[[#This Row],[strength'[1']]], 0)</f>
        <v>0</v>
      </c>
      <c r="U49">
        <f xml:space="preserve"> IF(Table13[[#This Row],[dye'[0']]]=2, Table13[[#This Row],[strength'[0']]], 0)</f>
        <v>0</v>
      </c>
      <c r="V49">
        <f xml:space="preserve"> IF(Table13[[#This Row],[dye'[2']]]=1, Table13[[#This Row],[strength'[2']]], 0)</f>
        <v>0</v>
      </c>
      <c r="W49">
        <f xml:space="preserve"> IF(Table13[[#This Row],[dye'[1']]]=1, Table13[[#This Row],[strength'[1']]], 0)</f>
        <v>0</v>
      </c>
      <c r="X49">
        <f xml:space="preserve"> IF(Table13[[#This Row],[dye'[0']]]=1, Table13[[#This Row],[strength'[0']]], 0)</f>
        <v>0</v>
      </c>
      <c r="Y49">
        <f xml:space="preserve"> IF(Table13[[#This Row],[dye'[2']]]=0, Table13[[#This Row],[strength'[2']]], 0)</f>
        <v>0</v>
      </c>
      <c r="Z49">
        <f xml:space="preserve"> IF(Table13[[#This Row],[dye'[1']]]=0, Table13[[#This Row],[strength'[1']]], 0)</f>
        <v>0</v>
      </c>
      <c r="AA49">
        <f xml:space="preserve"> IF(Table13[[#This Row],[dye'[0']]]=0, Table13[[#This Row],[strength'[0']]], 0)</f>
        <v>0</v>
      </c>
      <c r="AB49">
        <v>0</v>
      </c>
      <c r="AC49">
        <f>MAX($D$2, Table13[[#This Row],[t1'[0']]])</f>
        <v>0</v>
      </c>
      <c r="AD49">
        <v>0</v>
      </c>
      <c r="AE49">
        <f>Table13[[#This Row],[t1'[0']]]+Table13[[#This Row],[dt'[0']]]</f>
        <v>0</v>
      </c>
      <c r="AF49">
        <f>MIN($C$2, Table13[[#This Row],[tf'[0']]])</f>
        <v>0</v>
      </c>
      <c r="AG49">
        <f>Table13[[#This Row],[time2'[0']]]-Table13[[#This Row],[time1'[0']]]</f>
        <v>0</v>
      </c>
      <c r="AH49">
        <v>0</v>
      </c>
      <c r="AI49">
        <f xml:space="preserve"> INDEX(Table3[[#All],[Intensity]], Table13[[#This Row],[int'[0']]]+2)</f>
        <v>0</v>
      </c>
      <c r="AJ49">
        <f>Table13[[#This Row],[duration'[0']]]*Table13[[#This Row],[intensity'[0']]]</f>
        <v>0</v>
      </c>
      <c r="AK49">
        <f>MOD(Table13[[#This Row],[ZMW num]], 4)</f>
        <v>0</v>
      </c>
      <c r="AL49">
        <v>0</v>
      </c>
      <c r="AM49">
        <f>MAX($D$2, Table13[[#This Row],[t1'[1']]])</f>
        <v>0</v>
      </c>
      <c r="AN49">
        <v>0</v>
      </c>
      <c r="AO49">
        <f>Table13[[#This Row],[t1'[1']]]+Table13[[#This Row],[dt'[1']]]</f>
        <v>0</v>
      </c>
      <c r="AP49">
        <f>MIN($C$2, Table13[[#This Row],[tf'[1']]])</f>
        <v>0</v>
      </c>
      <c r="AQ49">
        <f>Table13[[#This Row],[time2'[1']]]-Table13[[#This Row],[time1'[1']]]</f>
        <v>0</v>
      </c>
      <c r="AR49">
        <v>0</v>
      </c>
      <c r="AS49">
        <f xml:space="preserve"> INDEX(Table3[[#All],[Intensity]], Table13[[#This Row],[int'[1']]]+2)</f>
        <v>0</v>
      </c>
      <c r="AT49">
        <f>Table13[[#This Row],[duration'[1']]]*Table13[[#This Row],[intensity'[1']]]</f>
        <v>0</v>
      </c>
      <c r="AU49">
        <f>MOD(Table13[[#This Row],[ZMW num]]+1, 4)</f>
        <v>1</v>
      </c>
      <c r="AV49">
        <v>0</v>
      </c>
      <c r="AW49">
        <f>MAX($D$2, Table13[[#This Row],[t1'[2']]])</f>
        <v>0</v>
      </c>
      <c r="AX49">
        <v>0</v>
      </c>
      <c r="AY49">
        <f>Table13[[#This Row],[t1'[2']]]+Table13[[#This Row],[dt'[2']]]</f>
        <v>0</v>
      </c>
      <c r="AZ49">
        <f>MIN($C$2, Table13[[#This Row],[tf'[2']]])</f>
        <v>0</v>
      </c>
      <c r="BA49">
        <f>Table13[[#This Row],[time2'[2']]]-Table13[[#This Row],[time1'[2']]]</f>
        <v>0</v>
      </c>
      <c r="BB49">
        <v>0</v>
      </c>
      <c r="BC49">
        <f xml:space="preserve"> INDEX(Table3[[#All],[Intensity]], Table13[[#This Row],[int'[2']]]+2)</f>
        <v>0</v>
      </c>
      <c r="BD49">
        <f>Table13[[#This Row],[duration'[2']]]*Table13[[#This Row],[intensity'[2']]]</f>
        <v>0</v>
      </c>
      <c r="BE49">
        <f>MOD(Table13[[#This Row],[ZMW num]]+2, 4)</f>
        <v>2</v>
      </c>
      <c r="BF49" s="2" t="str">
        <f>Single2String(Table13[[#This Row],[t1'[0']]])</f>
        <v>00000000</v>
      </c>
      <c r="BG49" s="1" t="str">
        <f>Single2String(Table13[[#This Row],[dt'[0']]])</f>
        <v>00000000</v>
      </c>
      <c r="BH49" s="1" t="str">
        <f>Single2String(Table13[[#This Row],[t1'[1']]])</f>
        <v>00000000</v>
      </c>
      <c r="BI49" s="1" t="str">
        <f>Single2String(Table13[[#This Row],[dt'[1']]])</f>
        <v>00000000</v>
      </c>
      <c r="BJ49" s="1" t="str">
        <f>Single2String(Table13[[#This Row],[t1'[2']]])</f>
        <v>00000000</v>
      </c>
      <c r="BK49" s="1" t="str">
        <f>Single2String(Table13[[#This Row],[dt'[2']]])</f>
        <v>00000000</v>
      </c>
      <c r="BL49" s="1" t="str">
        <f>DEC2HEX(Table13[[#This Row],[ZMW num]], 6)</f>
        <v>00002C</v>
      </c>
      <c r="BM49" s="1">
        <f>LEN(Table13[[#This Row],[DRAM data]])</f>
        <v>64</v>
      </c>
      <c r="BN4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0000000000000000000000000000000000000000000000000010200000002C00</v>
      </c>
      <c r="CU49"/>
    </row>
    <row r="50" spans="1:99" x14ac:dyDescent="0.25">
      <c r="A50" t="str">
        <f>Single2String(Table13[[#This Row],[duration'[0']]])</f>
        <v>00000000</v>
      </c>
      <c r="B50" t="str">
        <f>Single2String(Table13[[#This Row],[duration'[1']]])</f>
        <v>00000000</v>
      </c>
      <c r="C50" t="str">
        <f>Single2String(Table13[[#This Row],[duration'[2']]])</f>
        <v>00000000</v>
      </c>
      <c r="D50" t="str">
        <f>INDEX(Table3[Hex], Table13[[#This Row],[int'[0']]]+1)</f>
        <v>00000000</v>
      </c>
      <c r="E50" t="str">
        <f>INDEX(Table3[Hex], Table13[[#This Row],[int'[1']]]+1)</f>
        <v>00000000</v>
      </c>
      <c r="F50" t="str">
        <f>INDEX(Table3[Hex], Table13[[#This Row],[int'[1']]]+1)</f>
        <v>00000000</v>
      </c>
      <c r="G50" t="str">
        <f>Single2String(Table13[[#This Row],[c ktrace]])</f>
        <v>00000000</v>
      </c>
      <c r="H50" t="str">
        <f>Single2String(Table13[[#This Row],[a ktrace]])</f>
        <v>00000000</v>
      </c>
      <c r="I50" t="str">
        <f>Single2String(Table13[[#This Row],[g ktrace]])</f>
        <v>00000000</v>
      </c>
      <c r="J50" t="str">
        <f>Single2String(Table13[[#This Row],[t ktrace]])</f>
        <v>00000000</v>
      </c>
      <c r="K50" s="3">
        <v>45</v>
      </c>
      <c r="L50">
        <f>SUM(Table13[[#This Row],[c ktrace'[2']]:[c ktrace'[0']]])</f>
        <v>0</v>
      </c>
      <c r="M50">
        <f>SUM(Table13[[#This Row],[a ktrace'[2']]:[a ktrace'[0']]])</f>
        <v>0</v>
      </c>
      <c r="N50">
        <f>SUM(Table13[[#This Row],[g ktrace'[2']]:[g ktrace'[0']]])</f>
        <v>0</v>
      </c>
      <c r="O50">
        <f>SUM(Table13[[#This Row],[t ktrace'[2']]:[t ktrace'[0']]])</f>
        <v>0</v>
      </c>
      <c r="P50">
        <f xml:space="preserve"> IF(Table13[[#This Row],[dye'[2']]]=3, Table13[[#This Row],[strength'[2']]], 0)</f>
        <v>0</v>
      </c>
      <c r="Q50">
        <f xml:space="preserve"> IF(Table13[[#This Row],[dye'[1']]]=3, Table13[[#This Row],[strength'[1']]], 0)</f>
        <v>0</v>
      </c>
      <c r="R50">
        <f xml:space="preserve"> IF(Table13[[#This Row],[dye'[0']]]=3, Table13[[#This Row],[strength'[0']]], 0)</f>
        <v>0</v>
      </c>
      <c r="S50">
        <f xml:space="preserve"> IF(Table13[[#This Row],[dye'[2']]]=2, Table13[[#This Row],[strength'[2']]], 0)</f>
        <v>0</v>
      </c>
      <c r="T50">
        <f xml:space="preserve"> IF(Table13[[#This Row],[dye'[1']]]=2, Table13[[#This Row],[strength'[1']]], 0)</f>
        <v>0</v>
      </c>
      <c r="U50">
        <f xml:space="preserve"> IF(Table13[[#This Row],[dye'[0']]]=2, Table13[[#This Row],[strength'[0']]], 0)</f>
        <v>0</v>
      </c>
      <c r="V50">
        <f xml:space="preserve"> IF(Table13[[#This Row],[dye'[2']]]=1, Table13[[#This Row],[strength'[2']]], 0)</f>
        <v>0</v>
      </c>
      <c r="W50">
        <f xml:space="preserve"> IF(Table13[[#This Row],[dye'[1']]]=1, Table13[[#This Row],[strength'[1']]], 0)</f>
        <v>0</v>
      </c>
      <c r="X50">
        <f xml:space="preserve"> IF(Table13[[#This Row],[dye'[0']]]=1, Table13[[#This Row],[strength'[0']]], 0)</f>
        <v>0</v>
      </c>
      <c r="Y50">
        <f xml:space="preserve"> IF(Table13[[#This Row],[dye'[2']]]=0, Table13[[#This Row],[strength'[2']]], 0)</f>
        <v>0</v>
      </c>
      <c r="Z50">
        <f xml:space="preserve"> IF(Table13[[#This Row],[dye'[1']]]=0, Table13[[#This Row],[strength'[1']]], 0)</f>
        <v>0</v>
      </c>
      <c r="AA50">
        <f xml:space="preserve"> IF(Table13[[#This Row],[dye'[0']]]=0, Table13[[#This Row],[strength'[0']]], 0)</f>
        <v>0</v>
      </c>
      <c r="AB50">
        <v>0</v>
      </c>
      <c r="AC50">
        <f>MAX($D$2, Table13[[#This Row],[t1'[0']]])</f>
        <v>0</v>
      </c>
      <c r="AD50">
        <v>0</v>
      </c>
      <c r="AE50">
        <f>Table13[[#This Row],[t1'[0']]]+Table13[[#This Row],[dt'[0']]]</f>
        <v>0</v>
      </c>
      <c r="AF50">
        <f>MIN($C$2, Table13[[#This Row],[tf'[0']]])</f>
        <v>0</v>
      </c>
      <c r="AG50">
        <f>Table13[[#This Row],[time2'[0']]]-Table13[[#This Row],[time1'[0']]]</f>
        <v>0</v>
      </c>
      <c r="AH50">
        <v>0</v>
      </c>
      <c r="AI50">
        <f xml:space="preserve"> INDEX(Table3[[#All],[Intensity]], Table13[[#This Row],[int'[0']]]+2)</f>
        <v>0</v>
      </c>
      <c r="AJ50">
        <f>Table13[[#This Row],[duration'[0']]]*Table13[[#This Row],[intensity'[0']]]</f>
        <v>0</v>
      </c>
      <c r="AK50">
        <f>MOD(Table13[[#This Row],[ZMW num]], 4)</f>
        <v>1</v>
      </c>
      <c r="AL50">
        <v>0</v>
      </c>
      <c r="AM50">
        <f>MAX($D$2, Table13[[#This Row],[t1'[1']]])</f>
        <v>0</v>
      </c>
      <c r="AN50">
        <v>0</v>
      </c>
      <c r="AO50">
        <f>Table13[[#This Row],[t1'[1']]]+Table13[[#This Row],[dt'[1']]]</f>
        <v>0</v>
      </c>
      <c r="AP50">
        <f>MIN($C$2, Table13[[#This Row],[tf'[1']]])</f>
        <v>0</v>
      </c>
      <c r="AQ50">
        <f>Table13[[#This Row],[time2'[1']]]-Table13[[#This Row],[time1'[1']]]</f>
        <v>0</v>
      </c>
      <c r="AR50">
        <v>0</v>
      </c>
      <c r="AS50">
        <f xml:space="preserve"> INDEX(Table3[[#All],[Intensity]], Table13[[#This Row],[int'[1']]]+2)</f>
        <v>0</v>
      </c>
      <c r="AT50">
        <f>Table13[[#This Row],[duration'[1']]]*Table13[[#This Row],[intensity'[1']]]</f>
        <v>0</v>
      </c>
      <c r="AU50">
        <f>MOD(Table13[[#This Row],[ZMW num]]+1, 4)</f>
        <v>2</v>
      </c>
      <c r="AV50">
        <v>0</v>
      </c>
      <c r="AW50">
        <f>MAX($D$2, Table13[[#This Row],[t1'[2']]])</f>
        <v>0</v>
      </c>
      <c r="AX50">
        <v>0</v>
      </c>
      <c r="AY50">
        <f>Table13[[#This Row],[t1'[2']]]+Table13[[#This Row],[dt'[2']]]</f>
        <v>0</v>
      </c>
      <c r="AZ50">
        <f>MIN($C$2, Table13[[#This Row],[tf'[2']]])</f>
        <v>0</v>
      </c>
      <c r="BA50">
        <f>Table13[[#This Row],[time2'[2']]]-Table13[[#This Row],[time1'[2']]]</f>
        <v>0</v>
      </c>
      <c r="BB50">
        <v>0</v>
      </c>
      <c r="BC50">
        <f xml:space="preserve"> INDEX(Table3[[#All],[Intensity]], Table13[[#This Row],[int'[2']]]+2)</f>
        <v>0</v>
      </c>
      <c r="BD50">
        <f>Table13[[#This Row],[duration'[2']]]*Table13[[#This Row],[intensity'[2']]]</f>
        <v>0</v>
      </c>
      <c r="BE50">
        <f>MOD(Table13[[#This Row],[ZMW num]]+2, 4)</f>
        <v>3</v>
      </c>
      <c r="BF50" s="2" t="str">
        <f>Single2String(Table13[[#This Row],[t1'[0']]])</f>
        <v>00000000</v>
      </c>
      <c r="BG50" s="1" t="str">
        <f>Single2String(Table13[[#This Row],[dt'[0']]])</f>
        <v>00000000</v>
      </c>
      <c r="BH50" s="1" t="str">
        <f>Single2String(Table13[[#This Row],[t1'[1']]])</f>
        <v>00000000</v>
      </c>
      <c r="BI50" s="1" t="str">
        <f>Single2String(Table13[[#This Row],[dt'[1']]])</f>
        <v>00000000</v>
      </c>
      <c r="BJ50" s="1" t="str">
        <f>Single2String(Table13[[#This Row],[t1'[2']]])</f>
        <v>00000000</v>
      </c>
      <c r="BK50" s="1" t="str">
        <f>Single2String(Table13[[#This Row],[dt'[2']]])</f>
        <v>00000000</v>
      </c>
      <c r="BL50" s="1" t="str">
        <f>DEC2HEX(Table13[[#This Row],[ZMW num]], 6)</f>
        <v>00002D</v>
      </c>
      <c r="BM50" s="1">
        <f>LEN(Table13[[#This Row],[DRAM data]])</f>
        <v>64</v>
      </c>
      <c r="BN5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0000000000000000000000000000000000000000000000001020300000002D00</v>
      </c>
      <c r="CU50"/>
    </row>
    <row r="51" spans="1:99" x14ac:dyDescent="0.25">
      <c r="A51" t="str">
        <f>Single2String(Table13[[#This Row],[duration'[0']]])</f>
        <v>00000000</v>
      </c>
      <c r="B51" t="str">
        <f>Single2String(Table13[[#This Row],[duration'[1']]])</f>
        <v>00000000</v>
      </c>
      <c r="C51" t="str">
        <f>Single2String(Table13[[#This Row],[duration'[2']]])</f>
        <v>00000000</v>
      </c>
      <c r="D51" t="str">
        <f>INDEX(Table3[Hex], Table13[[#This Row],[int'[0']]]+1)</f>
        <v>00000000</v>
      </c>
      <c r="E51" t="str">
        <f>INDEX(Table3[Hex], Table13[[#This Row],[int'[1']]]+1)</f>
        <v>00000000</v>
      </c>
      <c r="F51" t="str">
        <f>INDEX(Table3[Hex], Table13[[#This Row],[int'[1']]]+1)</f>
        <v>00000000</v>
      </c>
      <c r="G51" t="str">
        <f>Single2String(Table13[[#This Row],[c ktrace]])</f>
        <v>00000000</v>
      </c>
      <c r="H51" t="str">
        <f>Single2String(Table13[[#This Row],[a ktrace]])</f>
        <v>00000000</v>
      </c>
      <c r="I51" t="str">
        <f>Single2String(Table13[[#This Row],[g ktrace]])</f>
        <v>00000000</v>
      </c>
      <c r="J51" t="str">
        <f>Single2String(Table13[[#This Row],[t ktrace]])</f>
        <v>00000000</v>
      </c>
      <c r="K51" s="3">
        <v>46</v>
      </c>
      <c r="L51">
        <f>SUM(Table13[[#This Row],[c ktrace'[2']]:[c ktrace'[0']]])</f>
        <v>0</v>
      </c>
      <c r="M51">
        <f>SUM(Table13[[#This Row],[a ktrace'[2']]:[a ktrace'[0']]])</f>
        <v>0</v>
      </c>
      <c r="N51">
        <f>SUM(Table13[[#This Row],[g ktrace'[2']]:[g ktrace'[0']]])</f>
        <v>0</v>
      </c>
      <c r="O51">
        <f>SUM(Table13[[#This Row],[t ktrace'[2']]:[t ktrace'[0']]])</f>
        <v>0</v>
      </c>
      <c r="P51">
        <f xml:space="preserve"> IF(Table13[[#This Row],[dye'[2']]]=3, Table13[[#This Row],[strength'[2']]], 0)</f>
        <v>0</v>
      </c>
      <c r="Q51">
        <f xml:space="preserve"> IF(Table13[[#This Row],[dye'[1']]]=3, Table13[[#This Row],[strength'[1']]], 0)</f>
        <v>0</v>
      </c>
      <c r="R51">
        <f xml:space="preserve"> IF(Table13[[#This Row],[dye'[0']]]=3, Table13[[#This Row],[strength'[0']]], 0)</f>
        <v>0</v>
      </c>
      <c r="S51">
        <f xml:space="preserve"> IF(Table13[[#This Row],[dye'[2']]]=2, Table13[[#This Row],[strength'[2']]], 0)</f>
        <v>0</v>
      </c>
      <c r="T51">
        <f xml:space="preserve"> IF(Table13[[#This Row],[dye'[1']]]=2, Table13[[#This Row],[strength'[1']]], 0)</f>
        <v>0</v>
      </c>
      <c r="U51">
        <f xml:space="preserve"> IF(Table13[[#This Row],[dye'[0']]]=2, Table13[[#This Row],[strength'[0']]], 0)</f>
        <v>0</v>
      </c>
      <c r="V51">
        <f xml:space="preserve"> IF(Table13[[#This Row],[dye'[2']]]=1, Table13[[#This Row],[strength'[2']]], 0)</f>
        <v>0</v>
      </c>
      <c r="W51">
        <f xml:space="preserve"> IF(Table13[[#This Row],[dye'[1']]]=1, Table13[[#This Row],[strength'[1']]], 0)</f>
        <v>0</v>
      </c>
      <c r="X51">
        <f xml:space="preserve"> IF(Table13[[#This Row],[dye'[0']]]=1, Table13[[#This Row],[strength'[0']]], 0)</f>
        <v>0</v>
      </c>
      <c r="Y51">
        <f xml:space="preserve"> IF(Table13[[#This Row],[dye'[2']]]=0, Table13[[#This Row],[strength'[2']]], 0)</f>
        <v>0</v>
      </c>
      <c r="Z51">
        <f xml:space="preserve"> IF(Table13[[#This Row],[dye'[1']]]=0, Table13[[#This Row],[strength'[1']]], 0)</f>
        <v>0</v>
      </c>
      <c r="AA51">
        <f xml:space="preserve"> IF(Table13[[#This Row],[dye'[0']]]=0, Table13[[#This Row],[strength'[0']]], 0)</f>
        <v>0</v>
      </c>
      <c r="AB51">
        <v>0</v>
      </c>
      <c r="AC51">
        <f>MAX($D$2, Table13[[#This Row],[t1'[0']]])</f>
        <v>0</v>
      </c>
      <c r="AD51">
        <v>0</v>
      </c>
      <c r="AE51">
        <f>Table13[[#This Row],[t1'[0']]]+Table13[[#This Row],[dt'[0']]]</f>
        <v>0</v>
      </c>
      <c r="AF51">
        <f>MIN($C$2, Table13[[#This Row],[tf'[0']]])</f>
        <v>0</v>
      </c>
      <c r="AG51">
        <f>Table13[[#This Row],[time2'[0']]]-Table13[[#This Row],[time1'[0']]]</f>
        <v>0</v>
      </c>
      <c r="AH51">
        <v>0</v>
      </c>
      <c r="AI51">
        <f xml:space="preserve"> INDEX(Table3[[#All],[Intensity]], Table13[[#This Row],[int'[0']]]+2)</f>
        <v>0</v>
      </c>
      <c r="AJ51">
        <f>Table13[[#This Row],[duration'[0']]]*Table13[[#This Row],[intensity'[0']]]</f>
        <v>0</v>
      </c>
      <c r="AK51">
        <f>MOD(Table13[[#This Row],[ZMW num]], 4)</f>
        <v>2</v>
      </c>
      <c r="AL51">
        <v>0</v>
      </c>
      <c r="AM51">
        <f>MAX($D$2, Table13[[#This Row],[t1'[1']]])</f>
        <v>0</v>
      </c>
      <c r="AN51">
        <v>0</v>
      </c>
      <c r="AO51">
        <f>Table13[[#This Row],[t1'[1']]]+Table13[[#This Row],[dt'[1']]]</f>
        <v>0</v>
      </c>
      <c r="AP51">
        <f>MIN($C$2, Table13[[#This Row],[tf'[1']]])</f>
        <v>0</v>
      </c>
      <c r="AQ51">
        <f>Table13[[#This Row],[time2'[1']]]-Table13[[#This Row],[time1'[1']]]</f>
        <v>0</v>
      </c>
      <c r="AR51">
        <v>0</v>
      </c>
      <c r="AS51">
        <f xml:space="preserve"> INDEX(Table3[[#All],[Intensity]], Table13[[#This Row],[int'[1']]]+2)</f>
        <v>0</v>
      </c>
      <c r="AT51">
        <f>Table13[[#This Row],[duration'[1']]]*Table13[[#This Row],[intensity'[1']]]</f>
        <v>0</v>
      </c>
      <c r="AU51">
        <f>MOD(Table13[[#This Row],[ZMW num]]+1, 4)</f>
        <v>3</v>
      </c>
      <c r="AV51">
        <v>0</v>
      </c>
      <c r="AW51">
        <f>MAX($D$2, Table13[[#This Row],[t1'[2']]])</f>
        <v>0</v>
      </c>
      <c r="AX51">
        <v>0</v>
      </c>
      <c r="AY51">
        <f>Table13[[#This Row],[t1'[2']]]+Table13[[#This Row],[dt'[2']]]</f>
        <v>0</v>
      </c>
      <c r="AZ51">
        <f>MIN($C$2, Table13[[#This Row],[tf'[2']]])</f>
        <v>0</v>
      </c>
      <c r="BA51">
        <f>Table13[[#This Row],[time2'[2']]]-Table13[[#This Row],[time1'[2']]]</f>
        <v>0</v>
      </c>
      <c r="BB51">
        <v>0</v>
      </c>
      <c r="BC51">
        <f xml:space="preserve"> INDEX(Table3[[#All],[Intensity]], Table13[[#This Row],[int'[2']]]+2)</f>
        <v>0</v>
      </c>
      <c r="BD51">
        <f>Table13[[#This Row],[duration'[2']]]*Table13[[#This Row],[intensity'[2']]]</f>
        <v>0</v>
      </c>
      <c r="BE51">
        <f>MOD(Table13[[#This Row],[ZMW num]]+2, 4)</f>
        <v>0</v>
      </c>
      <c r="BF51" s="2" t="str">
        <f>Single2String(Table13[[#This Row],[t1'[0']]])</f>
        <v>00000000</v>
      </c>
      <c r="BG51" s="1" t="str">
        <f>Single2String(Table13[[#This Row],[dt'[0']]])</f>
        <v>00000000</v>
      </c>
      <c r="BH51" s="1" t="str">
        <f>Single2String(Table13[[#This Row],[t1'[1']]])</f>
        <v>00000000</v>
      </c>
      <c r="BI51" s="1" t="str">
        <f>Single2String(Table13[[#This Row],[dt'[1']]])</f>
        <v>00000000</v>
      </c>
      <c r="BJ51" s="1" t="str">
        <f>Single2String(Table13[[#This Row],[t1'[2']]])</f>
        <v>00000000</v>
      </c>
      <c r="BK51" s="1" t="str">
        <f>Single2String(Table13[[#This Row],[dt'[2']]])</f>
        <v>00000000</v>
      </c>
      <c r="BL51" s="1" t="str">
        <f>DEC2HEX(Table13[[#This Row],[ZMW num]], 6)</f>
        <v>00002E</v>
      </c>
      <c r="BM51" s="1">
        <f>LEN(Table13[[#This Row],[DRAM data]])</f>
        <v>64</v>
      </c>
      <c r="BN5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0000000000000000000000000000000000000000000000002030000000002E00</v>
      </c>
      <c r="CU51"/>
    </row>
    <row r="52" spans="1:99" x14ac:dyDescent="0.25">
      <c r="A52" t="str">
        <f>Single2String(Table13[[#This Row],[duration'[0']]])</f>
        <v>00000000</v>
      </c>
      <c r="B52" t="str">
        <f>Single2String(Table13[[#This Row],[duration'[1']]])</f>
        <v>00000000</v>
      </c>
      <c r="C52" t="str">
        <f>Single2String(Table13[[#This Row],[duration'[2']]])</f>
        <v>00000000</v>
      </c>
      <c r="D52" t="str">
        <f>INDEX(Table3[Hex], Table13[[#This Row],[int'[0']]]+1)</f>
        <v>00000000</v>
      </c>
      <c r="E52" t="str">
        <f>INDEX(Table3[Hex], Table13[[#This Row],[int'[1']]]+1)</f>
        <v>00000000</v>
      </c>
      <c r="F52" t="str">
        <f>INDEX(Table3[Hex], Table13[[#This Row],[int'[1']]]+1)</f>
        <v>00000000</v>
      </c>
      <c r="G52" t="str">
        <f>Single2String(Table13[[#This Row],[c ktrace]])</f>
        <v>00000000</v>
      </c>
      <c r="H52" t="str">
        <f>Single2String(Table13[[#This Row],[a ktrace]])</f>
        <v>00000000</v>
      </c>
      <c r="I52" t="str">
        <f>Single2String(Table13[[#This Row],[g ktrace]])</f>
        <v>00000000</v>
      </c>
      <c r="J52" t="str">
        <f>Single2String(Table13[[#This Row],[t ktrace]])</f>
        <v>00000000</v>
      </c>
      <c r="K52" s="3">
        <v>47</v>
      </c>
      <c r="L52">
        <f>SUM(Table13[[#This Row],[c ktrace'[2']]:[c ktrace'[0']]])</f>
        <v>0</v>
      </c>
      <c r="M52">
        <f>SUM(Table13[[#This Row],[a ktrace'[2']]:[a ktrace'[0']]])</f>
        <v>0</v>
      </c>
      <c r="N52">
        <f>SUM(Table13[[#This Row],[g ktrace'[2']]:[g ktrace'[0']]])</f>
        <v>0</v>
      </c>
      <c r="O52">
        <f>SUM(Table13[[#This Row],[t ktrace'[2']]:[t ktrace'[0']]])</f>
        <v>0</v>
      </c>
      <c r="P52">
        <f xml:space="preserve"> IF(Table13[[#This Row],[dye'[2']]]=3, Table13[[#This Row],[strength'[2']]], 0)</f>
        <v>0</v>
      </c>
      <c r="Q52">
        <f xml:space="preserve"> IF(Table13[[#This Row],[dye'[1']]]=3, Table13[[#This Row],[strength'[1']]], 0)</f>
        <v>0</v>
      </c>
      <c r="R52">
        <f xml:space="preserve"> IF(Table13[[#This Row],[dye'[0']]]=3, Table13[[#This Row],[strength'[0']]], 0)</f>
        <v>0</v>
      </c>
      <c r="S52">
        <f xml:space="preserve"> IF(Table13[[#This Row],[dye'[2']]]=2, Table13[[#This Row],[strength'[2']]], 0)</f>
        <v>0</v>
      </c>
      <c r="T52">
        <f xml:space="preserve"> IF(Table13[[#This Row],[dye'[1']]]=2, Table13[[#This Row],[strength'[1']]], 0)</f>
        <v>0</v>
      </c>
      <c r="U52">
        <f xml:space="preserve"> IF(Table13[[#This Row],[dye'[0']]]=2, Table13[[#This Row],[strength'[0']]], 0)</f>
        <v>0</v>
      </c>
      <c r="V52">
        <f xml:space="preserve"> IF(Table13[[#This Row],[dye'[2']]]=1, Table13[[#This Row],[strength'[2']]], 0)</f>
        <v>0</v>
      </c>
      <c r="W52">
        <f xml:space="preserve"> IF(Table13[[#This Row],[dye'[1']]]=1, Table13[[#This Row],[strength'[1']]], 0)</f>
        <v>0</v>
      </c>
      <c r="X52">
        <f xml:space="preserve"> IF(Table13[[#This Row],[dye'[0']]]=1, Table13[[#This Row],[strength'[0']]], 0)</f>
        <v>0</v>
      </c>
      <c r="Y52">
        <f xml:space="preserve"> IF(Table13[[#This Row],[dye'[2']]]=0, Table13[[#This Row],[strength'[2']]], 0)</f>
        <v>0</v>
      </c>
      <c r="Z52">
        <f xml:space="preserve"> IF(Table13[[#This Row],[dye'[1']]]=0, Table13[[#This Row],[strength'[1']]], 0)</f>
        <v>0</v>
      </c>
      <c r="AA52">
        <f xml:space="preserve"> IF(Table13[[#This Row],[dye'[0']]]=0, Table13[[#This Row],[strength'[0']]], 0)</f>
        <v>0</v>
      </c>
      <c r="AB52">
        <v>0</v>
      </c>
      <c r="AC52">
        <f>MAX($D$2, Table13[[#This Row],[t1'[0']]])</f>
        <v>0</v>
      </c>
      <c r="AD52">
        <v>0</v>
      </c>
      <c r="AE52">
        <f>Table13[[#This Row],[t1'[0']]]+Table13[[#This Row],[dt'[0']]]</f>
        <v>0</v>
      </c>
      <c r="AF52">
        <f>MIN($C$2, Table13[[#This Row],[tf'[0']]])</f>
        <v>0</v>
      </c>
      <c r="AG52">
        <f>Table13[[#This Row],[time2'[0']]]-Table13[[#This Row],[time1'[0']]]</f>
        <v>0</v>
      </c>
      <c r="AH52">
        <v>0</v>
      </c>
      <c r="AI52">
        <f xml:space="preserve"> INDEX(Table3[[#All],[Intensity]], Table13[[#This Row],[int'[0']]]+2)</f>
        <v>0</v>
      </c>
      <c r="AJ52">
        <f>Table13[[#This Row],[duration'[0']]]*Table13[[#This Row],[intensity'[0']]]</f>
        <v>0</v>
      </c>
      <c r="AK52">
        <f>MOD(Table13[[#This Row],[ZMW num]], 4)</f>
        <v>3</v>
      </c>
      <c r="AL52">
        <v>0</v>
      </c>
      <c r="AM52">
        <f>MAX($D$2, Table13[[#This Row],[t1'[1']]])</f>
        <v>0</v>
      </c>
      <c r="AN52">
        <v>0</v>
      </c>
      <c r="AO52">
        <f>Table13[[#This Row],[t1'[1']]]+Table13[[#This Row],[dt'[1']]]</f>
        <v>0</v>
      </c>
      <c r="AP52">
        <f>MIN($C$2, Table13[[#This Row],[tf'[1']]])</f>
        <v>0</v>
      </c>
      <c r="AQ52">
        <f>Table13[[#This Row],[time2'[1']]]-Table13[[#This Row],[time1'[1']]]</f>
        <v>0</v>
      </c>
      <c r="AR52">
        <v>0</v>
      </c>
      <c r="AS52">
        <f xml:space="preserve"> INDEX(Table3[[#All],[Intensity]], Table13[[#This Row],[int'[1']]]+2)</f>
        <v>0</v>
      </c>
      <c r="AT52">
        <f>Table13[[#This Row],[duration'[1']]]*Table13[[#This Row],[intensity'[1']]]</f>
        <v>0</v>
      </c>
      <c r="AU52">
        <f>MOD(Table13[[#This Row],[ZMW num]]+1, 4)</f>
        <v>0</v>
      </c>
      <c r="AV52">
        <v>0</v>
      </c>
      <c r="AW52">
        <f>MAX($D$2, Table13[[#This Row],[t1'[2']]])</f>
        <v>0</v>
      </c>
      <c r="AX52">
        <v>0</v>
      </c>
      <c r="AY52">
        <f>Table13[[#This Row],[t1'[2']]]+Table13[[#This Row],[dt'[2']]]</f>
        <v>0</v>
      </c>
      <c r="AZ52">
        <f>MIN($C$2, Table13[[#This Row],[tf'[2']]])</f>
        <v>0</v>
      </c>
      <c r="BA52">
        <f>Table13[[#This Row],[time2'[2']]]-Table13[[#This Row],[time1'[2']]]</f>
        <v>0</v>
      </c>
      <c r="BB52">
        <v>0</v>
      </c>
      <c r="BC52">
        <f xml:space="preserve"> INDEX(Table3[[#All],[Intensity]], Table13[[#This Row],[int'[2']]]+2)</f>
        <v>0</v>
      </c>
      <c r="BD52">
        <f>Table13[[#This Row],[duration'[2']]]*Table13[[#This Row],[intensity'[2']]]</f>
        <v>0</v>
      </c>
      <c r="BE52">
        <f>MOD(Table13[[#This Row],[ZMW num]]+2, 4)</f>
        <v>1</v>
      </c>
      <c r="BF52" s="2" t="str">
        <f>Single2String(Table13[[#This Row],[t1'[0']]])</f>
        <v>00000000</v>
      </c>
      <c r="BG52" s="1" t="str">
        <f>Single2String(Table13[[#This Row],[dt'[0']]])</f>
        <v>00000000</v>
      </c>
      <c r="BH52" s="1" t="str">
        <f>Single2String(Table13[[#This Row],[t1'[1']]])</f>
        <v>00000000</v>
      </c>
      <c r="BI52" s="1" t="str">
        <f>Single2String(Table13[[#This Row],[dt'[1']]])</f>
        <v>00000000</v>
      </c>
      <c r="BJ52" s="1" t="str">
        <f>Single2String(Table13[[#This Row],[t1'[2']]])</f>
        <v>00000000</v>
      </c>
      <c r="BK52" s="1" t="str">
        <f>Single2String(Table13[[#This Row],[dt'[2']]])</f>
        <v>00000000</v>
      </c>
      <c r="BL52" s="1" t="str">
        <f>DEC2HEX(Table13[[#This Row],[ZMW num]], 6)</f>
        <v>00002F</v>
      </c>
      <c r="BM52" s="1">
        <f>LEN(Table13[[#This Row],[DRAM data]])</f>
        <v>64</v>
      </c>
      <c r="BN5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0000000000000000000000000000000000000000000000003000100000002F00</v>
      </c>
      <c r="CU52"/>
    </row>
    <row r="53" spans="1:99" x14ac:dyDescent="0.25">
      <c r="A53" t="str">
        <f>Single2String(Table13[[#This Row],[duration'[0']]])</f>
        <v>00000000</v>
      </c>
      <c r="B53" t="str">
        <f>Single2String(Table13[[#This Row],[duration'[1']]])</f>
        <v>00000000</v>
      </c>
      <c r="C53" t="str">
        <f>Single2String(Table13[[#This Row],[duration'[2']]])</f>
        <v>00000000</v>
      </c>
      <c r="D53" t="str">
        <f>INDEX(Table3[Hex], Table13[[#This Row],[int'[0']]]+1)</f>
        <v>00000000</v>
      </c>
      <c r="E53" t="str">
        <f>INDEX(Table3[Hex], Table13[[#This Row],[int'[1']]]+1)</f>
        <v>00000000</v>
      </c>
      <c r="F53" t="str">
        <f>INDEX(Table3[Hex], Table13[[#This Row],[int'[1']]]+1)</f>
        <v>00000000</v>
      </c>
      <c r="G53" t="str">
        <f>Single2String(Table13[[#This Row],[c ktrace]])</f>
        <v>00000000</v>
      </c>
      <c r="H53" t="str">
        <f>Single2String(Table13[[#This Row],[a ktrace]])</f>
        <v>00000000</v>
      </c>
      <c r="I53" t="str">
        <f>Single2String(Table13[[#This Row],[g ktrace]])</f>
        <v>00000000</v>
      </c>
      <c r="J53" t="str">
        <f>Single2String(Table13[[#This Row],[t ktrace]])</f>
        <v>00000000</v>
      </c>
      <c r="K53" s="3">
        <v>48</v>
      </c>
      <c r="L53">
        <f>SUM(Table13[[#This Row],[c ktrace'[2']]:[c ktrace'[0']]])</f>
        <v>0</v>
      </c>
      <c r="M53">
        <f>SUM(Table13[[#This Row],[a ktrace'[2']]:[a ktrace'[0']]])</f>
        <v>0</v>
      </c>
      <c r="N53">
        <f>SUM(Table13[[#This Row],[g ktrace'[2']]:[g ktrace'[0']]])</f>
        <v>0</v>
      </c>
      <c r="O53">
        <f>SUM(Table13[[#This Row],[t ktrace'[2']]:[t ktrace'[0']]])</f>
        <v>0</v>
      </c>
      <c r="P53">
        <f xml:space="preserve"> IF(Table13[[#This Row],[dye'[2']]]=3, Table13[[#This Row],[strength'[2']]], 0)</f>
        <v>0</v>
      </c>
      <c r="Q53">
        <f xml:space="preserve"> IF(Table13[[#This Row],[dye'[1']]]=3, Table13[[#This Row],[strength'[1']]], 0)</f>
        <v>0</v>
      </c>
      <c r="R53">
        <f xml:space="preserve"> IF(Table13[[#This Row],[dye'[0']]]=3, Table13[[#This Row],[strength'[0']]], 0)</f>
        <v>0</v>
      </c>
      <c r="S53">
        <f xml:space="preserve"> IF(Table13[[#This Row],[dye'[2']]]=2, Table13[[#This Row],[strength'[2']]], 0)</f>
        <v>0</v>
      </c>
      <c r="T53">
        <f xml:space="preserve"> IF(Table13[[#This Row],[dye'[1']]]=2, Table13[[#This Row],[strength'[1']]], 0)</f>
        <v>0</v>
      </c>
      <c r="U53">
        <f xml:space="preserve"> IF(Table13[[#This Row],[dye'[0']]]=2, Table13[[#This Row],[strength'[0']]], 0)</f>
        <v>0</v>
      </c>
      <c r="V53">
        <f xml:space="preserve"> IF(Table13[[#This Row],[dye'[2']]]=1, Table13[[#This Row],[strength'[2']]], 0)</f>
        <v>0</v>
      </c>
      <c r="W53">
        <f xml:space="preserve"> IF(Table13[[#This Row],[dye'[1']]]=1, Table13[[#This Row],[strength'[1']]], 0)</f>
        <v>0</v>
      </c>
      <c r="X53">
        <f xml:space="preserve"> IF(Table13[[#This Row],[dye'[0']]]=1, Table13[[#This Row],[strength'[0']]], 0)</f>
        <v>0</v>
      </c>
      <c r="Y53">
        <f xml:space="preserve"> IF(Table13[[#This Row],[dye'[2']]]=0, Table13[[#This Row],[strength'[2']]], 0)</f>
        <v>0</v>
      </c>
      <c r="Z53">
        <f xml:space="preserve"> IF(Table13[[#This Row],[dye'[1']]]=0, Table13[[#This Row],[strength'[1']]], 0)</f>
        <v>0</v>
      </c>
      <c r="AA53">
        <f xml:space="preserve"> IF(Table13[[#This Row],[dye'[0']]]=0, Table13[[#This Row],[strength'[0']]], 0)</f>
        <v>0</v>
      </c>
      <c r="AB53">
        <v>0</v>
      </c>
      <c r="AC53">
        <f>MAX($D$2, Table13[[#This Row],[t1'[0']]])</f>
        <v>0</v>
      </c>
      <c r="AD53">
        <v>0</v>
      </c>
      <c r="AE53">
        <f>Table13[[#This Row],[t1'[0']]]+Table13[[#This Row],[dt'[0']]]</f>
        <v>0</v>
      </c>
      <c r="AF53">
        <f>MIN($C$2, Table13[[#This Row],[tf'[0']]])</f>
        <v>0</v>
      </c>
      <c r="AG53">
        <f>Table13[[#This Row],[time2'[0']]]-Table13[[#This Row],[time1'[0']]]</f>
        <v>0</v>
      </c>
      <c r="AH53">
        <v>0</v>
      </c>
      <c r="AI53">
        <f xml:space="preserve"> INDEX(Table3[[#All],[Intensity]], Table13[[#This Row],[int'[0']]]+2)</f>
        <v>0</v>
      </c>
      <c r="AJ53">
        <f>Table13[[#This Row],[duration'[0']]]*Table13[[#This Row],[intensity'[0']]]</f>
        <v>0</v>
      </c>
      <c r="AK53">
        <f>MOD(Table13[[#This Row],[ZMW num]], 4)</f>
        <v>0</v>
      </c>
      <c r="AL53">
        <v>0</v>
      </c>
      <c r="AM53">
        <f>MAX($D$2, Table13[[#This Row],[t1'[1']]])</f>
        <v>0</v>
      </c>
      <c r="AN53">
        <v>0</v>
      </c>
      <c r="AO53">
        <f>Table13[[#This Row],[t1'[1']]]+Table13[[#This Row],[dt'[1']]]</f>
        <v>0</v>
      </c>
      <c r="AP53">
        <f>MIN($C$2, Table13[[#This Row],[tf'[1']]])</f>
        <v>0</v>
      </c>
      <c r="AQ53">
        <f>Table13[[#This Row],[time2'[1']]]-Table13[[#This Row],[time1'[1']]]</f>
        <v>0</v>
      </c>
      <c r="AR53">
        <v>0</v>
      </c>
      <c r="AS53">
        <f xml:space="preserve"> INDEX(Table3[[#All],[Intensity]], Table13[[#This Row],[int'[1']]]+2)</f>
        <v>0</v>
      </c>
      <c r="AT53">
        <f>Table13[[#This Row],[duration'[1']]]*Table13[[#This Row],[intensity'[1']]]</f>
        <v>0</v>
      </c>
      <c r="AU53">
        <f>MOD(Table13[[#This Row],[ZMW num]]+1, 4)</f>
        <v>1</v>
      </c>
      <c r="AV53">
        <v>0</v>
      </c>
      <c r="AW53">
        <f>MAX($D$2, Table13[[#This Row],[t1'[2']]])</f>
        <v>0</v>
      </c>
      <c r="AX53">
        <v>0</v>
      </c>
      <c r="AY53">
        <f>Table13[[#This Row],[t1'[2']]]+Table13[[#This Row],[dt'[2']]]</f>
        <v>0</v>
      </c>
      <c r="AZ53">
        <f>MIN($C$2, Table13[[#This Row],[tf'[2']]])</f>
        <v>0</v>
      </c>
      <c r="BA53">
        <f>Table13[[#This Row],[time2'[2']]]-Table13[[#This Row],[time1'[2']]]</f>
        <v>0</v>
      </c>
      <c r="BB53">
        <v>0</v>
      </c>
      <c r="BC53">
        <f xml:space="preserve"> INDEX(Table3[[#All],[Intensity]], Table13[[#This Row],[int'[2']]]+2)</f>
        <v>0</v>
      </c>
      <c r="BD53">
        <f>Table13[[#This Row],[duration'[2']]]*Table13[[#This Row],[intensity'[2']]]</f>
        <v>0</v>
      </c>
      <c r="BE53">
        <f>MOD(Table13[[#This Row],[ZMW num]]+2, 4)</f>
        <v>2</v>
      </c>
      <c r="BF53" s="2" t="str">
        <f>Single2String(Table13[[#This Row],[t1'[0']]])</f>
        <v>00000000</v>
      </c>
      <c r="BG53" s="1" t="str">
        <f>Single2String(Table13[[#This Row],[dt'[0']]])</f>
        <v>00000000</v>
      </c>
      <c r="BH53" s="1" t="str">
        <f>Single2String(Table13[[#This Row],[t1'[1']]])</f>
        <v>00000000</v>
      </c>
      <c r="BI53" s="1" t="str">
        <f>Single2String(Table13[[#This Row],[dt'[1']]])</f>
        <v>00000000</v>
      </c>
      <c r="BJ53" s="1" t="str">
        <f>Single2String(Table13[[#This Row],[t1'[2']]])</f>
        <v>00000000</v>
      </c>
      <c r="BK53" s="1" t="str">
        <f>Single2String(Table13[[#This Row],[dt'[2']]])</f>
        <v>00000000</v>
      </c>
      <c r="BL53" s="1" t="str">
        <f>DEC2HEX(Table13[[#This Row],[ZMW num]], 6)</f>
        <v>000030</v>
      </c>
      <c r="BM53" s="1">
        <f>LEN(Table13[[#This Row],[DRAM data]])</f>
        <v>64</v>
      </c>
      <c r="BN5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0000000000000000000000000000000000000000000000000010200000003000</v>
      </c>
      <c r="CU53"/>
    </row>
    <row r="54" spans="1:99" x14ac:dyDescent="0.25">
      <c r="A54" t="str">
        <f>Single2String(Table13[[#This Row],[duration'[0']]])</f>
        <v>00000000</v>
      </c>
      <c r="B54" t="str">
        <f>Single2String(Table13[[#This Row],[duration'[1']]])</f>
        <v>00000000</v>
      </c>
      <c r="C54" t="str">
        <f>Single2String(Table13[[#This Row],[duration'[2']]])</f>
        <v>00000000</v>
      </c>
      <c r="D54" t="str">
        <f>INDEX(Table3[Hex], Table13[[#This Row],[int'[0']]]+1)</f>
        <v>00000000</v>
      </c>
      <c r="E54" t="str">
        <f>INDEX(Table3[Hex], Table13[[#This Row],[int'[1']]]+1)</f>
        <v>00000000</v>
      </c>
      <c r="F54" t="str">
        <f>INDEX(Table3[Hex], Table13[[#This Row],[int'[1']]]+1)</f>
        <v>00000000</v>
      </c>
      <c r="G54" t="str">
        <f>Single2String(Table13[[#This Row],[c ktrace]])</f>
        <v>00000000</v>
      </c>
      <c r="H54" t="str">
        <f>Single2String(Table13[[#This Row],[a ktrace]])</f>
        <v>00000000</v>
      </c>
      <c r="I54" t="str">
        <f>Single2String(Table13[[#This Row],[g ktrace]])</f>
        <v>00000000</v>
      </c>
      <c r="J54" t="str">
        <f>Single2String(Table13[[#This Row],[t ktrace]])</f>
        <v>00000000</v>
      </c>
      <c r="K54" s="3">
        <v>49</v>
      </c>
      <c r="L54">
        <f>SUM(Table13[[#This Row],[c ktrace'[2']]:[c ktrace'[0']]])</f>
        <v>0</v>
      </c>
      <c r="M54">
        <f>SUM(Table13[[#This Row],[a ktrace'[2']]:[a ktrace'[0']]])</f>
        <v>0</v>
      </c>
      <c r="N54">
        <f>SUM(Table13[[#This Row],[g ktrace'[2']]:[g ktrace'[0']]])</f>
        <v>0</v>
      </c>
      <c r="O54">
        <f>SUM(Table13[[#This Row],[t ktrace'[2']]:[t ktrace'[0']]])</f>
        <v>0</v>
      </c>
      <c r="P54">
        <f xml:space="preserve"> IF(Table13[[#This Row],[dye'[2']]]=3, Table13[[#This Row],[strength'[2']]], 0)</f>
        <v>0</v>
      </c>
      <c r="Q54">
        <f xml:space="preserve"> IF(Table13[[#This Row],[dye'[1']]]=3, Table13[[#This Row],[strength'[1']]], 0)</f>
        <v>0</v>
      </c>
      <c r="R54">
        <f xml:space="preserve"> IF(Table13[[#This Row],[dye'[0']]]=3, Table13[[#This Row],[strength'[0']]], 0)</f>
        <v>0</v>
      </c>
      <c r="S54">
        <f xml:space="preserve"> IF(Table13[[#This Row],[dye'[2']]]=2, Table13[[#This Row],[strength'[2']]], 0)</f>
        <v>0</v>
      </c>
      <c r="T54">
        <f xml:space="preserve"> IF(Table13[[#This Row],[dye'[1']]]=2, Table13[[#This Row],[strength'[1']]], 0)</f>
        <v>0</v>
      </c>
      <c r="U54">
        <f xml:space="preserve"> IF(Table13[[#This Row],[dye'[0']]]=2, Table13[[#This Row],[strength'[0']]], 0)</f>
        <v>0</v>
      </c>
      <c r="V54">
        <f xml:space="preserve"> IF(Table13[[#This Row],[dye'[2']]]=1, Table13[[#This Row],[strength'[2']]], 0)</f>
        <v>0</v>
      </c>
      <c r="W54">
        <f xml:space="preserve"> IF(Table13[[#This Row],[dye'[1']]]=1, Table13[[#This Row],[strength'[1']]], 0)</f>
        <v>0</v>
      </c>
      <c r="X54">
        <f xml:space="preserve"> IF(Table13[[#This Row],[dye'[0']]]=1, Table13[[#This Row],[strength'[0']]], 0)</f>
        <v>0</v>
      </c>
      <c r="Y54">
        <f xml:space="preserve"> IF(Table13[[#This Row],[dye'[2']]]=0, Table13[[#This Row],[strength'[2']]], 0)</f>
        <v>0</v>
      </c>
      <c r="Z54">
        <f xml:space="preserve"> IF(Table13[[#This Row],[dye'[1']]]=0, Table13[[#This Row],[strength'[1']]], 0)</f>
        <v>0</v>
      </c>
      <c r="AA54">
        <f xml:space="preserve"> IF(Table13[[#This Row],[dye'[0']]]=0, Table13[[#This Row],[strength'[0']]], 0)</f>
        <v>0</v>
      </c>
      <c r="AB54">
        <v>0</v>
      </c>
      <c r="AC54">
        <f>MAX($D$2, Table13[[#This Row],[t1'[0']]])</f>
        <v>0</v>
      </c>
      <c r="AD54">
        <v>0</v>
      </c>
      <c r="AE54">
        <f>Table13[[#This Row],[t1'[0']]]+Table13[[#This Row],[dt'[0']]]</f>
        <v>0</v>
      </c>
      <c r="AF54">
        <f>MIN($C$2, Table13[[#This Row],[tf'[0']]])</f>
        <v>0</v>
      </c>
      <c r="AG54">
        <f>Table13[[#This Row],[time2'[0']]]-Table13[[#This Row],[time1'[0']]]</f>
        <v>0</v>
      </c>
      <c r="AH54">
        <v>0</v>
      </c>
      <c r="AI54">
        <f xml:space="preserve"> INDEX(Table3[[#All],[Intensity]], Table13[[#This Row],[int'[0']]]+2)</f>
        <v>0</v>
      </c>
      <c r="AJ54">
        <f>Table13[[#This Row],[duration'[0']]]*Table13[[#This Row],[intensity'[0']]]</f>
        <v>0</v>
      </c>
      <c r="AK54">
        <f>MOD(Table13[[#This Row],[ZMW num]], 4)</f>
        <v>1</v>
      </c>
      <c r="AL54">
        <v>0</v>
      </c>
      <c r="AM54">
        <f>MAX($D$2, Table13[[#This Row],[t1'[1']]])</f>
        <v>0</v>
      </c>
      <c r="AN54">
        <v>0</v>
      </c>
      <c r="AO54">
        <f>Table13[[#This Row],[t1'[1']]]+Table13[[#This Row],[dt'[1']]]</f>
        <v>0</v>
      </c>
      <c r="AP54">
        <f>MIN($C$2, Table13[[#This Row],[tf'[1']]])</f>
        <v>0</v>
      </c>
      <c r="AQ54">
        <f>Table13[[#This Row],[time2'[1']]]-Table13[[#This Row],[time1'[1']]]</f>
        <v>0</v>
      </c>
      <c r="AR54">
        <v>0</v>
      </c>
      <c r="AS54">
        <f xml:space="preserve"> INDEX(Table3[[#All],[Intensity]], Table13[[#This Row],[int'[1']]]+2)</f>
        <v>0</v>
      </c>
      <c r="AT54">
        <f>Table13[[#This Row],[duration'[1']]]*Table13[[#This Row],[intensity'[1']]]</f>
        <v>0</v>
      </c>
      <c r="AU54">
        <f>MOD(Table13[[#This Row],[ZMW num]]+1, 4)</f>
        <v>2</v>
      </c>
      <c r="AV54">
        <v>0</v>
      </c>
      <c r="AW54">
        <f>MAX($D$2, Table13[[#This Row],[t1'[2']]])</f>
        <v>0</v>
      </c>
      <c r="AX54">
        <v>0</v>
      </c>
      <c r="AY54">
        <f>Table13[[#This Row],[t1'[2']]]+Table13[[#This Row],[dt'[2']]]</f>
        <v>0</v>
      </c>
      <c r="AZ54">
        <f>MIN($C$2, Table13[[#This Row],[tf'[2']]])</f>
        <v>0</v>
      </c>
      <c r="BA54">
        <f>Table13[[#This Row],[time2'[2']]]-Table13[[#This Row],[time1'[2']]]</f>
        <v>0</v>
      </c>
      <c r="BB54">
        <v>0</v>
      </c>
      <c r="BC54">
        <f xml:space="preserve"> INDEX(Table3[[#All],[Intensity]], Table13[[#This Row],[int'[2']]]+2)</f>
        <v>0</v>
      </c>
      <c r="BD54">
        <f>Table13[[#This Row],[duration'[2']]]*Table13[[#This Row],[intensity'[2']]]</f>
        <v>0</v>
      </c>
      <c r="BE54">
        <f>MOD(Table13[[#This Row],[ZMW num]]+2, 4)</f>
        <v>3</v>
      </c>
      <c r="BF54" s="2" t="str">
        <f>Single2String(Table13[[#This Row],[t1'[0']]])</f>
        <v>00000000</v>
      </c>
      <c r="BG54" s="1" t="str">
        <f>Single2String(Table13[[#This Row],[dt'[0']]])</f>
        <v>00000000</v>
      </c>
      <c r="BH54" s="1" t="str">
        <f>Single2String(Table13[[#This Row],[t1'[1']]])</f>
        <v>00000000</v>
      </c>
      <c r="BI54" s="1" t="str">
        <f>Single2String(Table13[[#This Row],[dt'[1']]])</f>
        <v>00000000</v>
      </c>
      <c r="BJ54" s="1" t="str">
        <f>Single2String(Table13[[#This Row],[t1'[2']]])</f>
        <v>00000000</v>
      </c>
      <c r="BK54" s="1" t="str">
        <f>Single2String(Table13[[#This Row],[dt'[2']]])</f>
        <v>00000000</v>
      </c>
      <c r="BL54" s="1" t="str">
        <f>DEC2HEX(Table13[[#This Row],[ZMW num]], 6)</f>
        <v>000031</v>
      </c>
      <c r="BM54" s="1">
        <f>LEN(Table13[[#This Row],[DRAM data]])</f>
        <v>64</v>
      </c>
      <c r="BN5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0000000000000000000000000000000000000000000000001020300000003100</v>
      </c>
      <c r="CU54"/>
    </row>
    <row r="55" spans="1:99" x14ac:dyDescent="0.25">
      <c r="A55" t="str">
        <f>Single2String(Table13[[#This Row],[duration'[0']]])</f>
        <v>00000000</v>
      </c>
      <c r="B55" t="str">
        <f>Single2String(Table13[[#This Row],[duration'[1']]])</f>
        <v>00000000</v>
      </c>
      <c r="C55" t="str">
        <f>Single2String(Table13[[#This Row],[duration'[2']]])</f>
        <v>00000000</v>
      </c>
      <c r="D55" t="str">
        <f>INDEX(Table3[Hex], Table13[[#This Row],[int'[0']]]+1)</f>
        <v>00000000</v>
      </c>
      <c r="E55" t="str">
        <f>INDEX(Table3[Hex], Table13[[#This Row],[int'[1']]]+1)</f>
        <v>00000000</v>
      </c>
      <c r="F55" t="str">
        <f>INDEX(Table3[Hex], Table13[[#This Row],[int'[1']]]+1)</f>
        <v>00000000</v>
      </c>
      <c r="G55" t="str">
        <f>Single2String(Table13[[#This Row],[c ktrace]])</f>
        <v>00000000</v>
      </c>
      <c r="H55" t="str">
        <f>Single2String(Table13[[#This Row],[a ktrace]])</f>
        <v>00000000</v>
      </c>
      <c r="I55" t="str">
        <f>Single2String(Table13[[#This Row],[g ktrace]])</f>
        <v>00000000</v>
      </c>
      <c r="J55" t="str">
        <f>Single2String(Table13[[#This Row],[t ktrace]])</f>
        <v>00000000</v>
      </c>
      <c r="K55" s="3">
        <v>50</v>
      </c>
      <c r="L55">
        <f>SUM(Table13[[#This Row],[c ktrace'[2']]:[c ktrace'[0']]])</f>
        <v>0</v>
      </c>
      <c r="M55">
        <f>SUM(Table13[[#This Row],[a ktrace'[2']]:[a ktrace'[0']]])</f>
        <v>0</v>
      </c>
      <c r="N55">
        <f>SUM(Table13[[#This Row],[g ktrace'[2']]:[g ktrace'[0']]])</f>
        <v>0</v>
      </c>
      <c r="O55">
        <f>SUM(Table13[[#This Row],[t ktrace'[2']]:[t ktrace'[0']]])</f>
        <v>0</v>
      </c>
      <c r="P55">
        <f xml:space="preserve"> IF(Table13[[#This Row],[dye'[2']]]=3, Table13[[#This Row],[strength'[2']]], 0)</f>
        <v>0</v>
      </c>
      <c r="Q55">
        <f xml:space="preserve"> IF(Table13[[#This Row],[dye'[1']]]=3, Table13[[#This Row],[strength'[1']]], 0)</f>
        <v>0</v>
      </c>
      <c r="R55">
        <f xml:space="preserve"> IF(Table13[[#This Row],[dye'[0']]]=3, Table13[[#This Row],[strength'[0']]], 0)</f>
        <v>0</v>
      </c>
      <c r="S55">
        <f xml:space="preserve"> IF(Table13[[#This Row],[dye'[2']]]=2, Table13[[#This Row],[strength'[2']]], 0)</f>
        <v>0</v>
      </c>
      <c r="T55">
        <f xml:space="preserve"> IF(Table13[[#This Row],[dye'[1']]]=2, Table13[[#This Row],[strength'[1']]], 0)</f>
        <v>0</v>
      </c>
      <c r="U55">
        <f xml:space="preserve"> IF(Table13[[#This Row],[dye'[0']]]=2, Table13[[#This Row],[strength'[0']]], 0)</f>
        <v>0</v>
      </c>
      <c r="V55">
        <f xml:space="preserve"> IF(Table13[[#This Row],[dye'[2']]]=1, Table13[[#This Row],[strength'[2']]], 0)</f>
        <v>0</v>
      </c>
      <c r="W55">
        <f xml:space="preserve"> IF(Table13[[#This Row],[dye'[1']]]=1, Table13[[#This Row],[strength'[1']]], 0)</f>
        <v>0</v>
      </c>
      <c r="X55">
        <f xml:space="preserve"> IF(Table13[[#This Row],[dye'[0']]]=1, Table13[[#This Row],[strength'[0']]], 0)</f>
        <v>0</v>
      </c>
      <c r="Y55">
        <f xml:space="preserve"> IF(Table13[[#This Row],[dye'[2']]]=0, Table13[[#This Row],[strength'[2']]], 0)</f>
        <v>0</v>
      </c>
      <c r="Z55">
        <f xml:space="preserve"> IF(Table13[[#This Row],[dye'[1']]]=0, Table13[[#This Row],[strength'[1']]], 0)</f>
        <v>0</v>
      </c>
      <c r="AA55">
        <f xml:space="preserve"> IF(Table13[[#This Row],[dye'[0']]]=0, Table13[[#This Row],[strength'[0']]], 0)</f>
        <v>0</v>
      </c>
      <c r="AB55">
        <v>0</v>
      </c>
      <c r="AC55">
        <f>MAX($D$2, Table13[[#This Row],[t1'[0']]])</f>
        <v>0</v>
      </c>
      <c r="AD55">
        <v>0</v>
      </c>
      <c r="AE55">
        <f>Table13[[#This Row],[t1'[0']]]+Table13[[#This Row],[dt'[0']]]</f>
        <v>0</v>
      </c>
      <c r="AF55">
        <f>MIN($C$2, Table13[[#This Row],[tf'[0']]])</f>
        <v>0</v>
      </c>
      <c r="AG55">
        <f>Table13[[#This Row],[time2'[0']]]-Table13[[#This Row],[time1'[0']]]</f>
        <v>0</v>
      </c>
      <c r="AH55">
        <v>0</v>
      </c>
      <c r="AI55">
        <f xml:space="preserve"> INDEX(Table3[[#All],[Intensity]], Table13[[#This Row],[int'[0']]]+2)</f>
        <v>0</v>
      </c>
      <c r="AJ55">
        <f>Table13[[#This Row],[duration'[0']]]*Table13[[#This Row],[intensity'[0']]]</f>
        <v>0</v>
      </c>
      <c r="AK55">
        <f>MOD(Table13[[#This Row],[ZMW num]], 4)</f>
        <v>2</v>
      </c>
      <c r="AL55">
        <v>0</v>
      </c>
      <c r="AM55">
        <f>MAX($D$2, Table13[[#This Row],[t1'[1']]])</f>
        <v>0</v>
      </c>
      <c r="AN55">
        <v>0</v>
      </c>
      <c r="AO55">
        <f>Table13[[#This Row],[t1'[1']]]+Table13[[#This Row],[dt'[1']]]</f>
        <v>0</v>
      </c>
      <c r="AP55">
        <f>MIN($C$2, Table13[[#This Row],[tf'[1']]])</f>
        <v>0</v>
      </c>
      <c r="AQ55">
        <f>Table13[[#This Row],[time2'[1']]]-Table13[[#This Row],[time1'[1']]]</f>
        <v>0</v>
      </c>
      <c r="AR55">
        <v>0</v>
      </c>
      <c r="AS55">
        <f xml:space="preserve"> INDEX(Table3[[#All],[Intensity]], Table13[[#This Row],[int'[1']]]+2)</f>
        <v>0</v>
      </c>
      <c r="AT55">
        <f>Table13[[#This Row],[duration'[1']]]*Table13[[#This Row],[intensity'[1']]]</f>
        <v>0</v>
      </c>
      <c r="AU55">
        <f>MOD(Table13[[#This Row],[ZMW num]]+1, 4)</f>
        <v>3</v>
      </c>
      <c r="AV55">
        <v>0</v>
      </c>
      <c r="AW55">
        <f>MAX($D$2, Table13[[#This Row],[t1'[2']]])</f>
        <v>0</v>
      </c>
      <c r="AX55">
        <v>0</v>
      </c>
      <c r="AY55">
        <f>Table13[[#This Row],[t1'[2']]]+Table13[[#This Row],[dt'[2']]]</f>
        <v>0</v>
      </c>
      <c r="AZ55">
        <f>MIN($C$2, Table13[[#This Row],[tf'[2']]])</f>
        <v>0</v>
      </c>
      <c r="BA55">
        <f>Table13[[#This Row],[time2'[2']]]-Table13[[#This Row],[time1'[2']]]</f>
        <v>0</v>
      </c>
      <c r="BB55">
        <v>0</v>
      </c>
      <c r="BC55">
        <f xml:space="preserve"> INDEX(Table3[[#All],[Intensity]], Table13[[#This Row],[int'[2']]]+2)</f>
        <v>0</v>
      </c>
      <c r="BD55">
        <f>Table13[[#This Row],[duration'[2']]]*Table13[[#This Row],[intensity'[2']]]</f>
        <v>0</v>
      </c>
      <c r="BE55">
        <f>MOD(Table13[[#This Row],[ZMW num]]+2, 4)</f>
        <v>0</v>
      </c>
      <c r="BF55" s="2" t="str">
        <f>Single2String(Table13[[#This Row],[t1'[0']]])</f>
        <v>00000000</v>
      </c>
      <c r="BG55" s="1" t="str">
        <f>Single2String(Table13[[#This Row],[dt'[0']]])</f>
        <v>00000000</v>
      </c>
      <c r="BH55" s="1" t="str">
        <f>Single2String(Table13[[#This Row],[t1'[1']]])</f>
        <v>00000000</v>
      </c>
      <c r="BI55" s="1" t="str">
        <f>Single2String(Table13[[#This Row],[dt'[1']]])</f>
        <v>00000000</v>
      </c>
      <c r="BJ55" s="1" t="str">
        <f>Single2String(Table13[[#This Row],[t1'[2']]])</f>
        <v>00000000</v>
      </c>
      <c r="BK55" s="1" t="str">
        <f>Single2String(Table13[[#This Row],[dt'[2']]])</f>
        <v>00000000</v>
      </c>
      <c r="BL55" s="1" t="str">
        <f>DEC2HEX(Table13[[#This Row],[ZMW num]], 6)</f>
        <v>000032</v>
      </c>
      <c r="BM55" s="1">
        <f>LEN(Table13[[#This Row],[DRAM data]])</f>
        <v>64</v>
      </c>
      <c r="BN5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0000000000000000000000000000000000000000000000002030000000003200</v>
      </c>
      <c r="CU55"/>
    </row>
    <row r="56" spans="1:99" x14ac:dyDescent="0.25">
      <c r="A56" t="str">
        <f>Single2String(Table13[[#This Row],[duration'[0']]])</f>
        <v>00000000</v>
      </c>
      <c r="B56" t="str">
        <f>Single2String(Table13[[#This Row],[duration'[1']]])</f>
        <v>00000000</v>
      </c>
      <c r="C56" t="str">
        <f>Single2String(Table13[[#This Row],[duration'[2']]])</f>
        <v>00000000</v>
      </c>
      <c r="D56" t="str">
        <f>INDEX(Table3[Hex], Table13[[#This Row],[int'[0']]]+1)</f>
        <v>00000000</v>
      </c>
      <c r="E56" t="str">
        <f>INDEX(Table3[Hex], Table13[[#This Row],[int'[1']]]+1)</f>
        <v>00000000</v>
      </c>
      <c r="F56" t="str">
        <f>INDEX(Table3[Hex], Table13[[#This Row],[int'[1']]]+1)</f>
        <v>00000000</v>
      </c>
      <c r="G56" t="str">
        <f>Single2String(Table13[[#This Row],[c ktrace]])</f>
        <v>00000000</v>
      </c>
      <c r="H56" t="str">
        <f>Single2String(Table13[[#This Row],[a ktrace]])</f>
        <v>00000000</v>
      </c>
      <c r="I56" t="str">
        <f>Single2String(Table13[[#This Row],[g ktrace]])</f>
        <v>00000000</v>
      </c>
      <c r="J56" t="str">
        <f>Single2String(Table13[[#This Row],[t ktrace]])</f>
        <v>00000000</v>
      </c>
      <c r="K56" s="3">
        <v>51</v>
      </c>
      <c r="L56">
        <f>SUM(Table13[[#This Row],[c ktrace'[2']]:[c ktrace'[0']]])</f>
        <v>0</v>
      </c>
      <c r="M56">
        <f>SUM(Table13[[#This Row],[a ktrace'[2']]:[a ktrace'[0']]])</f>
        <v>0</v>
      </c>
      <c r="N56">
        <f>SUM(Table13[[#This Row],[g ktrace'[2']]:[g ktrace'[0']]])</f>
        <v>0</v>
      </c>
      <c r="O56">
        <f>SUM(Table13[[#This Row],[t ktrace'[2']]:[t ktrace'[0']]])</f>
        <v>0</v>
      </c>
      <c r="P56">
        <f xml:space="preserve"> IF(Table13[[#This Row],[dye'[2']]]=3, Table13[[#This Row],[strength'[2']]], 0)</f>
        <v>0</v>
      </c>
      <c r="Q56">
        <f xml:space="preserve"> IF(Table13[[#This Row],[dye'[1']]]=3, Table13[[#This Row],[strength'[1']]], 0)</f>
        <v>0</v>
      </c>
      <c r="R56">
        <f xml:space="preserve"> IF(Table13[[#This Row],[dye'[0']]]=3, Table13[[#This Row],[strength'[0']]], 0)</f>
        <v>0</v>
      </c>
      <c r="S56">
        <f xml:space="preserve"> IF(Table13[[#This Row],[dye'[2']]]=2, Table13[[#This Row],[strength'[2']]], 0)</f>
        <v>0</v>
      </c>
      <c r="T56">
        <f xml:space="preserve"> IF(Table13[[#This Row],[dye'[1']]]=2, Table13[[#This Row],[strength'[1']]], 0)</f>
        <v>0</v>
      </c>
      <c r="U56">
        <f xml:space="preserve"> IF(Table13[[#This Row],[dye'[0']]]=2, Table13[[#This Row],[strength'[0']]], 0)</f>
        <v>0</v>
      </c>
      <c r="V56">
        <f xml:space="preserve"> IF(Table13[[#This Row],[dye'[2']]]=1, Table13[[#This Row],[strength'[2']]], 0)</f>
        <v>0</v>
      </c>
      <c r="W56">
        <f xml:space="preserve"> IF(Table13[[#This Row],[dye'[1']]]=1, Table13[[#This Row],[strength'[1']]], 0)</f>
        <v>0</v>
      </c>
      <c r="X56">
        <f xml:space="preserve"> IF(Table13[[#This Row],[dye'[0']]]=1, Table13[[#This Row],[strength'[0']]], 0)</f>
        <v>0</v>
      </c>
      <c r="Y56">
        <f xml:space="preserve"> IF(Table13[[#This Row],[dye'[2']]]=0, Table13[[#This Row],[strength'[2']]], 0)</f>
        <v>0</v>
      </c>
      <c r="Z56">
        <f xml:space="preserve"> IF(Table13[[#This Row],[dye'[1']]]=0, Table13[[#This Row],[strength'[1']]], 0)</f>
        <v>0</v>
      </c>
      <c r="AA56">
        <f xml:space="preserve"> IF(Table13[[#This Row],[dye'[0']]]=0, Table13[[#This Row],[strength'[0']]], 0)</f>
        <v>0</v>
      </c>
      <c r="AB56">
        <v>0</v>
      </c>
      <c r="AC56">
        <f>MAX($D$2, Table13[[#This Row],[t1'[0']]])</f>
        <v>0</v>
      </c>
      <c r="AD56">
        <v>0</v>
      </c>
      <c r="AE56">
        <f>Table13[[#This Row],[t1'[0']]]+Table13[[#This Row],[dt'[0']]]</f>
        <v>0</v>
      </c>
      <c r="AF56">
        <f>MIN($C$2, Table13[[#This Row],[tf'[0']]])</f>
        <v>0</v>
      </c>
      <c r="AG56">
        <f>Table13[[#This Row],[time2'[0']]]-Table13[[#This Row],[time1'[0']]]</f>
        <v>0</v>
      </c>
      <c r="AH56">
        <v>0</v>
      </c>
      <c r="AI56">
        <f xml:space="preserve"> INDEX(Table3[[#All],[Intensity]], Table13[[#This Row],[int'[0']]]+2)</f>
        <v>0</v>
      </c>
      <c r="AJ56">
        <f>Table13[[#This Row],[duration'[0']]]*Table13[[#This Row],[intensity'[0']]]</f>
        <v>0</v>
      </c>
      <c r="AK56">
        <f>MOD(Table13[[#This Row],[ZMW num]], 4)</f>
        <v>3</v>
      </c>
      <c r="AL56">
        <v>0</v>
      </c>
      <c r="AM56">
        <f>MAX($D$2, Table13[[#This Row],[t1'[1']]])</f>
        <v>0</v>
      </c>
      <c r="AN56">
        <v>0</v>
      </c>
      <c r="AO56">
        <f>Table13[[#This Row],[t1'[1']]]+Table13[[#This Row],[dt'[1']]]</f>
        <v>0</v>
      </c>
      <c r="AP56">
        <f>MIN($C$2, Table13[[#This Row],[tf'[1']]])</f>
        <v>0</v>
      </c>
      <c r="AQ56">
        <f>Table13[[#This Row],[time2'[1']]]-Table13[[#This Row],[time1'[1']]]</f>
        <v>0</v>
      </c>
      <c r="AR56">
        <v>0</v>
      </c>
      <c r="AS56">
        <f xml:space="preserve"> INDEX(Table3[[#All],[Intensity]], Table13[[#This Row],[int'[1']]]+2)</f>
        <v>0</v>
      </c>
      <c r="AT56">
        <f>Table13[[#This Row],[duration'[1']]]*Table13[[#This Row],[intensity'[1']]]</f>
        <v>0</v>
      </c>
      <c r="AU56">
        <f>MOD(Table13[[#This Row],[ZMW num]]+1, 4)</f>
        <v>0</v>
      </c>
      <c r="AV56">
        <v>0</v>
      </c>
      <c r="AW56">
        <f>MAX($D$2, Table13[[#This Row],[t1'[2']]])</f>
        <v>0</v>
      </c>
      <c r="AX56">
        <v>0</v>
      </c>
      <c r="AY56">
        <f>Table13[[#This Row],[t1'[2']]]+Table13[[#This Row],[dt'[2']]]</f>
        <v>0</v>
      </c>
      <c r="AZ56">
        <f>MIN($C$2, Table13[[#This Row],[tf'[2']]])</f>
        <v>0</v>
      </c>
      <c r="BA56">
        <f>Table13[[#This Row],[time2'[2']]]-Table13[[#This Row],[time1'[2']]]</f>
        <v>0</v>
      </c>
      <c r="BB56">
        <v>0</v>
      </c>
      <c r="BC56">
        <f xml:space="preserve"> INDEX(Table3[[#All],[Intensity]], Table13[[#This Row],[int'[2']]]+2)</f>
        <v>0</v>
      </c>
      <c r="BD56">
        <f>Table13[[#This Row],[duration'[2']]]*Table13[[#This Row],[intensity'[2']]]</f>
        <v>0</v>
      </c>
      <c r="BE56">
        <f>MOD(Table13[[#This Row],[ZMW num]]+2, 4)</f>
        <v>1</v>
      </c>
      <c r="BF56" s="2" t="str">
        <f>Single2String(Table13[[#This Row],[t1'[0']]])</f>
        <v>00000000</v>
      </c>
      <c r="BG56" s="1" t="str">
        <f>Single2String(Table13[[#This Row],[dt'[0']]])</f>
        <v>00000000</v>
      </c>
      <c r="BH56" s="1" t="str">
        <f>Single2String(Table13[[#This Row],[t1'[1']]])</f>
        <v>00000000</v>
      </c>
      <c r="BI56" s="1" t="str">
        <f>Single2String(Table13[[#This Row],[dt'[1']]])</f>
        <v>00000000</v>
      </c>
      <c r="BJ56" s="1" t="str">
        <f>Single2String(Table13[[#This Row],[t1'[2']]])</f>
        <v>00000000</v>
      </c>
      <c r="BK56" s="1" t="str">
        <f>Single2String(Table13[[#This Row],[dt'[2']]])</f>
        <v>00000000</v>
      </c>
      <c r="BL56" s="1" t="str">
        <f>DEC2HEX(Table13[[#This Row],[ZMW num]], 6)</f>
        <v>000033</v>
      </c>
      <c r="BM56" s="1">
        <f>LEN(Table13[[#This Row],[DRAM data]])</f>
        <v>64</v>
      </c>
      <c r="BN5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0000000000000000000000000000000000000000000000003000100000003300</v>
      </c>
      <c r="CU56"/>
    </row>
    <row r="57" spans="1:99" x14ac:dyDescent="0.25">
      <c r="A57" t="str">
        <f>Single2String(Table13[[#This Row],[duration'[0']]])</f>
        <v>00000000</v>
      </c>
      <c r="B57" t="str">
        <f>Single2String(Table13[[#This Row],[duration'[1']]])</f>
        <v>00000000</v>
      </c>
      <c r="C57" t="str">
        <f>Single2String(Table13[[#This Row],[duration'[2']]])</f>
        <v>00000000</v>
      </c>
      <c r="D57" t="str">
        <f>INDEX(Table3[Hex], Table13[[#This Row],[int'[0']]]+1)</f>
        <v>00000000</v>
      </c>
      <c r="E57" t="str">
        <f>INDEX(Table3[Hex], Table13[[#This Row],[int'[1']]]+1)</f>
        <v>00000000</v>
      </c>
      <c r="F57" t="str">
        <f>INDEX(Table3[Hex], Table13[[#This Row],[int'[1']]]+1)</f>
        <v>00000000</v>
      </c>
      <c r="G57" t="str">
        <f>Single2String(Table13[[#This Row],[c ktrace]])</f>
        <v>00000000</v>
      </c>
      <c r="H57" t="str">
        <f>Single2String(Table13[[#This Row],[a ktrace]])</f>
        <v>00000000</v>
      </c>
      <c r="I57" t="str">
        <f>Single2String(Table13[[#This Row],[g ktrace]])</f>
        <v>00000000</v>
      </c>
      <c r="J57" t="str">
        <f>Single2String(Table13[[#This Row],[t ktrace]])</f>
        <v>00000000</v>
      </c>
      <c r="K57" s="3">
        <v>52</v>
      </c>
      <c r="L57">
        <f>SUM(Table13[[#This Row],[c ktrace'[2']]:[c ktrace'[0']]])</f>
        <v>0</v>
      </c>
      <c r="M57">
        <f>SUM(Table13[[#This Row],[a ktrace'[2']]:[a ktrace'[0']]])</f>
        <v>0</v>
      </c>
      <c r="N57">
        <f>SUM(Table13[[#This Row],[g ktrace'[2']]:[g ktrace'[0']]])</f>
        <v>0</v>
      </c>
      <c r="O57">
        <f>SUM(Table13[[#This Row],[t ktrace'[2']]:[t ktrace'[0']]])</f>
        <v>0</v>
      </c>
      <c r="P57">
        <f xml:space="preserve"> IF(Table13[[#This Row],[dye'[2']]]=3, Table13[[#This Row],[strength'[2']]], 0)</f>
        <v>0</v>
      </c>
      <c r="Q57">
        <f xml:space="preserve"> IF(Table13[[#This Row],[dye'[1']]]=3, Table13[[#This Row],[strength'[1']]], 0)</f>
        <v>0</v>
      </c>
      <c r="R57">
        <f xml:space="preserve"> IF(Table13[[#This Row],[dye'[0']]]=3, Table13[[#This Row],[strength'[0']]], 0)</f>
        <v>0</v>
      </c>
      <c r="S57">
        <f xml:space="preserve"> IF(Table13[[#This Row],[dye'[2']]]=2, Table13[[#This Row],[strength'[2']]], 0)</f>
        <v>0</v>
      </c>
      <c r="T57">
        <f xml:space="preserve"> IF(Table13[[#This Row],[dye'[1']]]=2, Table13[[#This Row],[strength'[1']]], 0)</f>
        <v>0</v>
      </c>
      <c r="U57">
        <f xml:space="preserve"> IF(Table13[[#This Row],[dye'[0']]]=2, Table13[[#This Row],[strength'[0']]], 0)</f>
        <v>0</v>
      </c>
      <c r="V57">
        <f xml:space="preserve"> IF(Table13[[#This Row],[dye'[2']]]=1, Table13[[#This Row],[strength'[2']]], 0)</f>
        <v>0</v>
      </c>
      <c r="W57">
        <f xml:space="preserve"> IF(Table13[[#This Row],[dye'[1']]]=1, Table13[[#This Row],[strength'[1']]], 0)</f>
        <v>0</v>
      </c>
      <c r="X57">
        <f xml:space="preserve"> IF(Table13[[#This Row],[dye'[0']]]=1, Table13[[#This Row],[strength'[0']]], 0)</f>
        <v>0</v>
      </c>
      <c r="Y57">
        <f xml:space="preserve"> IF(Table13[[#This Row],[dye'[2']]]=0, Table13[[#This Row],[strength'[2']]], 0)</f>
        <v>0</v>
      </c>
      <c r="Z57">
        <f xml:space="preserve"> IF(Table13[[#This Row],[dye'[1']]]=0, Table13[[#This Row],[strength'[1']]], 0)</f>
        <v>0</v>
      </c>
      <c r="AA57">
        <f xml:space="preserve"> IF(Table13[[#This Row],[dye'[0']]]=0, Table13[[#This Row],[strength'[0']]], 0)</f>
        <v>0</v>
      </c>
      <c r="AB57">
        <v>0</v>
      </c>
      <c r="AC57">
        <f>MAX($D$2, Table13[[#This Row],[t1'[0']]])</f>
        <v>0</v>
      </c>
      <c r="AD57">
        <v>0</v>
      </c>
      <c r="AE57">
        <f>Table13[[#This Row],[t1'[0']]]+Table13[[#This Row],[dt'[0']]]</f>
        <v>0</v>
      </c>
      <c r="AF57">
        <f>MIN($C$2, Table13[[#This Row],[tf'[0']]])</f>
        <v>0</v>
      </c>
      <c r="AG57">
        <f>Table13[[#This Row],[time2'[0']]]-Table13[[#This Row],[time1'[0']]]</f>
        <v>0</v>
      </c>
      <c r="AH57">
        <v>0</v>
      </c>
      <c r="AI57">
        <f xml:space="preserve"> INDEX(Table3[[#All],[Intensity]], Table13[[#This Row],[int'[0']]]+2)</f>
        <v>0</v>
      </c>
      <c r="AJ57">
        <f>Table13[[#This Row],[duration'[0']]]*Table13[[#This Row],[intensity'[0']]]</f>
        <v>0</v>
      </c>
      <c r="AK57">
        <f>MOD(Table13[[#This Row],[ZMW num]], 4)</f>
        <v>0</v>
      </c>
      <c r="AL57">
        <v>0</v>
      </c>
      <c r="AM57">
        <f>MAX($D$2, Table13[[#This Row],[t1'[1']]])</f>
        <v>0</v>
      </c>
      <c r="AN57">
        <v>0</v>
      </c>
      <c r="AO57">
        <f>Table13[[#This Row],[t1'[1']]]+Table13[[#This Row],[dt'[1']]]</f>
        <v>0</v>
      </c>
      <c r="AP57">
        <f>MIN($C$2, Table13[[#This Row],[tf'[1']]])</f>
        <v>0</v>
      </c>
      <c r="AQ57">
        <f>Table13[[#This Row],[time2'[1']]]-Table13[[#This Row],[time1'[1']]]</f>
        <v>0</v>
      </c>
      <c r="AR57">
        <v>0</v>
      </c>
      <c r="AS57">
        <f xml:space="preserve"> INDEX(Table3[[#All],[Intensity]], Table13[[#This Row],[int'[1']]]+2)</f>
        <v>0</v>
      </c>
      <c r="AT57">
        <f>Table13[[#This Row],[duration'[1']]]*Table13[[#This Row],[intensity'[1']]]</f>
        <v>0</v>
      </c>
      <c r="AU57">
        <f>MOD(Table13[[#This Row],[ZMW num]]+1, 4)</f>
        <v>1</v>
      </c>
      <c r="AV57">
        <v>0</v>
      </c>
      <c r="AW57">
        <f>MAX($D$2, Table13[[#This Row],[t1'[2']]])</f>
        <v>0</v>
      </c>
      <c r="AX57">
        <v>0</v>
      </c>
      <c r="AY57">
        <f>Table13[[#This Row],[t1'[2']]]+Table13[[#This Row],[dt'[2']]]</f>
        <v>0</v>
      </c>
      <c r="AZ57">
        <f>MIN($C$2, Table13[[#This Row],[tf'[2']]])</f>
        <v>0</v>
      </c>
      <c r="BA57">
        <f>Table13[[#This Row],[time2'[2']]]-Table13[[#This Row],[time1'[2']]]</f>
        <v>0</v>
      </c>
      <c r="BB57">
        <v>0</v>
      </c>
      <c r="BC57">
        <f xml:space="preserve"> INDEX(Table3[[#All],[Intensity]], Table13[[#This Row],[int'[2']]]+2)</f>
        <v>0</v>
      </c>
      <c r="BD57">
        <f>Table13[[#This Row],[duration'[2']]]*Table13[[#This Row],[intensity'[2']]]</f>
        <v>0</v>
      </c>
      <c r="BE57">
        <f>MOD(Table13[[#This Row],[ZMW num]]+2, 4)</f>
        <v>2</v>
      </c>
      <c r="BF57" s="2" t="str">
        <f>Single2String(Table13[[#This Row],[t1'[0']]])</f>
        <v>00000000</v>
      </c>
      <c r="BG57" s="1" t="str">
        <f>Single2String(Table13[[#This Row],[dt'[0']]])</f>
        <v>00000000</v>
      </c>
      <c r="BH57" s="1" t="str">
        <f>Single2String(Table13[[#This Row],[t1'[1']]])</f>
        <v>00000000</v>
      </c>
      <c r="BI57" s="1" t="str">
        <f>Single2String(Table13[[#This Row],[dt'[1']]])</f>
        <v>00000000</v>
      </c>
      <c r="BJ57" s="1" t="str">
        <f>Single2String(Table13[[#This Row],[t1'[2']]])</f>
        <v>00000000</v>
      </c>
      <c r="BK57" s="1" t="str">
        <f>Single2String(Table13[[#This Row],[dt'[2']]])</f>
        <v>00000000</v>
      </c>
      <c r="BL57" s="1" t="str">
        <f>DEC2HEX(Table13[[#This Row],[ZMW num]], 6)</f>
        <v>000034</v>
      </c>
      <c r="BM57" s="1">
        <f>LEN(Table13[[#This Row],[DRAM data]])</f>
        <v>64</v>
      </c>
      <c r="BN5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0000000000000000000000000000000000000000000000000010200000003400</v>
      </c>
      <c r="CU57"/>
    </row>
    <row r="58" spans="1:99" x14ac:dyDescent="0.25">
      <c r="A58" t="str">
        <f>Single2String(Table13[[#This Row],[duration'[0']]])</f>
        <v>00000000</v>
      </c>
      <c r="B58" t="str">
        <f>Single2String(Table13[[#This Row],[duration'[1']]])</f>
        <v>00000000</v>
      </c>
      <c r="C58" t="str">
        <f>Single2String(Table13[[#This Row],[duration'[2']]])</f>
        <v>00000000</v>
      </c>
      <c r="D58" t="str">
        <f>INDEX(Table3[Hex], Table13[[#This Row],[int'[0']]]+1)</f>
        <v>00000000</v>
      </c>
      <c r="E58" t="str">
        <f>INDEX(Table3[Hex], Table13[[#This Row],[int'[1']]]+1)</f>
        <v>00000000</v>
      </c>
      <c r="F58" t="str">
        <f>INDEX(Table3[Hex], Table13[[#This Row],[int'[1']]]+1)</f>
        <v>00000000</v>
      </c>
      <c r="G58" t="str">
        <f>Single2String(Table13[[#This Row],[c ktrace]])</f>
        <v>00000000</v>
      </c>
      <c r="H58" t="str">
        <f>Single2String(Table13[[#This Row],[a ktrace]])</f>
        <v>00000000</v>
      </c>
      <c r="I58" t="str">
        <f>Single2String(Table13[[#This Row],[g ktrace]])</f>
        <v>00000000</v>
      </c>
      <c r="J58" t="str">
        <f>Single2String(Table13[[#This Row],[t ktrace]])</f>
        <v>00000000</v>
      </c>
      <c r="K58" s="3">
        <v>53</v>
      </c>
      <c r="L58">
        <f>SUM(Table13[[#This Row],[c ktrace'[2']]:[c ktrace'[0']]])</f>
        <v>0</v>
      </c>
      <c r="M58">
        <f>SUM(Table13[[#This Row],[a ktrace'[2']]:[a ktrace'[0']]])</f>
        <v>0</v>
      </c>
      <c r="N58">
        <f>SUM(Table13[[#This Row],[g ktrace'[2']]:[g ktrace'[0']]])</f>
        <v>0</v>
      </c>
      <c r="O58">
        <f>SUM(Table13[[#This Row],[t ktrace'[2']]:[t ktrace'[0']]])</f>
        <v>0</v>
      </c>
      <c r="P58">
        <f xml:space="preserve"> IF(Table13[[#This Row],[dye'[2']]]=3, Table13[[#This Row],[strength'[2']]], 0)</f>
        <v>0</v>
      </c>
      <c r="Q58">
        <f xml:space="preserve"> IF(Table13[[#This Row],[dye'[1']]]=3, Table13[[#This Row],[strength'[1']]], 0)</f>
        <v>0</v>
      </c>
      <c r="R58">
        <f xml:space="preserve"> IF(Table13[[#This Row],[dye'[0']]]=3, Table13[[#This Row],[strength'[0']]], 0)</f>
        <v>0</v>
      </c>
      <c r="S58">
        <f xml:space="preserve"> IF(Table13[[#This Row],[dye'[2']]]=2, Table13[[#This Row],[strength'[2']]], 0)</f>
        <v>0</v>
      </c>
      <c r="T58">
        <f xml:space="preserve"> IF(Table13[[#This Row],[dye'[1']]]=2, Table13[[#This Row],[strength'[1']]], 0)</f>
        <v>0</v>
      </c>
      <c r="U58">
        <f xml:space="preserve"> IF(Table13[[#This Row],[dye'[0']]]=2, Table13[[#This Row],[strength'[0']]], 0)</f>
        <v>0</v>
      </c>
      <c r="V58">
        <f xml:space="preserve"> IF(Table13[[#This Row],[dye'[2']]]=1, Table13[[#This Row],[strength'[2']]], 0)</f>
        <v>0</v>
      </c>
      <c r="W58">
        <f xml:space="preserve"> IF(Table13[[#This Row],[dye'[1']]]=1, Table13[[#This Row],[strength'[1']]], 0)</f>
        <v>0</v>
      </c>
      <c r="X58">
        <f xml:space="preserve"> IF(Table13[[#This Row],[dye'[0']]]=1, Table13[[#This Row],[strength'[0']]], 0)</f>
        <v>0</v>
      </c>
      <c r="Y58">
        <f xml:space="preserve"> IF(Table13[[#This Row],[dye'[2']]]=0, Table13[[#This Row],[strength'[2']]], 0)</f>
        <v>0</v>
      </c>
      <c r="Z58">
        <f xml:space="preserve"> IF(Table13[[#This Row],[dye'[1']]]=0, Table13[[#This Row],[strength'[1']]], 0)</f>
        <v>0</v>
      </c>
      <c r="AA58">
        <f xml:space="preserve"> IF(Table13[[#This Row],[dye'[0']]]=0, Table13[[#This Row],[strength'[0']]], 0)</f>
        <v>0</v>
      </c>
      <c r="AB58">
        <v>0</v>
      </c>
      <c r="AC58">
        <f>MAX($D$2, Table13[[#This Row],[t1'[0']]])</f>
        <v>0</v>
      </c>
      <c r="AD58">
        <v>0</v>
      </c>
      <c r="AE58">
        <f>Table13[[#This Row],[t1'[0']]]+Table13[[#This Row],[dt'[0']]]</f>
        <v>0</v>
      </c>
      <c r="AF58">
        <f>MIN($C$2, Table13[[#This Row],[tf'[0']]])</f>
        <v>0</v>
      </c>
      <c r="AG58">
        <f>Table13[[#This Row],[time2'[0']]]-Table13[[#This Row],[time1'[0']]]</f>
        <v>0</v>
      </c>
      <c r="AH58">
        <v>0</v>
      </c>
      <c r="AI58">
        <f xml:space="preserve"> INDEX(Table3[[#All],[Intensity]], Table13[[#This Row],[int'[0']]]+2)</f>
        <v>0</v>
      </c>
      <c r="AJ58">
        <f>Table13[[#This Row],[duration'[0']]]*Table13[[#This Row],[intensity'[0']]]</f>
        <v>0</v>
      </c>
      <c r="AK58">
        <f>MOD(Table13[[#This Row],[ZMW num]], 4)</f>
        <v>1</v>
      </c>
      <c r="AL58">
        <v>0</v>
      </c>
      <c r="AM58">
        <f>MAX($D$2, Table13[[#This Row],[t1'[1']]])</f>
        <v>0</v>
      </c>
      <c r="AN58">
        <v>0</v>
      </c>
      <c r="AO58">
        <f>Table13[[#This Row],[t1'[1']]]+Table13[[#This Row],[dt'[1']]]</f>
        <v>0</v>
      </c>
      <c r="AP58">
        <f>MIN($C$2, Table13[[#This Row],[tf'[1']]])</f>
        <v>0</v>
      </c>
      <c r="AQ58">
        <f>Table13[[#This Row],[time2'[1']]]-Table13[[#This Row],[time1'[1']]]</f>
        <v>0</v>
      </c>
      <c r="AR58">
        <v>0</v>
      </c>
      <c r="AS58">
        <f xml:space="preserve"> INDEX(Table3[[#All],[Intensity]], Table13[[#This Row],[int'[1']]]+2)</f>
        <v>0</v>
      </c>
      <c r="AT58">
        <f>Table13[[#This Row],[duration'[1']]]*Table13[[#This Row],[intensity'[1']]]</f>
        <v>0</v>
      </c>
      <c r="AU58">
        <f>MOD(Table13[[#This Row],[ZMW num]]+1, 4)</f>
        <v>2</v>
      </c>
      <c r="AV58">
        <v>0</v>
      </c>
      <c r="AW58">
        <f>MAX($D$2, Table13[[#This Row],[t1'[2']]])</f>
        <v>0</v>
      </c>
      <c r="AX58">
        <v>0</v>
      </c>
      <c r="AY58">
        <f>Table13[[#This Row],[t1'[2']]]+Table13[[#This Row],[dt'[2']]]</f>
        <v>0</v>
      </c>
      <c r="AZ58">
        <f>MIN($C$2, Table13[[#This Row],[tf'[2']]])</f>
        <v>0</v>
      </c>
      <c r="BA58">
        <f>Table13[[#This Row],[time2'[2']]]-Table13[[#This Row],[time1'[2']]]</f>
        <v>0</v>
      </c>
      <c r="BB58">
        <v>0</v>
      </c>
      <c r="BC58">
        <f xml:space="preserve"> INDEX(Table3[[#All],[Intensity]], Table13[[#This Row],[int'[2']]]+2)</f>
        <v>0</v>
      </c>
      <c r="BD58">
        <f>Table13[[#This Row],[duration'[2']]]*Table13[[#This Row],[intensity'[2']]]</f>
        <v>0</v>
      </c>
      <c r="BE58">
        <f>MOD(Table13[[#This Row],[ZMW num]]+2, 4)</f>
        <v>3</v>
      </c>
      <c r="BF58" s="2" t="str">
        <f>Single2String(Table13[[#This Row],[t1'[0']]])</f>
        <v>00000000</v>
      </c>
      <c r="BG58" s="1" t="str">
        <f>Single2String(Table13[[#This Row],[dt'[0']]])</f>
        <v>00000000</v>
      </c>
      <c r="BH58" s="1" t="str">
        <f>Single2String(Table13[[#This Row],[t1'[1']]])</f>
        <v>00000000</v>
      </c>
      <c r="BI58" s="1" t="str">
        <f>Single2String(Table13[[#This Row],[dt'[1']]])</f>
        <v>00000000</v>
      </c>
      <c r="BJ58" s="1" t="str">
        <f>Single2String(Table13[[#This Row],[t1'[2']]])</f>
        <v>00000000</v>
      </c>
      <c r="BK58" s="1" t="str">
        <f>Single2String(Table13[[#This Row],[dt'[2']]])</f>
        <v>00000000</v>
      </c>
      <c r="BL58" s="1" t="str">
        <f>DEC2HEX(Table13[[#This Row],[ZMW num]], 6)</f>
        <v>000035</v>
      </c>
      <c r="BM58" s="1">
        <f>LEN(Table13[[#This Row],[DRAM data]])</f>
        <v>64</v>
      </c>
      <c r="BN5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0000000000000000000000000000000000000000000000001020300000003500</v>
      </c>
      <c r="CU58"/>
    </row>
    <row r="59" spans="1:99" x14ac:dyDescent="0.25">
      <c r="A59" t="str">
        <f>Single2String(Table13[[#This Row],[duration'[0']]])</f>
        <v>00000000</v>
      </c>
      <c r="B59" t="str">
        <f>Single2String(Table13[[#This Row],[duration'[1']]])</f>
        <v>00000000</v>
      </c>
      <c r="C59" t="str">
        <f>Single2String(Table13[[#This Row],[duration'[2']]])</f>
        <v>00000000</v>
      </c>
      <c r="D59" t="str">
        <f>INDEX(Table3[Hex], Table13[[#This Row],[int'[0']]]+1)</f>
        <v>00000000</v>
      </c>
      <c r="E59" t="str">
        <f>INDEX(Table3[Hex], Table13[[#This Row],[int'[1']]]+1)</f>
        <v>00000000</v>
      </c>
      <c r="F59" t="str">
        <f>INDEX(Table3[Hex], Table13[[#This Row],[int'[1']]]+1)</f>
        <v>00000000</v>
      </c>
      <c r="G59" t="str">
        <f>Single2String(Table13[[#This Row],[c ktrace]])</f>
        <v>00000000</v>
      </c>
      <c r="H59" t="str">
        <f>Single2String(Table13[[#This Row],[a ktrace]])</f>
        <v>00000000</v>
      </c>
      <c r="I59" t="str">
        <f>Single2String(Table13[[#This Row],[g ktrace]])</f>
        <v>00000000</v>
      </c>
      <c r="J59" t="str">
        <f>Single2String(Table13[[#This Row],[t ktrace]])</f>
        <v>00000000</v>
      </c>
      <c r="K59" s="3">
        <v>54</v>
      </c>
      <c r="L59">
        <f>SUM(Table13[[#This Row],[c ktrace'[2']]:[c ktrace'[0']]])</f>
        <v>0</v>
      </c>
      <c r="M59">
        <f>SUM(Table13[[#This Row],[a ktrace'[2']]:[a ktrace'[0']]])</f>
        <v>0</v>
      </c>
      <c r="N59">
        <f>SUM(Table13[[#This Row],[g ktrace'[2']]:[g ktrace'[0']]])</f>
        <v>0</v>
      </c>
      <c r="O59">
        <f>SUM(Table13[[#This Row],[t ktrace'[2']]:[t ktrace'[0']]])</f>
        <v>0</v>
      </c>
      <c r="P59">
        <f xml:space="preserve"> IF(Table13[[#This Row],[dye'[2']]]=3, Table13[[#This Row],[strength'[2']]], 0)</f>
        <v>0</v>
      </c>
      <c r="Q59">
        <f xml:space="preserve"> IF(Table13[[#This Row],[dye'[1']]]=3, Table13[[#This Row],[strength'[1']]], 0)</f>
        <v>0</v>
      </c>
      <c r="R59">
        <f xml:space="preserve"> IF(Table13[[#This Row],[dye'[0']]]=3, Table13[[#This Row],[strength'[0']]], 0)</f>
        <v>0</v>
      </c>
      <c r="S59">
        <f xml:space="preserve"> IF(Table13[[#This Row],[dye'[2']]]=2, Table13[[#This Row],[strength'[2']]], 0)</f>
        <v>0</v>
      </c>
      <c r="T59">
        <f xml:space="preserve"> IF(Table13[[#This Row],[dye'[1']]]=2, Table13[[#This Row],[strength'[1']]], 0)</f>
        <v>0</v>
      </c>
      <c r="U59">
        <f xml:space="preserve"> IF(Table13[[#This Row],[dye'[0']]]=2, Table13[[#This Row],[strength'[0']]], 0)</f>
        <v>0</v>
      </c>
      <c r="V59">
        <f xml:space="preserve"> IF(Table13[[#This Row],[dye'[2']]]=1, Table13[[#This Row],[strength'[2']]], 0)</f>
        <v>0</v>
      </c>
      <c r="W59">
        <f xml:space="preserve"> IF(Table13[[#This Row],[dye'[1']]]=1, Table13[[#This Row],[strength'[1']]], 0)</f>
        <v>0</v>
      </c>
      <c r="X59">
        <f xml:space="preserve"> IF(Table13[[#This Row],[dye'[0']]]=1, Table13[[#This Row],[strength'[0']]], 0)</f>
        <v>0</v>
      </c>
      <c r="Y59">
        <f xml:space="preserve"> IF(Table13[[#This Row],[dye'[2']]]=0, Table13[[#This Row],[strength'[2']]], 0)</f>
        <v>0</v>
      </c>
      <c r="Z59">
        <f xml:space="preserve"> IF(Table13[[#This Row],[dye'[1']]]=0, Table13[[#This Row],[strength'[1']]], 0)</f>
        <v>0</v>
      </c>
      <c r="AA59">
        <f xml:space="preserve"> IF(Table13[[#This Row],[dye'[0']]]=0, Table13[[#This Row],[strength'[0']]], 0)</f>
        <v>0</v>
      </c>
      <c r="AB59">
        <v>0</v>
      </c>
      <c r="AC59">
        <f>MAX($D$2, Table13[[#This Row],[t1'[0']]])</f>
        <v>0</v>
      </c>
      <c r="AD59">
        <v>0</v>
      </c>
      <c r="AE59">
        <f>Table13[[#This Row],[t1'[0']]]+Table13[[#This Row],[dt'[0']]]</f>
        <v>0</v>
      </c>
      <c r="AF59">
        <f>MIN($C$2, Table13[[#This Row],[tf'[0']]])</f>
        <v>0</v>
      </c>
      <c r="AG59">
        <f>Table13[[#This Row],[time2'[0']]]-Table13[[#This Row],[time1'[0']]]</f>
        <v>0</v>
      </c>
      <c r="AH59">
        <v>0</v>
      </c>
      <c r="AI59">
        <f xml:space="preserve"> INDEX(Table3[[#All],[Intensity]], Table13[[#This Row],[int'[0']]]+2)</f>
        <v>0</v>
      </c>
      <c r="AJ59">
        <f>Table13[[#This Row],[duration'[0']]]*Table13[[#This Row],[intensity'[0']]]</f>
        <v>0</v>
      </c>
      <c r="AK59">
        <f>MOD(Table13[[#This Row],[ZMW num]], 4)</f>
        <v>2</v>
      </c>
      <c r="AL59">
        <v>0</v>
      </c>
      <c r="AM59">
        <f>MAX($D$2, Table13[[#This Row],[t1'[1']]])</f>
        <v>0</v>
      </c>
      <c r="AN59">
        <v>0</v>
      </c>
      <c r="AO59">
        <f>Table13[[#This Row],[t1'[1']]]+Table13[[#This Row],[dt'[1']]]</f>
        <v>0</v>
      </c>
      <c r="AP59">
        <f>MIN($C$2, Table13[[#This Row],[tf'[1']]])</f>
        <v>0</v>
      </c>
      <c r="AQ59">
        <f>Table13[[#This Row],[time2'[1']]]-Table13[[#This Row],[time1'[1']]]</f>
        <v>0</v>
      </c>
      <c r="AR59">
        <v>0</v>
      </c>
      <c r="AS59">
        <f xml:space="preserve"> INDEX(Table3[[#All],[Intensity]], Table13[[#This Row],[int'[1']]]+2)</f>
        <v>0</v>
      </c>
      <c r="AT59">
        <f>Table13[[#This Row],[duration'[1']]]*Table13[[#This Row],[intensity'[1']]]</f>
        <v>0</v>
      </c>
      <c r="AU59">
        <f>MOD(Table13[[#This Row],[ZMW num]]+1, 4)</f>
        <v>3</v>
      </c>
      <c r="AV59">
        <v>0</v>
      </c>
      <c r="AW59">
        <f>MAX($D$2, Table13[[#This Row],[t1'[2']]])</f>
        <v>0</v>
      </c>
      <c r="AX59">
        <v>0</v>
      </c>
      <c r="AY59">
        <f>Table13[[#This Row],[t1'[2']]]+Table13[[#This Row],[dt'[2']]]</f>
        <v>0</v>
      </c>
      <c r="AZ59">
        <f>MIN($C$2, Table13[[#This Row],[tf'[2']]])</f>
        <v>0</v>
      </c>
      <c r="BA59">
        <f>Table13[[#This Row],[time2'[2']]]-Table13[[#This Row],[time1'[2']]]</f>
        <v>0</v>
      </c>
      <c r="BB59">
        <v>0</v>
      </c>
      <c r="BC59">
        <f xml:space="preserve"> INDEX(Table3[[#All],[Intensity]], Table13[[#This Row],[int'[2']]]+2)</f>
        <v>0</v>
      </c>
      <c r="BD59">
        <f>Table13[[#This Row],[duration'[2']]]*Table13[[#This Row],[intensity'[2']]]</f>
        <v>0</v>
      </c>
      <c r="BE59">
        <f>MOD(Table13[[#This Row],[ZMW num]]+2, 4)</f>
        <v>0</v>
      </c>
      <c r="BF59" s="2" t="str">
        <f>Single2String(Table13[[#This Row],[t1'[0']]])</f>
        <v>00000000</v>
      </c>
      <c r="BG59" s="1" t="str">
        <f>Single2String(Table13[[#This Row],[dt'[0']]])</f>
        <v>00000000</v>
      </c>
      <c r="BH59" s="1" t="str">
        <f>Single2String(Table13[[#This Row],[t1'[1']]])</f>
        <v>00000000</v>
      </c>
      <c r="BI59" s="1" t="str">
        <f>Single2String(Table13[[#This Row],[dt'[1']]])</f>
        <v>00000000</v>
      </c>
      <c r="BJ59" s="1" t="str">
        <f>Single2String(Table13[[#This Row],[t1'[2']]])</f>
        <v>00000000</v>
      </c>
      <c r="BK59" s="1" t="str">
        <f>Single2String(Table13[[#This Row],[dt'[2']]])</f>
        <v>00000000</v>
      </c>
      <c r="BL59" s="1" t="str">
        <f>DEC2HEX(Table13[[#This Row],[ZMW num]], 6)</f>
        <v>000036</v>
      </c>
      <c r="BM59" s="1">
        <f>LEN(Table13[[#This Row],[DRAM data]])</f>
        <v>64</v>
      </c>
      <c r="BN5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0000000000000000000000000000000000000000000000002030000000003600</v>
      </c>
      <c r="CU59"/>
    </row>
    <row r="60" spans="1:99" x14ac:dyDescent="0.25">
      <c r="A60" t="str">
        <f>Single2String(Table13[[#This Row],[duration'[0']]])</f>
        <v>00000000</v>
      </c>
      <c r="B60" t="str">
        <f>Single2String(Table13[[#This Row],[duration'[1']]])</f>
        <v>00000000</v>
      </c>
      <c r="C60" t="str">
        <f>Single2String(Table13[[#This Row],[duration'[2']]])</f>
        <v>00000000</v>
      </c>
      <c r="D60" t="str">
        <f>INDEX(Table3[Hex], Table13[[#This Row],[int'[0']]]+1)</f>
        <v>00000000</v>
      </c>
      <c r="E60" t="str">
        <f>INDEX(Table3[Hex], Table13[[#This Row],[int'[1']]]+1)</f>
        <v>00000000</v>
      </c>
      <c r="F60" t="str">
        <f>INDEX(Table3[Hex], Table13[[#This Row],[int'[1']]]+1)</f>
        <v>00000000</v>
      </c>
      <c r="G60" t="str">
        <f>Single2String(Table13[[#This Row],[c ktrace]])</f>
        <v>00000000</v>
      </c>
      <c r="H60" t="str">
        <f>Single2String(Table13[[#This Row],[a ktrace]])</f>
        <v>00000000</v>
      </c>
      <c r="I60" t="str">
        <f>Single2String(Table13[[#This Row],[g ktrace]])</f>
        <v>00000000</v>
      </c>
      <c r="J60" t="str">
        <f>Single2String(Table13[[#This Row],[t ktrace]])</f>
        <v>00000000</v>
      </c>
      <c r="K60" s="3">
        <v>55</v>
      </c>
      <c r="L60">
        <f>SUM(Table13[[#This Row],[c ktrace'[2']]:[c ktrace'[0']]])</f>
        <v>0</v>
      </c>
      <c r="M60">
        <f>SUM(Table13[[#This Row],[a ktrace'[2']]:[a ktrace'[0']]])</f>
        <v>0</v>
      </c>
      <c r="N60">
        <f>SUM(Table13[[#This Row],[g ktrace'[2']]:[g ktrace'[0']]])</f>
        <v>0</v>
      </c>
      <c r="O60">
        <f>SUM(Table13[[#This Row],[t ktrace'[2']]:[t ktrace'[0']]])</f>
        <v>0</v>
      </c>
      <c r="P60">
        <f xml:space="preserve"> IF(Table13[[#This Row],[dye'[2']]]=3, Table13[[#This Row],[strength'[2']]], 0)</f>
        <v>0</v>
      </c>
      <c r="Q60">
        <f xml:space="preserve"> IF(Table13[[#This Row],[dye'[1']]]=3, Table13[[#This Row],[strength'[1']]], 0)</f>
        <v>0</v>
      </c>
      <c r="R60">
        <f xml:space="preserve"> IF(Table13[[#This Row],[dye'[0']]]=3, Table13[[#This Row],[strength'[0']]], 0)</f>
        <v>0</v>
      </c>
      <c r="S60">
        <f xml:space="preserve"> IF(Table13[[#This Row],[dye'[2']]]=2, Table13[[#This Row],[strength'[2']]], 0)</f>
        <v>0</v>
      </c>
      <c r="T60">
        <f xml:space="preserve"> IF(Table13[[#This Row],[dye'[1']]]=2, Table13[[#This Row],[strength'[1']]], 0)</f>
        <v>0</v>
      </c>
      <c r="U60">
        <f xml:space="preserve"> IF(Table13[[#This Row],[dye'[0']]]=2, Table13[[#This Row],[strength'[0']]], 0)</f>
        <v>0</v>
      </c>
      <c r="V60">
        <f xml:space="preserve"> IF(Table13[[#This Row],[dye'[2']]]=1, Table13[[#This Row],[strength'[2']]], 0)</f>
        <v>0</v>
      </c>
      <c r="W60">
        <f xml:space="preserve"> IF(Table13[[#This Row],[dye'[1']]]=1, Table13[[#This Row],[strength'[1']]], 0)</f>
        <v>0</v>
      </c>
      <c r="X60">
        <f xml:space="preserve"> IF(Table13[[#This Row],[dye'[0']]]=1, Table13[[#This Row],[strength'[0']]], 0)</f>
        <v>0</v>
      </c>
      <c r="Y60">
        <f xml:space="preserve"> IF(Table13[[#This Row],[dye'[2']]]=0, Table13[[#This Row],[strength'[2']]], 0)</f>
        <v>0</v>
      </c>
      <c r="Z60">
        <f xml:space="preserve"> IF(Table13[[#This Row],[dye'[1']]]=0, Table13[[#This Row],[strength'[1']]], 0)</f>
        <v>0</v>
      </c>
      <c r="AA60">
        <f xml:space="preserve"> IF(Table13[[#This Row],[dye'[0']]]=0, Table13[[#This Row],[strength'[0']]], 0)</f>
        <v>0</v>
      </c>
      <c r="AB60">
        <v>0</v>
      </c>
      <c r="AC60">
        <f>MAX($D$2, Table13[[#This Row],[t1'[0']]])</f>
        <v>0</v>
      </c>
      <c r="AD60">
        <v>0</v>
      </c>
      <c r="AE60">
        <f>Table13[[#This Row],[t1'[0']]]+Table13[[#This Row],[dt'[0']]]</f>
        <v>0</v>
      </c>
      <c r="AF60">
        <f>MIN($C$2, Table13[[#This Row],[tf'[0']]])</f>
        <v>0</v>
      </c>
      <c r="AG60">
        <f>Table13[[#This Row],[time2'[0']]]-Table13[[#This Row],[time1'[0']]]</f>
        <v>0</v>
      </c>
      <c r="AH60">
        <v>0</v>
      </c>
      <c r="AI60">
        <f xml:space="preserve"> INDEX(Table3[[#All],[Intensity]], Table13[[#This Row],[int'[0']]]+2)</f>
        <v>0</v>
      </c>
      <c r="AJ60">
        <f>Table13[[#This Row],[duration'[0']]]*Table13[[#This Row],[intensity'[0']]]</f>
        <v>0</v>
      </c>
      <c r="AK60">
        <f>MOD(Table13[[#This Row],[ZMW num]], 4)</f>
        <v>3</v>
      </c>
      <c r="AL60">
        <v>0</v>
      </c>
      <c r="AM60">
        <f>MAX($D$2, Table13[[#This Row],[t1'[1']]])</f>
        <v>0</v>
      </c>
      <c r="AN60">
        <v>0</v>
      </c>
      <c r="AO60">
        <f>Table13[[#This Row],[t1'[1']]]+Table13[[#This Row],[dt'[1']]]</f>
        <v>0</v>
      </c>
      <c r="AP60">
        <f>MIN($C$2, Table13[[#This Row],[tf'[1']]])</f>
        <v>0</v>
      </c>
      <c r="AQ60">
        <f>Table13[[#This Row],[time2'[1']]]-Table13[[#This Row],[time1'[1']]]</f>
        <v>0</v>
      </c>
      <c r="AR60">
        <v>0</v>
      </c>
      <c r="AS60">
        <f xml:space="preserve"> INDEX(Table3[[#All],[Intensity]], Table13[[#This Row],[int'[1']]]+2)</f>
        <v>0</v>
      </c>
      <c r="AT60">
        <f>Table13[[#This Row],[duration'[1']]]*Table13[[#This Row],[intensity'[1']]]</f>
        <v>0</v>
      </c>
      <c r="AU60">
        <f>MOD(Table13[[#This Row],[ZMW num]]+1, 4)</f>
        <v>0</v>
      </c>
      <c r="AV60">
        <v>0</v>
      </c>
      <c r="AW60">
        <f>MAX($D$2, Table13[[#This Row],[t1'[2']]])</f>
        <v>0</v>
      </c>
      <c r="AX60">
        <v>0</v>
      </c>
      <c r="AY60">
        <f>Table13[[#This Row],[t1'[2']]]+Table13[[#This Row],[dt'[2']]]</f>
        <v>0</v>
      </c>
      <c r="AZ60">
        <f>MIN($C$2, Table13[[#This Row],[tf'[2']]])</f>
        <v>0</v>
      </c>
      <c r="BA60">
        <f>Table13[[#This Row],[time2'[2']]]-Table13[[#This Row],[time1'[2']]]</f>
        <v>0</v>
      </c>
      <c r="BB60">
        <v>0</v>
      </c>
      <c r="BC60">
        <f xml:space="preserve"> INDEX(Table3[[#All],[Intensity]], Table13[[#This Row],[int'[2']]]+2)</f>
        <v>0</v>
      </c>
      <c r="BD60">
        <f>Table13[[#This Row],[duration'[2']]]*Table13[[#This Row],[intensity'[2']]]</f>
        <v>0</v>
      </c>
      <c r="BE60">
        <f>MOD(Table13[[#This Row],[ZMW num]]+2, 4)</f>
        <v>1</v>
      </c>
      <c r="BF60" s="2" t="str">
        <f>Single2String(Table13[[#This Row],[t1'[0']]])</f>
        <v>00000000</v>
      </c>
      <c r="BG60" s="1" t="str">
        <f>Single2String(Table13[[#This Row],[dt'[0']]])</f>
        <v>00000000</v>
      </c>
      <c r="BH60" s="1" t="str">
        <f>Single2String(Table13[[#This Row],[t1'[1']]])</f>
        <v>00000000</v>
      </c>
      <c r="BI60" s="1" t="str">
        <f>Single2String(Table13[[#This Row],[dt'[1']]])</f>
        <v>00000000</v>
      </c>
      <c r="BJ60" s="1" t="str">
        <f>Single2String(Table13[[#This Row],[t1'[2']]])</f>
        <v>00000000</v>
      </c>
      <c r="BK60" s="1" t="str">
        <f>Single2String(Table13[[#This Row],[dt'[2']]])</f>
        <v>00000000</v>
      </c>
      <c r="BL60" s="1" t="str">
        <f>DEC2HEX(Table13[[#This Row],[ZMW num]], 6)</f>
        <v>000037</v>
      </c>
      <c r="BM60" s="1">
        <f>LEN(Table13[[#This Row],[DRAM data]])</f>
        <v>64</v>
      </c>
      <c r="BN6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0000000000000000000000000000000000000000000000003000100000003700</v>
      </c>
      <c r="CU60"/>
    </row>
    <row r="61" spans="1:99" x14ac:dyDescent="0.25">
      <c r="A61" t="str">
        <f>Single2String(Table13[[#This Row],[duration'[0']]])</f>
        <v>00000000</v>
      </c>
      <c r="B61" t="str">
        <f>Single2String(Table13[[#This Row],[duration'[1']]])</f>
        <v>00000000</v>
      </c>
      <c r="C61" t="str">
        <f>Single2String(Table13[[#This Row],[duration'[2']]])</f>
        <v>00000000</v>
      </c>
      <c r="D61" t="str">
        <f>INDEX(Table3[Hex], Table13[[#This Row],[int'[0']]]+1)</f>
        <v>00000000</v>
      </c>
      <c r="E61" t="str">
        <f>INDEX(Table3[Hex], Table13[[#This Row],[int'[1']]]+1)</f>
        <v>00000000</v>
      </c>
      <c r="F61" t="str">
        <f>INDEX(Table3[Hex], Table13[[#This Row],[int'[1']]]+1)</f>
        <v>00000000</v>
      </c>
      <c r="G61" t="str">
        <f>Single2String(Table13[[#This Row],[c ktrace]])</f>
        <v>00000000</v>
      </c>
      <c r="H61" t="str">
        <f>Single2String(Table13[[#This Row],[a ktrace]])</f>
        <v>00000000</v>
      </c>
      <c r="I61" t="str">
        <f>Single2String(Table13[[#This Row],[g ktrace]])</f>
        <v>00000000</v>
      </c>
      <c r="J61" t="str">
        <f>Single2String(Table13[[#This Row],[t ktrace]])</f>
        <v>00000000</v>
      </c>
      <c r="K61" s="3">
        <v>56</v>
      </c>
      <c r="L61">
        <f>SUM(Table13[[#This Row],[c ktrace'[2']]:[c ktrace'[0']]])</f>
        <v>0</v>
      </c>
      <c r="M61">
        <f>SUM(Table13[[#This Row],[a ktrace'[2']]:[a ktrace'[0']]])</f>
        <v>0</v>
      </c>
      <c r="N61">
        <f>SUM(Table13[[#This Row],[g ktrace'[2']]:[g ktrace'[0']]])</f>
        <v>0</v>
      </c>
      <c r="O61">
        <f>SUM(Table13[[#This Row],[t ktrace'[2']]:[t ktrace'[0']]])</f>
        <v>0</v>
      </c>
      <c r="P61">
        <f xml:space="preserve"> IF(Table13[[#This Row],[dye'[2']]]=3, Table13[[#This Row],[strength'[2']]], 0)</f>
        <v>0</v>
      </c>
      <c r="Q61">
        <f xml:space="preserve"> IF(Table13[[#This Row],[dye'[1']]]=3, Table13[[#This Row],[strength'[1']]], 0)</f>
        <v>0</v>
      </c>
      <c r="R61">
        <f xml:space="preserve"> IF(Table13[[#This Row],[dye'[0']]]=3, Table13[[#This Row],[strength'[0']]], 0)</f>
        <v>0</v>
      </c>
      <c r="S61">
        <f xml:space="preserve"> IF(Table13[[#This Row],[dye'[2']]]=2, Table13[[#This Row],[strength'[2']]], 0)</f>
        <v>0</v>
      </c>
      <c r="T61">
        <f xml:space="preserve"> IF(Table13[[#This Row],[dye'[1']]]=2, Table13[[#This Row],[strength'[1']]], 0)</f>
        <v>0</v>
      </c>
      <c r="U61">
        <f xml:space="preserve"> IF(Table13[[#This Row],[dye'[0']]]=2, Table13[[#This Row],[strength'[0']]], 0)</f>
        <v>0</v>
      </c>
      <c r="V61">
        <f xml:space="preserve"> IF(Table13[[#This Row],[dye'[2']]]=1, Table13[[#This Row],[strength'[2']]], 0)</f>
        <v>0</v>
      </c>
      <c r="W61">
        <f xml:space="preserve"> IF(Table13[[#This Row],[dye'[1']]]=1, Table13[[#This Row],[strength'[1']]], 0)</f>
        <v>0</v>
      </c>
      <c r="X61">
        <f xml:space="preserve"> IF(Table13[[#This Row],[dye'[0']]]=1, Table13[[#This Row],[strength'[0']]], 0)</f>
        <v>0</v>
      </c>
      <c r="Y61">
        <f xml:space="preserve"> IF(Table13[[#This Row],[dye'[2']]]=0, Table13[[#This Row],[strength'[2']]], 0)</f>
        <v>0</v>
      </c>
      <c r="Z61">
        <f xml:space="preserve"> IF(Table13[[#This Row],[dye'[1']]]=0, Table13[[#This Row],[strength'[1']]], 0)</f>
        <v>0</v>
      </c>
      <c r="AA61">
        <f xml:space="preserve"> IF(Table13[[#This Row],[dye'[0']]]=0, Table13[[#This Row],[strength'[0']]], 0)</f>
        <v>0</v>
      </c>
      <c r="AB61">
        <v>0</v>
      </c>
      <c r="AC61">
        <f>MAX($D$2, Table13[[#This Row],[t1'[0']]])</f>
        <v>0</v>
      </c>
      <c r="AD61">
        <v>0</v>
      </c>
      <c r="AE61">
        <f>Table13[[#This Row],[t1'[0']]]+Table13[[#This Row],[dt'[0']]]</f>
        <v>0</v>
      </c>
      <c r="AF61">
        <f>MIN($C$2, Table13[[#This Row],[tf'[0']]])</f>
        <v>0</v>
      </c>
      <c r="AG61">
        <f>Table13[[#This Row],[time2'[0']]]-Table13[[#This Row],[time1'[0']]]</f>
        <v>0</v>
      </c>
      <c r="AH61">
        <v>0</v>
      </c>
      <c r="AI61">
        <f xml:space="preserve"> INDEX(Table3[[#All],[Intensity]], Table13[[#This Row],[int'[0']]]+2)</f>
        <v>0</v>
      </c>
      <c r="AJ61">
        <f>Table13[[#This Row],[duration'[0']]]*Table13[[#This Row],[intensity'[0']]]</f>
        <v>0</v>
      </c>
      <c r="AK61">
        <f>MOD(Table13[[#This Row],[ZMW num]], 4)</f>
        <v>0</v>
      </c>
      <c r="AL61">
        <v>0</v>
      </c>
      <c r="AM61">
        <f>MAX($D$2, Table13[[#This Row],[t1'[1']]])</f>
        <v>0</v>
      </c>
      <c r="AN61">
        <v>0</v>
      </c>
      <c r="AO61">
        <f>Table13[[#This Row],[t1'[1']]]+Table13[[#This Row],[dt'[1']]]</f>
        <v>0</v>
      </c>
      <c r="AP61">
        <f>MIN($C$2, Table13[[#This Row],[tf'[1']]])</f>
        <v>0</v>
      </c>
      <c r="AQ61">
        <f>Table13[[#This Row],[time2'[1']]]-Table13[[#This Row],[time1'[1']]]</f>
        <v>0</v>
      </c>
      <c r="AR61">
        <v>0</v>
      </c>
      <c r="AS61">
        <f xml:space="preserve"> INDEX(Table3[[#All],[Intensity]], Table13[[#This Row],[int'[1']]]+2)</f>
        <v>0</v>
      </c>
      <c r="AT61">
        <f>Table13[[#This Row],[duration'[1']]]*Table13[[#This Row],[intensity'[1']]]</f>
        <v>0</v>
      </c>
      <c r="AU61">
        <f>MOD(Table13[[#This Row],[ZMW num]]+1, 4)</f>
        <v>1</v>
      </c>
      <c r="AV61">
        <v>0</v>
      </c>
      <c r="AW61">
        <f>MAX($D$2, Table13[[#This Row],[t1'[2']]])</f>
        <v>0</v>
      </c>
      <c r="AX61">
        <v>0</v>
      </c>
      <c r="AY61">
        <f>Table13[[#This Row],[t1'[2']]]+Table13[[#This Row],[dt'[2']]]</f>
        <v>0</v>
      </c>
      <c r="AZ61">
        <f>MIN($C$2, Table13[[#This Row],[tf'[2']]])</f>
        <v>0</v>
      </c>
      <c r="BA61">
        <f>Table13[[#This Row],[time2'[2']]]-Table13[[#This Row],[time1'[2']]]</f>
        <v>0</v>
      </c>
      <c r="BB61">
        <v>0</v>
      </c>
      <c r="BC61">
        <f xml:space="preserve"> INDEX(Table3[[#All],[Intensity]], Table13[[#This Row],[int'[2']]]+2)</f>
        <v>0</v>
      </c>
      <c r="BD61">
        <f>Table13[[#This Row],[duration'[2']]]*Table13[[#This Row],[intensity'[2']]]</f>
        <v>0</v>
      </c>
      <c r="BE61">
        <f>MOD(Table13[[#This Row],[ZMW num]]+2, 4)</f>
        <v>2</v>
      </c>
      <c r="BF61" s="2" t="str">
        <f>Single2String(Table13[[#This Row],[t1'[0']]])</f>
        <v>00000000</v>
      </c>
      <c r="BG61" s="1" t="str">
        <f>Single2String(Table13[[#This Row],[dt'[0']]])</f>
        <v>00000000</v>
      </c>
      <c r="BH61" s="1" t="str">
        <f>Single2String(Table13[[#This Row],[t1'[1']]])</f>
        <v>00000000</v>
      </c>
      <c r="BI61" s="1" t="str">
        <f>Single2String(Table13[[#This Row],[dt'[1']]])</f>
        <v>00000000</v>
      </c>
      <c r="BJ61" s="1" t="str">
        <f>Single2String(Table13[[#This Row],[t1'[2']]])</f>
        <v>00000000</v>
      </c>
      <c r="BK61" s="1" t="str">
        <f>Single2String(Table13[[#This Row],[dt'[2']]])</f>
        <v>00000000</v>
      </c>
      <c r="BL61" s="1" t="str">
        <f>DEC2HEX(Table13[[#This Row],[ZMW num]], 6)</f>
        <v>000038</v>
      </c>
      <c r="BM61" s="1">
        <f>LEN(Table13[[#This Row],[DRAM data]])</f>
        <v>64</v>
      </c>
      <c r="BN6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0000000000000000000000000000000000000000000000000010200000003800</v>
      </c>
      <c r="CU61"/>
    </row>
    <row r="62" spans="1:99" x14ac:dyDescent="0.25">
      <c r="A62" t="str">
        <f>Single2String(Table13[[#This Row],[duration'[0']]])</f>
        <v>00000000</v>
      </c>
      <c r="B62" t="str">
        <f>Single2String(Table13[[#This Row],[duration'[1']]])</f>
        <v>00000000</v>
      </c>
      <c r="C62" t="str">
        <f>Single2String(Table13[[#This Row],[duration'[2']]])</f>
        <v>00000000</v>
      </c>
      <c r="D62" t="str">
        <f>INDEX(Table3[Hex], Table13[[#This Row],[int'[0']]]+1)</f>
        <v>00000000</v>
      </c>
      <c r="E62" t="str">
        <f>INDEX(Table3[Hex], Table13[[#This Row],[int'[1']]]+1)</f>
        <v>00000000</v>
      </c>
      <c r="F62" t="str">
        <f>INDEX(Table3[Hex], Table13[[#This Row],[int'[1']]]+1)</f>
        <v>00000000</v>
      </c>
      <c r="G62" t="str">
        <f>Single2String(Table13[[#This Row],[c ktrace]])</f>
        <v>00000000</v>
      </c>
      <c r="H62" t="str">
        <f>Single2String(Table13[[#This Row],[a ktrace]])</f>
        <v>00000000</v>
      </c>
      <c r="I62" t="str">
        <f>Single2String(Table13[[#This Row],[g ktrace]])</f>
        <v>00000000</v>
      </c>
      <c r="J62" t="str">
        <f>Single2String(Table13[[#This Row],[t ktrace]])</f>
        <v>00000000</v>
      </c>
      <c r="K62" s="3">
        <v>57</v>
      </c>
      <c r="L62">
        <f>SUM(Table13[[#This Row],[c ktrace'[2']]:[c ktrace'[0']]])</f>
        <v>0</v>
      </c>
      <c r="M62">
        <f>SUM(Table13[[#This Row],[a ktrace'[2']]:[a ktrace'[0']]])</f>
        <v>0</v>
      </c>
      <c r="N62">
        <f>SUM(Table13[[#This Row],[g ktrace'[2']]:[g ktrace'[0']]])</f>
        <v>0</v>
      </c>
      <c r="O62">
        <f>SUM(Table13[[#This Row],[t ktrace'[2']]:[t ktrace'[0']]])</f>
        <v>0</v>
      </c>
      <c r="P62">
        <f xml:space="preserve"> IF(Table13[[#This Row],[dye'[2']]]=3, Table13[[#This Row],[strength'[2']]], 0)</f>
        <v>0</v>
      </c>
      <c r="Q62">
        <f xml:space="preserve"> IF(Table13[[#This Row],[dye'[1']]]=3, Table13[[#This Row],[strength'[1']]], 0)</f>
        <v>0</v>
      </c>
      <c r="R62">
        <f xml:space="preserve"> IF(Table13[[#This Row],[dye'[0']]]=3, Table13[[#This Row],[strength'[0']]], 0)</f>
        <v>0</v>
      </c>
      <c r="S62">
        <f xml:space="preserve"> IF(Table13[[#This Row],[dye'[2']]]=2, Table13[[#This Row],[strength'[2']]], 0)</f>
        <v>0</v>
      </c>
      <c r="T62">
        <f xml:space="preserve"> IF(Table13[[#This Row],[dye'[1']]]=2, Table13[[#This Row],[strength'[1']]], 0)</f>
        <v>0</v>
      </c>
      <c r="U62">
        <f xml:space="preserve"> IF(Table13[[#This Row],[dye'[0']]]=2, Table13[[#This Row],[strength'[0']]], 0)</f>
        <v>0</v>
      </c>
      <c r="V62">
        <f xml:space="preserve"> IF(Table13[[#This Row],[dye'[2']]]=1, Table13[[#This Row],[strength'[2']]], 0)</f>
        <v>0</v>
      </c>
      <c r="W62">
        <f xml:space="preserve"> IF(Table13[[#This Row],[dye'[1']]]=1, Table13[[#This Row],[strength'[1']]], 0)</f>
        <v>0</v>
      </c>
      <c r="X62">
        <f xml:space="preserve"> IF(Table13[[#This Row],[dye'[0']]]=1, Table13[[#This Row],[strength'[0']]], 0)</f>
        <v>0</v>
      </c>
      <c r="Y62">
        <f xml:space="preserve"> IF(Table13[[#This Row],[dye'[2']]]=0, Table13[[#This Row],[strength'[2']]], 0)</f>
        <v>0</v>
      </c>
      <c r="Z62">
        <f xml:space="preserve"> IF(Table13[[#This Row],[dye'[1']]]=0, Table13[[#This Row],[strength'[1']]], 0)</f>
        <v>0</v>
      </c>
      <c r="AA62">
        <f xml:space="preserve"> IF(Table13[[#This Row],[dye'[0']]]=0, Table13[[#This Row],[strength'[0']]], 0)</f>
        <v>0</v>
      </c>
      <c r="AB62">
        <v>0</v>
      </c>
      <c r="AC62">
        <f>MAX($D$2, Table13[[#This Row],[t1'[0']]])</f>
        <v>0</v>
      </c>
      <c r="AD62">
        <v>0</v>
      </c>
      <c r="AE62">
        <f>Table13[[#This Row],[t1'[0']]]+Table13[[#This Row],[dt'[0']]]</f>
        <v>0</v>
      </c>
      <c r="AF62">
        <f>MIN($C$2, Table13[[#This Row],[tf'[0']]])</f>
        <v>0</v>
      </c>
      <c r="AG62">
        <f>Table13[[#This Row],[time2'[0']]]-Table13[[#This Row],[time1'[0']]]</f>
        <v>0</v>
      </c>
      <c r="AH62">
        <v>0</v>
      </c>
      <c r="AI62">
        <f xml:space="preserve"> INDEX(Table3[[#All],[Intensity]], Table13[[#This Row],[int'[0']]]+2)</f>
        <v>0</v>
      </c>
      <c r="AJ62">
        <f>Table13[[#This Row],[duration'[0']]]*Table13[[#This Row],[intensity'[0']]]</f>
        <v>0</v>
      </c>
      <c r="AK62">
        <f>MOD(Table13[[#This Row],[ZMW num]], 4)</f>
        <v>1</v>
      </c>
      <c r="AL62">
        <v>0</v>
      </c>
      <c r="AM62">
        <f>MAX($D$2, Table13[[#This Row],[t1'[1']]])</f>
        <v>0</v>
      </c>
      <c r="AN62">
        <v>0</v>
      </c>
      <c r="AO62">
        <f>Table13[[#This Row],[t1'[1']]]+Table13[[#This Row],[dt'[1']]]</f>
        <v>0</v>
      </c>
      <c r="AP62">
        <f>MIN($C$2, Table13[[#This Row],[tf'[1']]])</f>
        <v>0</v>
      </c>
      <c r="AQ62">
        <f>Table13[[#This Row],[time2'[1']]]-Table13[[#This Row],[time1'[1']]]</f>
        <v>0</v>
      </c>
      <c r="AR62">
        <v>0</v>
      </c>
      <c r="AS62">
        <f xml:space="preserve"> INDEX(Table3[[#All],[Intensity]], Table13[[#This Row],[int'[1']]]+2)</f>
        <v>0</v>
      </c>
      <c r="AT62">
        <f>Table13[[#This Row],[duration'[1']]]*Table13[[#This Row],[intensity'[1']]]</f>
        <v>0</v>
      </c>
      <c r="AU62">
        <f>MOD(Table13[[#This Row],[ZMW num]]+1, 4)</f>
        <v>2</v>
      </c>
      <c r="AV62">
        <v>0</v>
      </c>
      <c r="AW62">
        <f>MAX($D$2, Table13[[#This Row],[t1'[2']]])</f>
        <v>0</v>
      </c>
      <c r="AX62">
        <v>0</v>
      </c>
      <c r="AY62">
        <f>Table13[[#This Row],[t1'[2']]]+Table13[[#This Row],[dt'[2']]]</f>
        <v>0</v>
      </c>
      <c r="AZ62">
        <f>MIN($C$2, Table13[[#This Row],[tf'[2']]])</f>
        <v>0</v>
      </c>
      <c r="BA62">
        <f>Table13[[#This Row],[time2'[2']]]-Table13[[#This Row],[time1'[2']]]</f>
        <v>0</v>
      </c>
      <c r="BB62">
        <v>0</v>
      </c>
      <c r="BC62">
        <f xml:space="preserve"> INDEX(Table3[[#All],[Intensity]], Table13[[#This Row],[int'[2']]]+2)</f>
        <v>0</v>
      </c>
      <c r="BD62">
        <f>Table13[[#This Row],[duration'[2']]]*Table13[[#This Row],[intensity'[2']]]</f>
        <v>0</v>
      </c>
      <c r="BE62">
        <f>MOD(Table13[[#This Row],[ZMW num]]+2, 4)</f>
        <v>3</v>
      </c>
      <c r="BF62" s="2" t="str">
        <f>Single2String(Table13[[#This Row],[t1'[0']]])</f>
        <v>00000000</v>
      </c>
      <c r="BG62" s="1" t="str">
        <f>Single2String(Table13[[#This Row],[dt'[0']]])</f>
        <v>00000000</v>
      </c>
      <c r="BH62" s="1" t="str">
        <f>Single2String(Table13[[#This Row],[t1'[1']]])</f>
        <v>00000000</v>
      </c>
      <c r="BI62" s="1" t="str">
        <f>Single2String(Table13[[#This Row],[dt'[1']]])</f>
        <v>00000000</v>
      </c>
      <c r="BJ62" s="1" t="str">
        <f>Single2String(Table13[[#This Row],[t1'[2']]])</f>
        <v>00000000</v>
      </c>
      <c r="BK62" s="1" t="str">
        <f>Single2String(Table13[[#This Row],[dt'[2']]])</f>
        <v>00000000</v>
      </c>
      <c r="BL62" s="1" t="str">
        <f>DEC2HEX(Table13[[#This Row],[ZMW num]], 6)</f>
        <v>000039</v>
      </c>
      <c r="BM62" s="1">
        <f>LEN(Table13[[#This Row],[DRAM data]])</f>
        <v>64</v>
      </c>
      <c r="BN6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0000000000000000000000000000000000000000000000001020300000003900</v>
      </c>
      <c r="CU62"/>
    </row>
    <row r="63" spans="1:99" x14ac:dyDescent="0.25">
      <c r="A63" t="str">
        <f>Single2String(Table13[[#This Row],[duration'[0']]])</f>
        <v>00000000</v>
      </c>
      <c r="B63" t="str">
        <f>Single2String(Table13[[#This Row],[duration'[1']]])</f>
        <v>00000000</v>
      </c>
      <c r="C63" t="str">
        <f>Single2String(Table13[[#This Row],[duration'[2']]])</f>
        <v>00000000</v>
      </c>
      <c r="D63" t="str">
        <f>INDEX(Table3[Hex], Table13[[#This Row],[int'[0']]]+1)</f>
        <v>00000000</v>
      </c>
      <c r="E63" t="str">
        <f>INDEX(Table3[Hex], Table13[[#This Row],[int'[1']]]+1)</f>
        <v>00000000</v>
      </c>
      <c r="F63" t="str">
        <f>INDEX(Table3[Hex], Table13[[#This Row],[int'[1']]]+1)</f>
        <v>00000000</v>
      </c>
      <c r="G63" t="str">
        <f>Single2String(Table13[[#This Row],[c ktrace]])</f>
        <v>00000000</v>
      </c>
      <c r="H63" t="str">
        <f>Single2String(Table13[[#This Row],[a ktrace]])</f>
        <v>00000000</v>
      </c>
      <c r="I63" t="str">
        <f>Single2String(Table13[[#This Row],[g ktrace]])</f>
        <v>00000000</v>
      </c>
      <c r="J63" t="str">
        <f>Single2String(Table13[[#This Row],[t ktrace]])</f>
        <v>00000000</v>
      </c>
      <c r="K63" s="3">
        <v>58</v>
      </c>
      <c r="L63">
        <f>SUM(Table13[[#This Row],[c ktrace'[2']]:[c ktrace'[0']]])</f>
        <v>0</v>
      </c>
      <c r="M63">
        <f>SUM(Table13[[#This Row],[a ktrace'[2']]:[a ktrace'[0']]])</f>
        <v>0</v>
      </c>
      <c r="N63">
        <f>SUM(Table13[[#This Row],[g ktrace'[2']]:[g ktrace'[0']]])</f>
        <v>0</v>
      </c>
      <c r="O63">
        <f>SUM(Table13[[#This Row],[t ktrace'[2']]:[t ktrace'[0']]])</f>
        <v>0</v>
      </c>
      <c r="P63">
        <f xml:space="preserve"> IF(Table13[[#This Row],[dye'[2']]]=3, Table13[[#This Row],[strength'[2']]], 0)</f>
        <v>0</v>
      </c>
      <c r="Q63">
        <f xml:space="preserve"> IF(Table13[[#This Row],[dye'[1']]]=3, Table13[[#This Row],[strength'[1']]], 0)</f>
        <v>0</v>
      </c>
      <c r="R63">
        <f xml:space="preserve"> IF(Table13[[#This Row],[dye'[0']]]=3, Table13[[#This Row],[strength'[0']]], 0)</f>
        <v>0</v>
      </c>
      <c r="S63">
        <f xml:space="preserve"> IF(Table13[[#This Row],[dye'[2']]]=2, Table13[[#This Row],[strength'[2']]], 0)</f>
        <v>0</v>
      </c>
      <c r="T63">
        <f xml:space="preserve"> IF(Table13[[#This Row],[dye'[1']]]=2, Table13[[#This Row],[strength'[1']]], 0)</f>
        <v>0</v>
      </c>
      <c r="U63">
        <f xml:space="preserve"> IF(Table13[[#This Row],[dye'[0']]]=2, Table13[[#This Row],[strength'[0']]], 0)</f>
        <v>0</v>
      </c>
      <c r="V63">
        <f xml:space="preserve"> IF(Table13[[#This Row],[dye'[2']]]=1, Table13[[#This Row],[strength'[2']]], 0)</f>
        <v>0</v>
      </c>
      <c r="W63">
        <f xml:space="preserve"> IF(Table13[[#This Row],[dye'[1']]]=1, Table13[[#This Row],[strength'[1']]], 0)</f>
        <v>0</v>
      </c>
      <c r="X63">
        <f xml:space="preserve"> IF(Table13[[#This Row],[dye'[0']]]=1, Table13[[#This Row],[strength'[0']]], 0)</f>
        <v>0</v>
      </c>
      <c r="Y63">
        <f xml:space="preserve"> IF(Table13[[#This Row],[dye'[2']]]=0, Table13[[#This Row],[strength'[2']]], 0)</f>
        <v>0</v>
      </c>
      <c r="Z63">
        <f xml:space="preserve"> IF(Table13[[#This Row],[dye'[1']]]=0, Table13[[#This Row],[strength'[1']]], 0)</f>
        <v>0</v>
      </c>
      <c r="AA63">
        <f xml:space="preserve"> IF(Table13[[#This Row],[dye'[0']]]=0, Table13[[#This Row],[strength'[0']]], 0)</f>
        <v>0</v>
      </c>
      <c r="AB63">
        <v>0</v>
      </c>
      <c r="AC63">
        <f>MAX($D$2, Table13[[#This Row],[t1'[0']]])</f>
        <v>0</v>
      </c>
      <c r="AD63">
        <v>0</v>
      </c>
      <c r="AE63">
        <f>Table13[[#This Row],[t1'[0']]]+Table13[[#This Row],[dt'[0']]]</f>
        <v>0</v>
      </c>
      <c r="AF63">
        <f>MIN($C$2, Table13[[#This Row],[tf'[0']]])</f>
        <v>0</v>
      </c>
      <c r="AG63">
        <f>Table13[[#This Row],[time2'[0']]]-Table13[[#This Row],[time1'[0']]]</f>
        <v>0</v>
      </c>
      <c r="AH63">
        <v>0</v>
      </c>
      <c r="AI63">
        <f xml:space="preserve"> INDEX(Table3[[#All],[Intensity]], Table13[[#This Row],[int'[0']]]+2)</f>
        <v>0</v>
      </c>
      <c r="AJ63">
        <f>Table13[[#This Row],[duration'[0']]]*Table13[[#This Row],[intensity'[0']]]</f>
        <v>0</v>
      </c>
      <c r="AK63">
        <f>MOD(Table13[[#This Row],[ZMW num]], 4)</f>
        <v>2</v>
      </c>
      <c r="AL63">
        <v>0</v>
      </c>
      <c r="AM63">
        <f>MAX($D$2, Table13[[#This Row],[t1'[1']]])</f>
        <v>0</v>
      </c>
      <c r="AN63">
        <v>0</v>
      </c>
      <c r="AO63">
        <f>Table13[[#This Row],[t1'[1']]]+Table13[[#This Row],[dt'[1']]]</f>
        <v>0</v>
      </c>
      <c r="AP63">
        <f>MIN($C$2, Table13[[#This Row],[tf'[1']]])</f>
        <v>0</v>
      </c>
      <c r="AQ63">
        <f>Table13[[#This Row],[time2'[1']]]-Table13[[#This Row],[time1'[1']]]</f>
        <v>0</v>
      </c>
      <c r="AR63">
        <v>0</v>
      </c>
      <c r="AS63">
        <f xml:space="preserve"> INDEX(Table3[[#All],[Intensity]], Table13[[#This Row],[int'[1']]]+2)</f>
        <v>0</v>
      </c>
      <c r="AT63">
        <f>Table13[[#This Row],[duration'[1']]]*Table13[[#This Row],[intensity'[1']]]</f>
        <v>0</v>
      </c>
      <c r="AU63">
        <f>MOD(Table13[[#This Row],[ZMW num]]+1, 4)</f>
        <v>3</v>
      </c>
      <c r="AV63">
        <v>0</v>
      </c>
      <c r="AW63">
        <f>MAX($D$2, Table13[[#This Row],[t1'[2']]])</f>
        <v>0</v>
      </c>
      <c r="AX63">
        <v>0</v>
      </c>
      <c r="AY63">
        <f>Table13[[#This Row],[t1'[2']]]+Table13[[#This Row],[dt'[2']]]</f>
        <v>0</v>
      </c>
      <c r="AZ63">
        <f>MIN($C$2, Table13[[#This Row],[tf'[2']]])</f>
        <v>0</v>
      </c>
      <c r="BA63">
        <f>Table13[[#This Row],[time2'[2']]]-Table13[[#This Row],[time1'[2']]]</f>
        <v>0</v>
      </c>
      <c r="BB63">
        <v>0</v>
      </c>
      <c r="BC63">
        <f xml:space="preserve"> INDEX(Table3[[#All],[Intensity]], Table13[[#This Row],[int'[2']]]+2)</f>
        <v>0</v>
      </c>
      <c r="BD63">
        <f>Table13[[#This Row],[duration'[2']]]*Table13[[#This Row],[intensity'[2']]]</f>
        <v>0</v>
      </c>
      <c r="BE63">
        <f>MOD(Table13[[#This Row],[ZMW num]]+2, 4)</f>
        <v>0</v>
      </c>
      <c r="BF63" s="2" t="str">
        <f>Single2String(Table13[[#This Row],[t1'[0']]])</f>
        <v>00000000</v>
      </c>
      <c r="BG63" s="1" t="str">
        <f>Single2String(Table13[[#This Row],[dt'[0']]])</f>
        <v>00000000</v>
      </c>
      <c r="BH63" s="1" t="str">
        <f>Single2String(Table13[[#This Row],[t1'[1']]])</f>
        <v>00000000</v>
      </c>
      <c r="BI63" s="1" t="str">
        <f>Single2String(Table13[[#This Row],[dt'[1']]])</f>
        <v>00000000</v>
      </c>
      <c r="BJ63" s="1" t="str">
        <f>Single2String(Table13[[#This Row],[t1'[2']]])</f>
        <v>00000000</v>
      </c>
      <c r="BK63" s="1" t="str">
        <f>Single2String(Table13[[#This Row],[dt'[2']]])</f>
        <v>00000000</v>
      </c>
      <c r="BL63" s="1" t="str">
        <f>DEC2HEX(Table13[[#This Row],[ZMW num]], 6)</f>
        <v>00003A</v>
      </c>
      <c r="BM63" s="1">
        <f>LEN(Table13[[#This Row],[DRAM data]])</f>
        <v>64</v>
      </c>
      <c r="BN6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0000000000000000000000000000000000000000000000002030000000003A00</v>
      </c>
      <c r="CU63"/>
    </row>
    <row r="64" spans="1:99" x14ac:dyDescent="0.25">
      <c r="A64" t="str">
        <f>Single2String(Table13[[#This Row],[duration'[0']]])</f>
        <v>00000000</v>
      </c>
      <c r="B64" t="str">
        <f>Single2String(Table13[[#This Row],[duration'[1']]])</f>
        <v>00000000</v>
      </c>
      <c r="C64" t="str">
        <f>Single2String(Table13[[#This Row],[duration'[2']]])</f>
        <v>00000000</v>
      </c>
      <c r="D64" t="str">
        <f>INDEX(Table3[Hex], Table13[[#This Row],[int'[0']]]+1)</f>
        <v>00000000</v>
      </c>
      <c r="E64" t="str">
        <f>INDEX(Table3[Hex], Table13[[#This Row],[int'[1']]]+1)</f>
        <v>00000000</v>
      </c>
      <c r="F64" t="str">
        <f>INDEX(Table3[Hex], Table13[[#This Row],[int'[1']]]+1)</f>
        <v>00000000</v>
      </c>
      <c r="G64" t="str">
        <f>Single2String(Table13[[#This Row],[c ktrace]])</f>
        <v>00000000</v>
      </c>
      <c r="H64" t="str">
        <f>Single2String(Table13[[#This Row],[a ktrace]])</f>
        <v>00000000</v>
      </c>
      <c r="I64" t="str">
        <f>Single2String(Table13[[#This Row],[g ktrace]])</f>
        <v>00000000</v>
      </c>
      <c r="J64" t="str">
        <f>Single2String(Table13[[#This Row],[t ktrace]])</f>
        <v>00000000</v>
      </c>
      <c r="K64" s="3">
        <v>59</v>
      </c>
      <c r="L64">
        <f>SUM(Table13[[#This Row],[c ktrace'[2']]:[c ktrace'[0']]])</f>
        <v>0</v>
      </c>
      <c r="M64">
        <f>SUM(Table13[[#This Row],[a ktrace'[2']]:[a ktrace'[0']]])</f>
        <v>0</v>
      </c>
      <c r="N64">
        <f>SUM(Table13[[#This Row],[g ktrace'[2']]:[g ktrace'[0']]])</f>
        <v>0</v>
      </c>
      <c r="O64">
        <f>SUM(Table13[[#This Row],[t ktrace'[2']]:[t ktrace'[0']]])</f>
        <v>0</v>
      </c>
      <c r="P64">
        <f xml:space="preserve"> IF(Table13[[#This Row],[dye'[2']]]=3, Table13[[#This Row],[strength'[2']]], 0)</f>
        <v>0</v>
      </c>
      <c r="Q64">
        <f xml:space="preserve"> IF(Table13[[#This Row],[dye'[1']]]=3, Table13[[#This Row],[strength'[1']]], 0)</f>
        <v>0</v>
      </c>
      <c r="R64">
        <f xml:space="preserve"> IF(Table13[[#This Row],[dye'[0']]]=3, Table13[[#This Row],[strength'[0']]], 0)</f>
        <v>0</v>
      </c>
      <c r="S64">
        <f xml:space="preserve"> IF(Table13[[#This Row],[dye'[2']]]=2, Table13[[#This Row],[strength'[2']]], 0)</f>
        <v>0</v>
      </c>
      <c r="T64">
        <f xml:space="preserve"> IF(Table13[[#This Row],[dye'[1']]]=2, Table13[[#This Row],[strength'[1']]], 0)</f>
        <v>0</v>
      </c>
      <c r="U64">
        <f xml:space="preserve"> IF(Table13[[#This Row],[dye'[0']]]=2, Table13[[#This Row],[strength'[0']]], 0)</f>
        <v>0</v>
      </c>
      <c r="V64">
        <f xml:space="preserve"> IF(Table13[[#This Row],[dye'[2']]]=1, Table13[[#This Row],[strength'[2']]], 0)</f>
        <v>0</v>
      </c>
      <c r="W64">
        <f xml:space="preserve"> IF(Table13[[#This Row],[dye'[1']]]=1, Table13[[#This Row],[strength'[1']]], 0)</f>
        <v>0</v>
      </c>
      <c r="X64">
        <f xml:space="preserve"> IF(Table13[[#This Row],[dye'[0']]]=1, Table13[[#This Row],[strength'[0']]], 0)</f>
        <v>0</v>
      </c>
      <c r="Y64">
        <f xml:space="preserve"> IF(Table13[[#This Row],[dye'[2']]]=0, Table13[[#This Row],[strength'[2']]], 0)</f>
        <v>0</v>
      </c>
      <c r="Z64">
        <f xml:space="preserve"> IF(Table13[[#This Row],[dye'[1']]]=0, Table13[[#This Row],[strength'[1']]], 0)</f>
        <v>0</v>
      </c>
      <c r="AA64">
        <f xml:space="preserve"> IF(Table13[[#This Row],[dye'[0']]]=0, Table13[[#This Row],[strength'[0']]], 0)</f>
        <v>0</v>
      </c>
      <c r="AB64">
        <v>0</v>
      </c>
      <c r="AC64">
        <f>MAX($D$2, Table13[[#This Row],[t1'[0']]])</f>
        <v>0</v>
      </c>
      <c r="AD64">
        <v>0</v>
      </c>
      <c r="AE64">
        <f>Table13[[#This Row],[t1'[0']]]+Table13[[#This Row],[dt'[0']]]</f>
        <v>0</v>
      </c>
      <c r="AF64">
        <f>MIN($C$2, Table13[[#This Row],[tf'[0']]])</f>
        <v>0</v>
      </c>
      <c r="AG64">
        <f>Table13[[#This Row],[time2'[0']]]-Table13[[#This Row],[time1'[0']]]</f>
        <v>0</v>
      </c>
      <c r="AH64">
        <v>0</v>
      </c>
      <c r="AI64">
        <f xml:space="preserve"> INDEX(Table3[[#All],[Intensity]], Table13[[#This Row],[int'[0']]]+2)</f>
        <v>0</v>
      </c>
      <c r="AJ64">
        <f>Table13[[#This Row],[duration'[0']]]*Table13[[#This Row],[intensity'[0']]]</f>
        <v>0</v>
      </c>
      <c r="AK64">
        <f>MOD(Table13[[#This Row],[ZMW num]], 4)</f>
        <v>3</v>
      </c>
      <c r="AL64">
        <v>0</v>
      </c>
      <c r="AM64">
        <f>MAX($D$2, Table13[[#This Row],[t1'[1']]])</f>
        <v>0</v>
      </c>
      <c r="AN64">
        <v>0</v>
      </c>
      <c r="AO64">
        <f>Table13[[#This Row],[t1'[1']]]+Table13[[#This Row],[dt'[1']]]</f>
        <v>0</v>
      </c>
      <c r="AP64">
        <f>MIN($C$2, Table13[[#This Row],[tf'[1']]])</f>
        <v>0</v>
      </c>
      <c r="AQ64">
        <f>Table13[[#This Row],[time2'[1']]]-Table13[[#This Row],[time1'[1']]]</f>
        <v>0</v>
      </c>
      <c r="AR64">
        <v>0</v>
      </c>
      <c r="AS64">
        <f xml:space="preserve"> INDEX(Table3[[#All],[Intensity]], Table13[[#This Row],[int'[1']]]+2)</f>
        <v>0</v>
      </c>
      <c r="AT64">
        <f>Table13[[#This Row],[duration'[1']]]*Table13[[#This Row],[intensity'[1']]]</f>
        <v>0</v>
      </c>
      <c r="AU64">
        <f>MOD(Table13[[#This Row],[ZMW num]]+1, 4)</f>
        <v>0</v>
      </c>
      <c r="AV64">
        <v>0</v>
      </c>
      <c r="AW64">
        <f>MAX($D$2, Table13[[#This Row],[t1'[2']]])</f>
        <v>0</v>
      </c>
      <c r="AX64">
        <v>0</v>
      </c>
      <c r="AY64">
        <f>Table13[[#This Row],[t1'[2']]]+Table13[[#This Row],[dt'[2']]]</f>
        <v>0</v>
      </c>
      <c r="AZ64">
        <f>MIN($C$2, Table13[[#This Row],[tf'[2']]])</f>
        <v>0</v>
      </c>
      <c r="BA64">
        <f>Table13[[#This Row],[time2'[2']]]-Table13[[#This Row],[time1'[2']]]</f>
        <v>0</v>
      </c>
      <c r="BB64">
        <v>0</v>
      </c>
      <c r="BC64">
        <f xml:space="preserve"> INDEX(Table3[[#All],[Intensity]], Table13[[#This Row],[int'[2']]]+2)</f>
        <v>0</v>
      </c>
      <c r="BD64">
        <f>Table13[[#This Row],[duration'[2']]]*Table13[[#This Row],[intensity'[2']]]</f>
        <v>0</v>
      </c>
      <c r="BE64">
        <f>MOD(Table13[[#This Row],[ZMW num]]+2, 4)</f>
        <v>1</v>
      </c>
      <c r="BF64" s="2" t="str">
        <f>Single2String(Table13[[#This Row],[t1'[0']]])</f>
        <v>00000000</v>
      </c>
      <c r="BG64" s="1" t="str">
        <f>Single2String(Table13[[#This Row],[dt'[0']]])</f>
        <v>00000000</v>
      </c>
      <c r="BH64" s="1" t="str">
        <f>Single2String(Table13[[#This Row],[t1'[1']]])</f>
        <v>00000000</v>
      </c>
      <c r="BI64" s="1" t="str">
        <f>Single2String(Table13[[#This Row],[dt'[1']]])</f>
        <v>00000000</v>
      </c>
      <c r="BJ64" s="1" t="str">
        <f>Single2String(Table13[[#This Row],[t1'[2']]])</f>
        <v>00000000</v>
      </c>
      <c r="BK64" s="1" t="str">
        <f>Single2String(Table13[[#This Row],[dt'[2']]])</f>
        <v>00000000</v>
      </c>
      <c r="BL64" s="1" t="str">
        <f>DEC2HEX(Table13[[#This Row],[ZMW num]], 6)</f>
        <v>00003B</v>
      </c>
      <c r="BM64" s="1">
        <f>LEN(Table13[[#This Row],[DRAM data]])</f>
        <v>64</v>
      </c>
      <c r="BN6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0000000000000000000000000000000000000000000000003000100000003B00</v>
      </c>
      <c r="CU64"/>
    </row>
    <row r="65" spans="1:99" x14ac:dyDescent="0.25">
      <c r="A65" t="str">
        <f>Single2String(Table13[[#This Row],[duration'[0']]])</f>
        <v>00000000</v>
      </c>
      <c r="B65" t="str">
        <f>Single2String(Table13[[#This Row],[duration'[1']]])</f>
        <v>00000000</v>
      </c>
      <c r="C65" t="str">
        <f>Single2String(Table13[[#This Row],[duration'[2']]])</f>
        <v>00000000</v>
      </c>
      <c r="D65" t="str">
        <f>INDEX(Table3[Hex], Table13[[#This Row],[int'[0']]]+1)</f>
        <v>00000000</v>
      </c>
      <c r="E65" t="str">
        <f>INDEX(Table3[Hex], Table13[[#This Row],[int'[1']]]+1)</f>
        <v>00000000</v>
      </c>
      <c r="F65" t="str">
        <f>INDEX(Table3[Hex], Table13[[#This Row],[int'[1']]]+1)</f>
        <v>00000000</v>
      </c>
      <c r="G65" t="str">
        <f>Single2String(Table13[[#This Row],[c ktrace]])</f>
        <v>00000000</v>
      </c>
      <c r="H65" t="str">
        <f>Single2String(Table13[[#This Row],[a ktrace]])</f>
        <v>00000000</v>
      </c>
      <c r="I65" t="str">
        <f>Single2String(Table13[[#This Row],[g ktrace]])</f>
        <v>00000000</v>
      </c>
      <c r="J65" t="str">
        <f>Single2String(Table13[[#This Row],[t ktrace]])</f>
        <v>00000000</v>
      </c>
      <c r="K65" s="3">
        <v>60</v>
      </c>
      <c r="L65">
        <f>SUM(Table13[[#This Row],[c ktrace'[2']]:[c ktrace'[0']]])</f>
        <v>0</v>
      </c>
      <c r="M65">
        <f>SUM(Table13[[#This Row],[a ktrace'[2']]:[a ktrace'[0']]])</f>
        <v>0</v>
      </c>
      <c r="N65">
        <f>SUM(Table13[[#This Row],[g ktrace'[2']]:[g ktrace'[0']]])</f>
        <v>0</v>
      </c>
      <c r="O65">
        <f>SUM(Table13[[#This Row],[t ktrace'[2']]:[t ktrace'[0']]])</f>
        <v>0</v>
      </c>
      <c r="P65">
        <f xml:space="preserve"> IF(Table13[[#This Row],[dye'[2']]]=3, Table13[[#This Row],[strength'[2']]], 0)</f>
        <v>0</v>
      </c>
      <c r="Q65">
        <f xml:space="preserve"> IF(Table13[[#This Row],[dye'[1']]]=3, Table13[[#This Row],[strength'[1']]], 0)</f>
        <v>0</v>
      </c>
      <c r="R65">
        <f xml:space="preserve"> IF(Table13[[#This Row],[dye'[0']]]=3, Table13[[#This Row],[strength'[0']]], 0)</f>
        <v>0</v>
      </c>
      <c r="S65">
        <f xml:space="preserve"> IF(Table13[[#This Row],[dye'[2']]]=2, Table13[[#This Row],[strength'[2']]], 0)</f>
        <v>0</v>
      </c>
      <c r="T65">
        <f xml:space="preserve"> IF(Table13[[#This Row],[dye'[1']]]=2, Table13[[#This Row],[strength'[1']]], 0)</f>
        <v>0</v>
      </c>
      <c r="U65">
        <f xml:space="preserve"> IF(Table13[[#This Row],[dye'[0']]]=2, Table13[[#This Row],[strength'[0']]], 0)</f>
        <v>0</v>
      </c>
      <c r="V65">
        <f xml:space="preserve"> IF(Table13[[#This Row],[dye'[2']]]=1, Table13[[#This Row],[strength'[2']]], 0)</f>
        <v>0</v>
      </c>
      <c r="W65">
        <f xml:space="preserve"> IF(Table13[[#This Row],[dye'[1']]]=1, Table13[[#This Row],[strength'[1']]], 0)</f>
        <v>0</v>
      </c>
      <c r="X65">
        <f xml:space="preserve"> IF(Table13[[#This Row],[dye'[0']]]=1, Table13[[#This Row],[strength'[0']]], 0)</f>
        <v>0</v>
      </c>
      <c r="Y65">
        <f xml:space="preserve"> IF(Table13[[#This Row],[dye'[2']]]=0, Table13[[#This Row],[strength'[2']]], 0)</f>
        <v>0</v>
      </c>
      <c r="Z65">
        <f xml:space="preserve"> IF(Table13[[#This Row],[dye'[1']]]=0, Table13[[#This Row],[strength'[1']]], 0)</f>
        <v>0</v>
      </c>
      <c r="AA65">
        <f xml:space="preserve"> IF(Table13[[#This Row],[dye'[0']]]=0, Table13[[#This Row],[strength'[0']]], 0)</f>
        <v>0</v>
      </c>
      <c r="AB65">
        <v>0</v>
      </c>
      <c r="AC65">
        <f>MAX($D$2, Table13[[#This Row],[t1'[0']]])</f>
        <v>0</v>
      </c>
      <c r="AD65">
        <v>0</v>
      </c>
      <c r="AE65">
        <f>Table13[[#This Row],[t1'[0']]]+Table13[[#This Row],[dt'[0']]]</f>
        <v>0</v>
      </c>
      <c r="AF65">
        <f>MIN($C$2, Table13[[#This Row],[tf'[0']]])</f>
        <v>0</v>
      </c>
      <c r="AG65">
        <f>Table13[[#This Row],[time2'[0']]]-Table13[[#This Row],[time1'[0']]]</f>
        <v>0</v>
      </c>
      <c r="AH65">
        <v>0</v>
      </c>
      <c r="AI65">
        <f xml:space="preserve"> INDEX(Table3[[#All],[Intensity]], Table13[[#This Row],[int'[0']]]+2)</f>
        <v>0</v>
      </c>
      <c r="AJ65">
        <f>Table13[[#This Row],[duration'[0']]]*Table13[[#This Row],[intensity'[0']]]</f>
        <v>0</v>
      </c>
      <c r="AK65">
        <f>MOD(Table13[[#This Row],[ZMW num]], 4)</f>
        <v>0</v>
      </c>
      <c r="AL65">
        <v>0</v>
      </c>
      <c r="AM65">
        <f>MAX($D$2, Table13[[#This Row],[t1'[1']]])</f>
        <v>0</v>
      </c>
      <c r="AN65">
        <v>0</v>
      </c>
      <c r="AO65">
        <f>Table13[[#This Row],[t1'[1']]]+Table13[[#This Row],[dt'[1']]]</f>
        <v>0</v>
      </c>
      <c r="AP65">
        <f>MIN($C$2, Table13[[#This Row],[tf'[1']]])</f>
        <v>0</v>
      </c>
      <c r="AQ65">
        <f>Table13[[#This Row],[time2'[1']]]-Table13[[#This Row],[time1'[1']]]</f>
        <v>0</v>
      </c>
      <c r="AR65">
        <v>0</v>
      </c>
      <c r="AS65">
        <f xml:space="preserve"> INDEX(Table3[[#All],[Intensity]], Table13[[#This Row],[int'[1']]]+2)</f>
        <v>0</v>
      </c>
      <c r="AT65">
        <f>Table13[[#This Row],[duration'[1']]]*Table13[[#This Row],[intensity'[1']]]</f>
        <v>0</v>
      </c>
      <c r="AU65">
        <f>MOD(Table13[[#This Row],[ZMW num]]+1, 4)</f>
        <v>1</v>
      </c>
      <c r="AV65">
        <v>0</v>
      </c>
      <c r="AW65">
        <f>MAX($D$2, Table13[[#This Row],[t1'[2']]])</f>
        <v>0</v>
      </c>
      <c r="AX65">
        <v>0</v>
      </c>
      <c r="AY65">
        <f>Table13[[#This Row],[t1'[2']]]+Table13[[#This Row],[dt'[2']]]</f>
        <v>0</v>
      </c>
      <c r="AZ65">
        <f>MIN($C$2, Table13[[#This Row],[tf'[2']]])</f>
        <v>0</v>
      </c>
      <c r="BA65">
        <f>Table13[[#This Row],[time2'[2']]]-Table13[[#This Row],[time1'[2']]]</f>
        <v>0</v>
      </c>
      <c r="BB65">
        <v>0</v>
      </c>
      <c r="BC65">
        <f xml:space="preserve"> INDEX(Table3[[#All],[Intensity]], Table13[[#This Row],[int'[2']]]+2)</f>
        <v>0</v>
      </c>
      <c r="BD65">
        <f>Table13[[#This Row],[duration'[2']]]*Table13[[#This Row],[intensity'[2']]]</f>
        <v>0</v>
      </c>
      <c r="BE65">
        <f>MOD(Table13[[#This Row],[ZMW num]]+2, 4)</f>
        <v>2</v>
      </c>
      <c r="BF65" s="2" t="str">
        <f>Single2String(Table13[[#This Row],[t1'[0']]])</f>
        <v>00000000</v>
      </c>
      <c r="BG65" s="1" t="str">
        <f>Single2String(Table13[[#This Row],[dt'[0']]])</f>
        <v>00000000</v>
      </c>
      <c r="BH65" s="1" t="str">
        <f>Single2String(Table13[[#This Row],[t1'[1']]])</f>
        <v>00000000</v>
      </c>
      <c r="BI65" s="1" t="str">
        <f>Single2String(Table13[[#This Row],[dt'[1']]])</f>
        <v>00000000</v>
      </c>
      <c r="BJ65" s="1" t="str">
        <f>Single2String(Table13[[#This Row],[t1'[2']]])</f>
        <v>00000000</v>
      </c>
      <c r="BK65" s="1" t="str">
        <f>Single2String(Table13[[#This Row],[dt'[2']]])</f>
        <v>00000000</v>
      </c>
      <c r="BL65" s="1" t="str">
        <f>DEC2HEX(Table13[[#This Row],[ZMW num]], 6)</f>
        <v>00003C</v>
      </c>
      <c r="BM65" s="1">
        <f>LEN(Table13[[#This Row],[DRAM data]])</f>
        <v>64</v>
      </c>
      <c r="BN6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0000000000000000000000000000000000000000000000000010200000003C00</v>
      </c>
      <c r="CU65"/>
    </row>
    <row r="66" spans="1:99" x14ac:dyDescent="0.25">
      <c r="A66" t="str">
        <f>Single2String(Table13[[#This Row],[duration'[0']]])</f>
        <v>00000000</v>
      </c>
      <c r="B66" t="str">
        <f>Single2String(Table13[[#This Row],[duration'[1']]])</f>
        <v>00000000</v>
      </c>
      <c r="C66" t="str">
        <f>Single2String(Table13[[#This Row],[duration'[2']]])</f>
        <v>00000000</v>
      </c>
      <c r="D66" t="str">
        <f>INDEX(Table3[Hex], Table13[[#This Row],[int'[0']]]+1)</f>
        <v>00000000</v>
      </c>
      <c r="E66" t="str">
        <f>INDEX(Table3[Hex], Table13[[#This Row],[int'[1']]]+1)</f>
        <v>00000000</v>
      </c>
      <c r="F66" t="str">
        <f>INDEX(Table3[Hex], Table13[[#This Row],[int'[1']]]+1)</f>
        <v>00000000</v>
      </c>
      <c r="G66" t="str">
        <f>Single2String(Table13[[#This Row],[c ktrace]])</f>
        <v>00000000</v>
      </c>
      <c r="H66" t="str">
        <f>Single2String(Table13[[#This Row],[a ktrace]])</f>
        <v>00000000</v>
      </c>
      <c r="I66" t="str">
        <f>Single2String(Table13[[#This Row],[g ktrace]])</f>
        <v>00000000</v>
      </c>
      <c r="J66" t="str">
        <f>Single2String(Table13[[#This Row],[t ktrace]])</f>
        <v>00000000</v>
      </c>
      <c r="K66" s="3">
        <v>61</v>
      </c>
      <c r="L66">
        <f>SUM(Table13[[#This Row],[c ktrace'[2']]:[c ktrace'[0']]])</f>
        <v>0</v>
      </c>
      <c r="M66">
        <f>SUM(Table13[[#This Row],[a ktrace'[2']]:[a ktrace'[0']]])</f>
        <v>0</v>
      </c>
      <c r="N66">
        <f>SUM(Table13[[#This Row],[g ktrace'[2']]:[g ktrace'[0']]])</f>
        <v>0</v>
      </c>
      <c r="O66">
        <f>SUM(Table13[[#This Row],[t ktrace'[2']]:[t ktrace'[0']]])</f>
        <v>0</v>
      </c>
      <c r="P66">
        <f xml:space="preserve"> IF(Table13[[#This Row],[dye'[2']]]=3, Table13[[#This Row],[strength'[2']]], 0)</f>
        <v>0</v>
      </c>
      <c r="Q66">
        <f xml:space="preserve"> IF(Table13[[#This Row],[dye'[1']]]=3, Table13[[#This Row],[strength'[1']]], 0)</f>
        <v>0</v>
      </c>
      <c r="R66">
        <f xml:space="preserve"> IF(Table13[[#This Row],[dye'[0']]]=3, Table13[[#This Row],[strength'[0']]], 0)</f>
        <v>0</v>
      </c>
      <c r="S66">
        <f xml:space="preserve"> IF(Table13[[#This Row],[dye'[2']]]=2, Table13[[#This Row],[strength'[2']]], 0)</f>
        <v>0</v>
      </c>
      <c r="T66">
        <f xml:space="preserve"> IF(Table13[[#This Row],[dye'[1']]]=2, Table13[[#This Row],[strength'[1']]], 0)</f>
        <v>0</v>
      </c>
      <c r="U66">
        <f xml:space="preserve"> IF(Table13[[#This Row],[dye'[0']]]=2, Table13[[#This Row],[strength'[0']]], 0)</f>
        <v>0</v>
      </c>
      <c r="V66">
        <f xml:space="preserve"> IF(Table13[[#This Row],[dye'[2']]]=1, Table13[[#This Row],[strength'[2']]], 0)</f>
        <v>0</v>
      </c>
      <c r="W66">
        <f xml:space="preserve"> IF(Table13[[#This Row],[dye'[1']]]=1, Table13[[#This Row],[strength'[1']]], 0)</f>
        <v>0</v>
      </c>
      <c r="X66">
        <f xml:space="preserve"> IF(Table13[[#This Row],[dye'[0']]]=1, Table13[[#This Row],[strength'[0']]], 0)</f>
        <v>0</v>
      </c>
      <c r="Y66">
        <f xml:space="preserve"> IF(Table13[[#This Row],[dye'[2']]]=0, Table13[[#This Row],[strength'[2']]], 0)</f>
        <v>0</v>
      </c>
      <c r="Z66">
        <f xml:space="preserve"> IF(Table13[[#This Row],[dye'[1']]]=0, Table13[[#This Row],[strength'[1']]], 0)</f>
        <v>0</v>
      </c>
      <c r="AA66">
        <f xml:space="preserve"> IF(Table13[[#This Row],[dye'[0']]]=0, Table13[[#This Row],[strength'[0']]], 0)</f>
        <v>0</v>
      </c>
      <c r="AB66">
        <v>0</v>
      </c>
      <c r="AC66">
        <f>MAX($D$2, Table13[[#This Row],[t1'[0']]])</f>
        <v>0</v>
      </c>
      <c r="AD66">
        <v>0</v>
      </c>
      <c r="AE66">
        <f>Table13[[#This Row],[t1'[0']]]+Table13[[#This Row],[dt'[0']]]</f>
        <v>0</v>
      </c>
      <c r="AF66">
        <f>MIN($C$2, Table13[[#This Row],[tf'[0']]])</f>
        <v>0</v>
      </c>
      <c r="AG66">
        <f>Table13[[#This Row],[time2'[0']]]-Table13[[#This Row],[time1'[0']]]</f>
        <v>0</v>
      </c>
      <c r="AH66">
        <v>0</v>
      </c>
      <c r="AI66">
        <f xml:space="preserve"> INDEX(Table3[[#All],[Intensity]], Table13[[#This Row],[int'[0']]]+2)</f>
        <v>0</v>
      </c>
      <c r="AJ66">
        <f>Table13[[#This Row],[duration'[0']]]*Table13[[#This Row],[intensity'[0']]]</f>
        <v>0</v>
      </c>
      <c r="AK66">
        <f>MOD(Table13[[#This Row],[ZMW num]], 4)</f>
        <v>1</v>
      </c>
      <c r="AL66">
        <v>0</v>
      </c>
      <c r="AM66">
        <f>MAX($D$2, Table13[[#This Row],[t1'[1']]])</f>
        <v>0</v>
      </c>
      <c r="AN66">
        <v>0</v>
      </c>
      <c r="AO66">
        <f>Table13[[#This Row],[t1'[1']]]+Table13[[#This Row],[dt'[1']]]</f>
        <v>0</v>
      </c>
      <c r="AP66">
        <f>MIN($C$2, Table13[[#This Row],[tf'[1']]])</f>
        <v>0</v>
      </c>
      <c r="AQ66">
        <f>Table13[[#This Row],[time2'[1']]]-Table13[[#This Row],[time1'[1']]]</f>
        <v>0</v>
      </c>
      <c r="AR66">
        <v>0</v>
      </c>
      <c r="AS66">
        <f xml:space="preserve"> INDEX(Table3[[#All],[Intensity]], Table13[[#This Row],[int'[1']]]+2)</f>
        <v>0</v>
      </c>
      <c r="AT66">
        <f>Table13[[#This Row],[duration'[1']]]*Table13[[#This Row],[intensity'[1']]]</f>
        <v>0</v>
      </c>
      <c r="AU66">
        <f>MOD(Table13[[#This Row],[ZMW num]]+1, 4)</f>
        <v>2</v>
      </c>
      <c r="AV66">
        <v>0</v>
      </c>
      <c r="AW66">
        <f>MAX($D$2, Table13[[#This Row],[t1'[2']]])</f>
        <v>0</v>
      </c>
      <c r="AX66">
        <v>0</v>
      </c>
      <c r="AY66">
        <f>Table13[[#This Row],[t1'[2']]]+Table13[[#This Row],[dt'[2']]]</f>
        <v>0</v>
      </c>
      <c r="AZ66">
        <f>MIN($C$2, Table13[[#This Row],[tf'[2']]])</f>
        <v>0</v>
      </c>
      <c r="BA66">
        <f>Table13[[#This Row],[time2'[2']]]-Table13[[#This Row],[time1'[2']]]</f>
        <v>0</v>
      </c>
      <c r="BB66">
        <v>0</v>
      </c>
      <c r="BC66">
        <f xml:space="preserve"> INDEX(Table3[[#All],[Intensity]], Table13[[#This Row],[int'[2']]]+2)</f>
        <v>0</v>
      </c>
      <c r="BD66">
        <f>Table13[[#This Row],[duration'[2']]]*Table13[[#This Row],[intensity'[2']]]</f>
        <v>0</v>
      </c>
      <c r="BE66">
        <f>MOD(Table13[[#This Row],[ZMW num]]+2, 4)</f>
        <v>3</v>
      </c>
      <c r="BF66" s="2" t="str">
        <f>Single2String(Table13[[#This Row],[t1'[0']]])</f>
        <v>00000000</v>
      </c>
      <c r="BG66" s="1" t="str">
        <f>Single2String(Table13[[#This Row],[dt'[0']]])</f>
        <v>00000000</v>
      </c>
      <c r="BH66" s="1" t="str">
        <f>Single2String(Table13[[#This Row],[t1'[1']]])</f>
        <v>00000000</v>
      </c>
      <c r="BI66" s="1" t="str">
        <f>Single2String(Table13[[#This Row],[dt'[1']]])</f>
        <v>00000000</v>
      </c>
      <c r="BJ66" s="1" t="str">
        <f>Single2String(Table13[[#This Row],[t1'[2']]])</f>
        <v>00000000</v>
      </c>
      <c r="BK66" s="1" t="str">
        <f>Single2String(Table13[[#This Row],[dt'[2']]])</f>
        <v>00000000</v>
      </c>
      <c r="BL66" s="1" t="str">
        <f>DEC2HEX(Table13[[#This Row],[ZMW num]], 6)</f>
        <v>00003D</v>
      </c>
      <c r="BM66" s="1">
        <f>LEN(Table13[[#This Row],[DRAM data]])</f>
        <v>64</v>
      </c>
      <c r="BN6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0000000000000000000000000000000000000000000000001020300000003D00</v>
      </c>
      <c r="CU66"/>
    </row>
    <row r="67" spans="1:99" x14ac:dyDescent="0.25">
      <c r="A67" t="str">
        <f>Single2String(Table13[[#This Row],[duration'[0']]])</f>
        <v>00000000</v>
      </c>
      <c r="B67" t="str">
        <f>Single2String(Table13[[#This Row],[duration'[1']]])</f>
        <v>00000000</v>
      </c>
      <c r="C67" t="str">
        <f>Single2String(Table13[[#This Row],[duration'[2']]])</f>
        <v>00000000</v>
      </c>
      <c r="D67" t="str">
        <f>INDEX(Table3[Hex], Table13[[#This Row],[int'[0']]]+1)</f>
        <v>00000000</v>
      </c>
      <c r="E67" t="str">
        <f>INDEX(Table3[Hex], Table13[[#This Row],[int'[1']]]+1)</f>
        <v>00000000</v>
      </c>
      <c r="F67" t="str">
        <f>INDEX(Table3[Hex], Table13[[#This Row],[int'[1']]]+1)</f>
        <v>00000000</v>
      </c>
      <c r="G67" t="str">
        <f>Single2String(Table13[[#This Row],[c ktrace]])</f>
        <v>00000000</v>
      </c>
      <c r="H67" t="str">
        <f>Single2String(Table13[[#This Row],[a ktrace]])</f>
        <v>00000000</v>
      </c>
      <c r="I67" t="str">
        <f>Single2String(Table13[[#This Row],[g ktrace]])</f>
        <v>00000000</v>
      </c>
      <c r="J67" t="str">
        <f>Single2String(Table13[[#This Row],[t ktrace]])</f>
        <v>00000000</v>
      </c>
      <c r="K67" s="3">
        <v>62</v>
      </c>
      <c r="L67">
        <f>SUM(Table13[[#This Row],[c ktrace'[2']]:[c ktrace'[0']]])</f>
        <v>0</v>
      </c>
      <c r="M67">
        <f>SUM(Table13[[#This Row],[a ktrace'[2']]:[a ktrace'[0']]])</f>
        <v>0</v>
      </c>
      <c r="N67">
        <f>SUM(Table13[[#This Row],[g ktrace'[2']]:[g ktrace'[0']]])</f>
        <v>0</v>
      </c>
      <c r="O67">
        <f>SUM(Table13[[#This Row],[t ktrace'[2']]:[t ktrace'[0']]])</f>
        <v>0</v>
      </c>
      <c r="P67">
        <f xml:space="preserve"> IF(Table13[[#This Row],[dye'[2']]]=3, Table13[[#This Row],[strength'[2']]], 0)</f>
        <v>0</v>
      </c>
      <c r="Q67">
        <f xml:space="preserve"> IF(Table13[[#This Row],[dye'[1']]]=3, Table13[[#This Row],[strength'[1']]], 0)</f>
        <v>0</v>
      </c>
      <c r="R67">
        <f xml:space="preserve"> IF(Table13[[#This Row],[dye'[0']]]=3, Table13[[#This Row],[strength'[0']]], 0)</f>
        <v>0</v>
      </c>
      <c r="S67">
        <f xml:space="preserve"> IF(Table13[[#This Row],[dye'[2']]]=2, Table13[[#This Row],[strength'[2']]], 0)</f>
        <v>0</v>
      </c>
      <c r="T67">
        <f xml:space="preserve"> IF(Table13[[#This Row],[dye'[1']]]=2, Table13[[#This Row],[strength'[1']]], 0)</f>
        <v>0</v>
      </c>
      <c r="U67">
        <f xml:space="preserve"> IF(Table13[[#This Row],[dye'[0']]]=2, Table13[[#This Row],[strength'[0']]], 0)</f>
        <v>0</v>
      </c>
      <c r="V67">
        <f xml:space="preserve"> IF(Table13[[#This Row],[dye'[2']]]=1, Table13[[#This Row],[strength'[2']]], 0)</f>
        <v>0</v>
      </c>
      <c r="W67">
        <f xml:space="preserve"> IF(Table13[[#This Row],[dye'[1']]]=1, Table13[[#This Row],[strength'[1']]], 0)</f>
        <v>0</v>
      </c>
      <c r="X67">
        <f xml:space="preserve"> IF(Table13[[#This Row],[dye'[0']]]=1, Table13[[#This Row],[strength'[0']]], 0)</f>
        <v>0</v>
      </c>
      <c r="Y67">
        <f xml:space="preserve"> IF(Table13[[#This Row],[dye'[2']]]=0, Table13[[#This Row],[strength'[2']]], 0)</f>
        <v>0</v>
      </c>
      <c r="Z67">
        <f xml:space="preserve"> IF(Table13[[#This Row],[dye'[1']]]=0, Table13[[#This Row],[strength'[1']]], 0)</f>
        <v>0</v>
      </c>
      <c r="AA67">
        <f xml:space="preserve"> IF(Table13[[#This Row],[dye'[0']]]=0, Table13[[#This Row],[strength'[0']]], 0)</f>
        <v>0</v>
      </c>
      <c r="AB67">
        <v>0</v>
      </c>
      <c r="AC67">
        <f>MAX($D$2, Table13[[#This Row],[t1'[0']]])</f>
        <v>0</v>
      </c>
      <c r="AD67">
        <v>0</v>
      </c>
      <c r="AE67">
        <f>Table13[[#This Row],[t1'[0']]]+Table13[[#This Row],[dt'[0']]]</f>
        <v>0</v>
      </c>
      <c r="AF67">
        <f>MIN($C$2, Table13[[#This Row],[tf'[0']]])</f>
        <v>0</v>
      </c>
      <c r="AG67">
        <f>Table13[[#This Row],[time2'[0']]]-Table13[[#This Row],[time1'[0']]]</f>
        <v>0</v>
      </c>
      <c r="AH67">
        <v>0</v>
      </c>
      <c r="AI67">
        <f xml:space="preserve"> INDEX(Table3[[#All],[Intensity]], Table13[[#This Row],[int'[0']]]+2)</f>
        <v>0</v>
      </c>
      <c r="AJ67">
        <f>Table13[[#This Row],[duration'[0']]]*Table13[[#This Row],[intensity'[0']]]</f>
        <v>0</v>
      </c>
      <c r="AK67">
        <f>MOD(Table13[[#This Row],[ZMW num]], 4)</f>
        <v>2</v>
      </c>
      <c r="AL67">
        <v>0</v>
      </c>
      <c r="AM67">
        <f>MAX($D$2, Table13[[#This Row],[t1'[1']]])</f>
        <v>0</v>
      </c>
      <c r="AN67">
        <v>0</v>
      </c>
      <c r="AO67">
        <f>Table13[[#This Row],[t1'[1']]]+Table13[[#This Row],[dt'[1']]]</f>
        <v>0</v>
      </c>
      <c r="AP67">
        <f>MIN($C$2, Table13[[#This Row],[tf'[1']]])</f>
        <v>0</v>
      </c>
      <c r="AQ67">
        <f>Table13[[#This Row],[time2'[1']]]-Table13[[#This Row],[time1'[1']]]</f>
        <v>0</v>
      </c>
      <c r="AR67">
        <v>0</v>
      </c>
      <c r="AS67">
        <f xml:space="preserve"> INDEX(Table3[[#All],[Intensity]], Table13[[#This Row],[int'[1']]]+2)</f>
        <v>0</v>
      </c>
      <c r="AT67">
        <f>Table13[[#This Row],[duration'[1']]]*Table13[[#This Row],[intensity'[1']]]</f>
        <v>0</v>
      </c>
      <c r="AU67">
        <f>MOD(Table13[[#This Row],[ZMW num]]+1, 4)</f>
        <v>3</v>
      </c>
      <c r="AV67">
        <v>0</v>
      </c>
      <c r="AW67">
        <f>MAX($D$2, Table13[[#This Row],[t1'[2']]])</f>
        <v>0</v>
      </c>
      <c r="AX67">
        <v>0</v>
      </c>
      <c r="AY67">
        <f>Table13[[#This Row],[t1'[2']]]+Table13[[#This Row],[dt'[2']]]</f>
        <v>0</v>
      </c>
      <c r="AZ67">
        <f>MIN($C$2, Table13[[#This Row],[tf'[2']]])</f>
        <v>0</v>
      </c>
      <c r="BA67">
        <f>Table13[[#This Row],[time2'[2']]]-Table13[[#This Row],[time1'[2']]]</f>
        <v>0</v>
      </c>
      <c r="BB67">
        <v>0</v>
      </c>
      <c r="BC67">
        <f xml:space="preserve"> INDEX(Table3[[#All],[Intensity]], Table13[[#This Row],[int'[2']]]+2)</f>
        <v>0</v>
      </c>
      <c r="BD67">
        <f>Table13[[#This Row],[duration'[2']]]*Table13[[#This Row],[intensity'[2']]]</f>
        <v>0</v>
      </c>
      <c r="BE67">
        <f>MOD(Table13[[#This Row],[ZMW num]]+2, 4)</f>
        <v>0</v>
      </c>
      <c r="BF67" s="2" t="str">
        <f>Single2String(Table13[[#This Row],[t1'[0']]])</f>
        <v>00000000</v>
      </c>
      <c r="BG67" s="1" t="str">
        <f>Single2String(Table13[[#This Row],[dt'[0']]])</f>
        <v>00000000</v>
      </c>
      <c r="BH67" s="1" t="str">
        <f>Single2String(Table13[[#This Row],[t1'[1']]])</f>
        <v>00000000</v>
      </c>
      <c r="BI67" s="1" t="str">
        <f>Single2String(Table13[[#This Row],[dt'[1']]])</f>
        <v>00000000</v>
      </c>
      <c r="BJ67" s="1" t="str">
        <f>Single2String(Table13[[#This Row],[t1'[2']]])</f>
        <v>00000000</v>
      </c>
      <c r="BK67" s="1" t="str">
        <f>Single2String(Table13[[#This Row],[dt'[2']]])</f>
        <v>00000000</v>
      </c>
      <c r="BL67" s="1" t="str">
        <f>DEC2HEX(Table13[[#This Row],[ZMW num]], 6)</f>
        <v>00003E</v>
      </c>
      <c r="BM67" s="1">
        <f>LEN(Table13[[#This Row],[DRAM data]])</f>
        <v>64</v>
      </c>
      <c r="BN6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0000000000000000000000000000000000000000000000002030000000003E00</v>
      </c>
      <c r="CU67"/>
    </row>
    <row r="68" spans="1:99" x14ac:dyDescent="0.25">
      <c r="A68" t="str">
        <f>Single2String(Table13[[#This Row],[duration'[0']]])</f>
        <v>00000000</v>
      </c>
      <c r="B68" t="str">
        <f>Single2String(Table13[[#This Row],[duration'[1']]])</f>
        <v>00000000</v>
      </c>
      <c r="C68" t="str">
        <f>Single2String(Table13[[#This Row],[duration'[2']]])</f>
        <v>00000000</v>
      </c>
      <c r="D68" t="str">
        <f>INDEX(Table3[Hex], Table13[[#This Row],[int'[0']]]+1)</f>
        <v>00000000</v>
      </c>
      <c r="E68" t="str">
        <f>INDEX(Table3[Hex], Table13[[#This Row],[int'[1']]]+1)</f>
        <v>00000000</v>
      </c>
      <c r="F68" t="str">
        <f>INDEX(Table3[Hex], Table13[[#This Row],[int'[1']]]+1)</f>
        <v>00000000</v>
      </c>
      <c r="G68" t="str">
        <f>Single2String(Table13[[#This Row],[c ktrace]])</f>
        <v>00000000</v>
      </c>
      <c r="H68" t="str">
        <f>Single2String(Table13[[#This Row],[a ktrace]])</f>
        <v>00000000</v>
      </c>
      <c r="I68" t="str">
        <f>Single2String(Table13[[#This Row],[g ktrace]])</f>
        <v>00000000</v>
      </c>
      <c r="J68" t="str">
        <f>Single2String(Table13[[#This Row],[t ktrace]])</f>
        <v>00000000</v>
      </c>
      <c r="K68" s="3">
        <v>63</v>
      </c>
      <c r="L68">
        <f>SUM(Table13[[#This Row],[c ktrace'[2']]:[c ktrace'[0']]])</f>
        <v>0</v>
      </c>
      <c r="M68">
        <f>SUM(Table13[[#This Row],[a ktrace'[2']]:[a ktrace'[0']]])</f>
        <v>0</v>
      </c>
      <c r="N68">
        <f>SUM(Table13[[#This Row],[g ktrace'[2']]:[g ktrace'[0']]])</f>
        <v>0</v>
      </c>
      <c r="O68">
        <f>SUM(Table13[[#This Row],[t ktrace'[2']]:[t ktrace'[0']]])</f>
        <v>0</v>
      </c>
      <c r="P68">
        <f xml:space="preserve"> IF(Table13[[#This Row],[dye'[2']]]=3, Table13[[#This Row],[strength'[2']]], 0)</f>
        <v>0</v>
      </c>
      <c r="Q68">
        <f xml:space="preserve"> IF(Table13[[#This Row],[dye'[1']]]=3, Table13[[#This Row],[strength'[1']]], 0)</f>
        <v>0</v>
      </c>
      <c r="R68">
        <f xml:space="preserve"> IF(Table13[[#This Row],[dye'[0']]]=3, Table13[[#This Row],[strength'[0']]], 0)</f>
        <v>0</v>
      </c>
      <c r="S68">
        <f xml:space="preserve"> IF(Table13[[#This Row],[dye'[2']]]=2, Table13[[#This Row],[strength'[2']]], 0)</f>
        <v>0</v>
      </c>
      <c r="T68">
        <f xml:space="preserve"> IF(Table13[[#This Row],[dye'[1']]]=2, Table13[[#This Row],[strength'[1']]], 0)</f>
        <v>0</v>
      </c>
      <c r="U68">
        <f xml:space="preserve"> IF(Table13[[#This Row],[dye'[0']]]=2, Table13[[#This Row],[strength'[0']]], 0)</f>
        <v>0</v>
      </c>
      <c r="V68">
        <f xml:space="preserve"> IF(Table13[[#This Row],[dye'[2']]]=1, Table13[[#This Row],[strength'[2']]], 0)</f>
        <v>0</v>
      </c>
      <c r="W68">
        <f xml:space="preserve"> IF(Table13[[#This Row],[dye'[1']]]=1, Table13[[#This Row],[strength'[1']]], 0)</f>
        <v>0</v>
      </c>
      <c r="X68">
        <f xml:space="preserve"> IF(Table13[[#This Row],[dye'[0']]]=1, Table13[[#This Row],[strength'[0']]], 0)</f>
        <v>0</v>
      </c>
      <c r="Y68">
        <f xml:space="preserve"> IF(Table13[[#This Row],[dye'[2']]]=0, Table13[[#This Row],[strength'[2']]], 0)</f>
        <v>0</v>
      </c>
      <c r="Z68">
        <f xml:space="preserve"> IF(Table13[[#This Row],[dye'[1']]]=0, Table13[[#This Row],[strength'[1']]], 0)</f>
        <v>0</v>
      </c>
      <c r="AA68">
        <f xml:space="preserve"> IF(Table13[[#This Row],[dye'[0']]]=0, Table13[[#This Row],[strength'[0']]], 0)</f>
        <v>0</v>
      </c>
      <c r="AB68">
        <v>0</v>
      </c>
      <c r="AC68">
        <f>MAX($D$2, Table13[[#This Row],[t1'[0']]])</f>
        <v>0</v>
      </c>
      <c r="AD68">
        <v>0</v>
      </c>
      <c r="AE68">
        <f>Table13[[#This Row],[t1'[0']]]+Table13[[#This Row],[dt'[0']]]</f>
        <v>0</v>
      </c>
      <c r="AF68">
        <f>MIN($C$2, Table13[[#This Row],[tf'[0']]])</f>
        <v>0</v>
      </c>
      <c r="AG68">
        <f>Table13[[#This Row],[time2'[0']]]-Table13[[#This Row],[time1'[0']]]</f>
        <v>0</v>
      </c>
      <c r="AH68">
        <v>0</v>
      </c>
      <c r="AI68">
        <f xml:space="preserve"> INDEX(Table3[[#All],[Intensity]], Table13[[#This Row],[int'[0']]]+2)</f>
        <v>0</v>
      </c>
      <c r="AJ68">
        <f>Table13[[#This Row],[duration'[0']]]*Table13[[#This Row],[intensity'[0']]]</f>
        <v>0</v>
      </c>
      <c r="AK68">
        <f>MOD(Table13[[#This Row],[ZMW num]], 4)</f>
        <v>3</v>
      </c>
      <c r="AL68">
        <v>0</v>
      </c>
      <c r="AM68">
        <f>MAX($D$2, Table13[[#This Row],[t1'[1']]])</f>
        <v>0</v>
      </c>
      <c r="AN68">
        <v>0</v>
      </c>
      <c r="AO68">
        <f>Table13[[#This Row],[t1'[1']]]+Table13[[#This Row],[dt'[1']]]</f>
        <v>0</v>
      </c>
      <c r="AP68">
        <f>MIN($C$2, Table13[[#This Row],[tf'[1']]])</f>
        <v>0</v>
      </c>
      <c r="AQ68">
        <f>Table13[[#This Row],[time2'[1']]]-Table13[[#This Row],[time1'[1']]]</f>
        <v>0</v>
      </c>
      <c r="AR68">
        <v>0</v>
      </c>
      <c r="AS68">
        <f xml:space="preserve"> INDEX(Table3[[#All],[Intensity]], Table13[[#This Row],[int'[1']]]+2)</f>
        <v>0</v>
      </c>
      <c r="AT68">
        <f>Table13[[#This Row],[duration'[1']]]*Table13[[#This Row],[intensity'[1']]]</f>
        <v>0</v>
      </c>
      <c r="AU68">
        <f>MOD(Table13[[#This Row],[ZMW num]]+1, 4)</f>
        <v>0</v>
      </c>
      <c r="AV68">
        <v>0</v>
      </c>
      <c r="AW68">
        <f>MAX($D$2, Table13[[#This Row],[t1'[2']]])</f>
        <v>0</v>
      </c>
      <c r="AX68">
        <v>0</v>
      </c>
      <c r="AY68">
        <f>Table13[[#This Row],[t1'[2']]]+Table13[[#This Row],[dt'[2']]]</f>
        <v>0</v>
      </c>
      <c r="AZ68">
        <f>MIN($C$2, Table13[[#This Row],[tf'[2']]])</f>
        <v>0</v>
      </c>
      <c r="BA68">
        <f>Table13[[#This Row],[time2'[2']]]-Table13[[#This Row],[time1'[2']]]</f>
        <v>0</v>
      </c>
      <c r="BB68">
        <v>0</v>
      </c>
      <c r="BC68">
        <f xml:space="preserve"> INDEX(Table3[[#All],[Intensity]], Table13[[#This Row],[int'[2']]]+2)</f>
        <v>0</v>
      </c>
      <c r="BD68">
        <f>Table13[[#This Row],[duration'[2']]]*Table13[[#This Row],[intensity'[2']]]</f>
        <v>0</v>
      </c>
      <c r="BE68">
        <f>MOD(Table13[[#This Row],[ZMW num]]+2, 4)</f>
        <v>1</v>
      </c>
      <c r="BF68" s="2" t="str">
        <f>Single2String(Table13[[#This Row],[t1'[0']]])</f>
        <v>00000000</v>
      </c>
      <c r="BG68" s="1" t="str">
        <f>Single2String(Table13[[#This Row],[dt'[0']]])</f>
        <v>00000000</v>
      </c>
      <c r="BH68" s="1" t="str">
        <f>Single2String(Table13[[#This Row],[t1'[1']]])</f>
        <v>00000000</v>
      </c>
      <c r="BI68" s="1" t="str">
        <f>Single2String(Table13[[#This Row],[dt'[1']]])</f>
        <v>00000000</v>
      </c>
      <c r="BJ68" s="1" t="str">
        <f>Single2String(Table13[[#This Row],[t1'[2']]])</f>
        <v>00000000</v>
      </c>
      <c r="BK68" s="1" t="str">
        <f>Single2String(Table13[[#This Row],[dt'[2']]])</f>
        <v>00000000</v>
      </c>
      <c r="BL68" s="1" t="str">
        <f>DEC2HEX(Table13[[#This Row],[ZMW num]], 6)</f>
        <v>00003F</v>
      </c>
      <c r="BM68" s="1">
        <f>LEN(Table13[[#This Row],[DRAM data]])</f>
        <v>64</v>
      </c>
      <c r="BN6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0000000000000000000000000000000000000000000000003000100000003F00</v>
      </c>
      <c r="CU68"/>
    </row>
    <row r="69" spans="1:99" x14ac:dyDescent="0.25">
      <c r="A69" t="str">
        <f>Single2String(Table13[[#This Row],[duration'[0']]])</f>
        <v>00000000</v>
      </c>
      <c r="B69" t="str">
        <f>Single2String(Table13[[#This Row],[duration'[1']]])</f>
        <v>00000000</v>
      </c>
      <c r="C69" t="str">
        <f>Single2String(Table13[[#This Row],[duration'[2']]])</f>
        <v>00000000</v>
      </c>
      <c r="D69" t="str">
        <f>INDEX(Table3[Hex], Table13[[#This Row],[int'[0']]]+1)</f>
        <v>00000000</v>
      </c>
      <c r="E69" t="str">
        <f>INDEX(Table3[Hex], Table13[[#This Row],[int'[1']]]+1)</f>
        <v>00000000</v>
      </c>
      <c r="F69" t="str">
        <f>INDEX(Table3[Hex], Table13[[#This Row],[int'[1']]]+1)</f>
        <v>00000000</v>
      </c>
      <c r="G69" t="str">
        <f>Single2String(Table13[[#This Row],[c ktrace]])</f>
        <v>00000000</v>
      </c>
      <c r="H69" t="str">
        <f>Single2String(Table13[[#This Row],[a ktrace]])</f>
        <v>00000000</v>
      </c>
      <c r="I69" t="str">
        <f>Single2String(Table13[[#This Row],[g ktrace]])</f>
        <v>00000000</v>
      </c>
      <c r="J69" t="str">
        <f>Single2String(Table13[[#This Row],[t ktrace]])</f>
        <v>00000000</v>
      </c>
      <c r="K69" s="3">
        <v>64</v>
      </c>
      <c r="L69">
        <f>SUM(Table13[[#This Row],[c ktrace'[2']]:[c ktrace'[0']]])</f>
        <v>0</v>
      </c>
      <c r="M69">
        <f>SUM(Table13[[#This Row],[a ktrace'[2']]:[a ktrace'[0']]])</f>
        <v>0</v>
      </c>
      <c r="N69">
        <f>SUM(Table13[[#This Row],[g ktrace'[2']]:[g ktrace'[0']]])</f>
        <v>0</v>
      </c>
      <c r="O69">
        <f>SUM(Table13[[#This Row],[t ktrace'[2']]:[t ktrace'[0']]])</f>
        <v>0</v>
      </c>
      <c r="P69">
        <f xml:space="preserve"> IF(Table13[[#This Row],[dye'[2']]]=3, Table13[[#This Row],[strength'[2']]], 0)</f>
        <v>0</v>
      </c>
      <c r="Q69">
        <f xml:space="preserve"> IF(Table13[[#This Row],[dye'[1']]]=3, Table13[[#This Row],[strength'[1']]], 0)</f>
        <v>0</v>
      </c>
      <c r="R69">
        <f xml:space="preserve"> IF(Table13[[#This Row],[dye'[0']]]=3, Table13[[#This Row],[strength'[0']]], 0)</f>
        <v>0</v>
      </c>
      <c r="S69">
        <f xml:space="preserve"> IF(Table13[[#This Row],[dye'[2']]]=2, Table13[[#This Row],[strength'[2']]], 0)</f>
        <v>0</v>
      </c>
      <c r="T69">
        <f xml:space="preserve"> IF(Table13[[#This Row],[dye'[1']]]=2, Table13[[#This Row],[strength'[1']]], 0)</f>
        <v>0</v>
      </c>
      <c r="U69">
        <f xml:space="preserve"> IF(Table13[[#This Row],[dye'[0']]]=2, Table13[[#This Row],[strength'[0']]], 0)</f>
        <v>0</v>
      </c>
      <c r="V69">
        <f xml:space="preserve"> IF(Table13[[#This Row],[dye'[2']]]=1, Table13[[#This Row],[strength'[2']]], 0)</f>
        <v>0</v>
      </c>
      <c r="W69">
        <f xml:space="preserve"> IF(Table13[[#This Row],[dye'[1']]]=1, Table13[[#This Row],[strength'[1']]], 0)</f>
        <v>0</v>
      </c>
      <c r="X69">
        <f xml:space="preserve"> IF(Table13[[#This Row],[dye'[0']]]=1, Table13[[#This Row],[strength'[0']]], 0)</f>
        <v>0</v>
      </c>
      <c r="Y69">
        <f xml:space="preserve"> IF(Table13[[#This Row],[dye'[2']]]=0, Table13[[#This Row],[strength'[2']]], 0)</f>
        <v>0</v>
      </c>
      <c r="Z69">
        <f xml:space="preserve"> IF(Table13[[#This Row],[dye'[1']]]=0, Table13[[#This Row],[strength'[1']]], 0)</f>
        <v>0</v>
      </c>
      <c r="AA69">
        <f xml:space="preserve"> IF(Table13[[#This Row],[dye'[0']]]=0, Table13[[#This Row],[strength'[0']]], 0)</f>
        <v>0</v>
      </c>
      <c r="AB69">
        <v>0</v>
      </c>
      <c r="AC69">
        <f>MAX($D$2, Table13[[#This Row],[t1'[0']]])</f>
        <v>0</v>
      </c>
      <c r="AD69">
        <v>0</v>
      </c>
      <c r="AE69">
        <f>Table13[[#This Row],[t1'[0']]]+Table13[[#This Row],[dt'[0']]]</f>
        <v>0</v>
      </c>
      <c r="AF69">
        <f>MIN($C$2, Table13[[#This Row],[tf'[0']]])</f>
        <v>0</v>
      </c>
      <c r="AG69">
        <f>Table13[[#This Row],[time2'[0']]]-Table13[[#This Row],[time1'[0']]]</f>
        <v>0</v>
      </c>
      <c r="AH69">
        <v>0</v>
      </c>
      <c r="AI69">
        <f xml:space="preserve"> INDEX(Table3[[#All],[Intensity]], Table13[[#This Row],[int'[0']]]+2)</f>
        <v>0</v>
      </c>
      <c r="AJ69">
        <f>Table13[[#This Row],[duration'[0']]]*Table13[[#This Row],[intensity'[0']]]</f>
        <v>0</v>
      </c>
      <c r="AK69">
        <f>MOD(Table13[[#This Row],[ZMW num]], 4)</f>
        <v>0</v>
      </c>
      <c r="AL69">
        <v>0</v>
      </c>
      <c r="AM69">
        <f>MAX($D$2, Table13[[#This Row],[t1'[1']]])</f>
        <v>0</v>
      </c>
      <c r="AN69">
        <v>0</v>
      </c>
      <c r="AO69">
        <f>Table13[[#This Row],[t1'[1']]]+Table13[[#This Row],[dt'[1']]]</f>
        <v>0</v>
      </c>
      <c r="AP69">
        <f>MIN($C$2, Table13[[#This Row],[tf'[1']]])</f>
        <v>0</v>
      </c>
      <c r="AQ69">
        <f>Table13[[#This Row],[time2'[1']]]-Table13[[#This Row],[time1'[1']]]</f>
        <v>0</v>
      </c>
      <c r="AR69">
        <v>0</v>
      </c>
      <c r="AS69">
        <f xml:space="preserve"> INDEX(Table3[[#All],[Intensity]], Table13[[#This Row],[int'[1']]]+2)</f>
        <v>0</v>
      </c>
      <c r="AT69">
        <f>Table13[[#This Row],[duration'[1']]]*Table13[[#This Row],[intensity'[1']]]</f>
        <v>0</v>
      </c>
      <c r="AU69">
        <f>MOD(Table13[[#This Row],[ZMW num]]+1, 4)</f>
        <v>1</v>
      </c>
      <c r="AV69">
        <v>0</v>
      </c>
      <c r="AW69">
        <f>MAX($D$2, Table13[[#This Row],[t1'[2']]])</f>
        <v>0</v>
      </c>
      <c r="AX69">
        <v>0</v>
      </c>
      <c r="AY69">
        <f>Table13[[#This Row],[t1'[2']]]+Table13[[#This Row],[dt'[2']]]</f>
        <v>0</v>
      </c>
      <c r="AZ69">
        <f>MIN($C$2, Table13[[#This Row],[tf'[2']]])</f>
        <v>0</v>
      </c>
      <c r="BA69">
        <f>Table13[[#This Row],[time2'[2']]]-Table13[[#This Row],[time1'[2']]]</f>
        <v>0</v>
      </c>
      <c r="BB69">
        <v>0</v>
      </c>
      <c r="BC69">
        <f xml:space="preserve"> INDEX(Table3[[#All],[Intensity]], Table13[[#This Row],[int'[2']]]+2)</f>
        <v>0</v>
      </c>
      <c r="BD69">
        <f>Table13[[#This Row],[duration'[2']]]*Table13[[#This Row],[intensity'[2']]]</f>
        <v>0</v>
      </c>
      <c r="BE69">
        <f>MOD(Table13[[#This Row],[ZMW num]]+2, 4)</f>
        <v>2</v>
      </c>
      <c r="BF69" s="2" t="str">
        <f>Single2String(Table13[[#This Row],[t1'[0']]])</f>
        <v>00000000</v>
      </c>
      <c r="BG69" s="1" t="str">
        <f>Single2String(Table13[[#This Row],[dt'[0']]])</f>
        <v>00000000</v>
      </c>
      <c r="BH69" s="1" t="str">
        <f>Single2String(Table13[[#This Row],[t1'[1']]])</f>
        <v>00000000</v>
      </c>
      <c r="BI69" s="1" t="str">
        <f>Single2String(Table13[[#This Row],[dt'[1']]])</f>
        <v>00000000</v>
      </c>
      <c r="BJ69" s="1" t="str">
        <f>Single2String(Table13[[#This Row],[t1'[2']]])</f>
        <v>00000000</v>
      </c>
      <c r="BK69" s="1" t="str">
        <f>Single2String(Table13[[#This Row],[dt'[2']]])</f>
        <v>00000000</v>
      </c>
      <c r="BL69" s="1" t="str">
        <f>DEC2HEX(Table13[[#This Row],[ZMW num]], 6)</f>
        <v>000040</v>
      </c>
      <c r="BM69" s="1">
        <f>LEN(Table13[[#This Row],[DRAM data]])</f>
        <v>64</v>
      </c>
      <c r="BN6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0000000000000000000000000000000000000000000000000010200000004000</v>
      </c>
      <c r="CU69"/>
    </row>
    <row r="70" spans="1:99" x14ac:dyDescent="0.25">
      <c r="A70" t="str">
        <f>Single2String(Table13[[#This Row],[duration'[0']]])</f>
        <v>00000000</v>
      </c>
      <c r="B70" t="str">
        <f>Single2String(Table13[[#This Row],[duration'[1']]])</f>
        <v>00000000</v>
      </c>
      <c r="C70" t="str">
        <f>Single2String(Table13[[#This Row],[duration'[2']]])</f>
        <v>00000000</v>
      </c>
      <c r="D70" t="str">
        <f>INDEX(Table3[Hex], Table13[[#This Row],[int'[0']]]+1)</f>
        <v>00000000</v>
      </c>
      <c r="E70" t="str">
        <f>INDEX(Table3[Hex], Table13[[#This Row],[int'[1']]]+1)</f>
        <v>00000000</v>
      </c>
      <c r="F70" t="str">
        <f>INDEX(Table3[Hex], Table13[[#This Row],[int'[1']]]+1)</f>
        <v>00000000</v>
      </c>
      <c r="G70" t="str">
        <f>Single2String(Table13[[#This Row],[c ktrace]])</f>
        <v>00000000</v>
      </c>
      <c r="H70" t="str">
        <f>Single2String(Table13[[#This Row],[a ktrace]])</f>
        <v>00000000</v>
      </c>
      <c r="I70" t="str">
        <f>Single2String(Table13[[#This Row],[g ktrace]])</f>
        <v>00000000</v>
      </c>
      <c r="J70" t="str">
        <f>Single2String(Table13[[#This Row],[t ktrace]])</f>
        <v>00000000</v>
      </c>
      <c r="K70" s="3">
        <v>65</v>
      </c>
      <c r="L70">
        <f>SUM(Table13[[#This Row],[c ktrace'[2']]:[c ktrace'[0']]])</f>
        <v>0</v>
      </c>
      <c r="M70">
        <f>SUM(Table13[[#This Row],[a ktrace'[2']]:[a ktrace'[0']]])</f>
        <v>0</v>
      </c>
      <c r="N70">
        <f>SUM(Table13[[#This Row],[g ktrace'[2']]:[g ktrace'[0']]])</f>
        <v>0</v>
      </c>
      <c r="O70">
        <f>SUM(Table13[[#This Row],[t ktrace'[2']]:[t ktrace'[0']]])</f>
        <v>0</v>
      </c>
      <c r="P70">
        <f xml:space="preserve"> IF(Table13[[#This Row],[dye'[2']]]=3, Table13[[#This Row],[strength'[2']]], 0)</f>
        <v>0</v>
      </c>
      <c r="Q70">
        <f xml:space="preserve"> IF(Table13[[#This Row],[dye'[1']]]=3, Table13[[#This Row],[strength'[1']]], 0)</f>
        <v>0</v>
      </c>
      <c r="R70">
        <f xml:space="preserve"> IF(Table13[[#This Row],[dye'[0']]]=3, Table13[[#This Row],[strength'[0']]], 0)</f>
        <v>0</v>
      </c>
      <c r="S70">
        <f xml:space="preserve"> IF(Table13[[#This Row],[dye'[2']]]=2, Table13[[#This Row],[strength'[2']]], 0)</f>
        <v>0</v>
      </c>
      <c r="T70">
        <f xml:space="preserve"> IF(Table13[[#This Row],[dye'[1']]]=2, Table13[[#This Row],[strength'[1']]], 0)</f>
        <v>0</v>
      </c>
      <c r="U70">
        <f xml:space="preserve"> IF(Table13[[#This Row],[dye'[0']]]=2, Table13[[#This Row],[strength'[0']]], 0)</f>
        <v>0</v>
      </c>
      <c r="V70">
        <f xml:space="preserve"> IF(Table13[[#This Row],[dye'[2']]]=1, Table13[[#This Row],[strength'[2']]], 0)</f>
        <v>0</v>
      </c>
      <c r="W70">
        <f xml:space="preserve"> IF(Table13[[#This Row],[dye'[1']]]=1, Table13[[#This Row],[strength'[1']]], 0)</f>
        <v>0</v>
      </c>
      <c r="X70">
        <f xml:space="preserve"> IF(Table13[[#This Row],[dye'[0']]]=1, Table13[[#This Row],[strength'[0']]], 0)</f>
        <v>0</v>
      </c>
      <c r="Y70">
        <f xml:space="preserve"> IF(Table13[[#This Row],[dye'[2']]]=0, Table13[[#This Row],[strength'[2']]], 0)</f>
        <v>0</v>
      </c>
      <c r="Z70">
        <f xml:space="preserve"> IF(Table13[[#This Row],[dye'[1']]]=0, Table13[[#This Row],[strength'[1']]], 0)</f>
        <v>0</v>
      </c>
      <c r="AA70">
        <f xml:space="preserve"> IF(Table13[[#This Row],[dye'[0']]]=0, Table13[[#This Row],[strength'[0']]], 0)</f>
        <v>0</v>
      </c>
      <c r="AB70">
        <v>0</v>
      </c>
      <c r="AC70">
        <f>MAX($D$2, Table13[[#This Row],[t1'[0']]])</f>
        <v>0</v>
      </c>
      <c r="AD70">
        <v>0</v>
      </c>
      <c r="AE70">
        <f>Table13[[#This Row],[t1'[0']]]+Table13[[#This Row],[dt'[0']]]</f>
        <v>0</v>
      </c>
      <c r="AF70">
        <f>MIN($C$2, Table13[[#This Row],[tf'[0']]])</f>
        <v>0</v>
      </c>
      <c r="AG70">
        <f>Table13[[#This Row],[time2'[0']]]-Table13[[#This Row],[time1'[0']]]</f>
        <v>0</v>
      </c>
      <c r="AH70">
        <v>0</v>
      </c>
      <c r="AI70">
        <f xml:space="preserve"> INDEX(Table3[[#All],[Intensity]], Table13[[#This Row],[int'[0']]]+2)</f>
        <v>0</v>
      </c>
      <c r="AJ70">
        <f>Table13[[#This Row],[duration'[0']]]*Table13[[#This Row],[intensity'[0']]]</f>
        <v>0</v>
      </c>
      <c r="AK70">
        <f>MOD(Table13[[#This Row],[ZMW num]], 4)</f>
        <v>1</v>
      </c>
      <c r="AL70">
        <v>0</v>
      </c>
      <c r="AM70">
        <f>MAX($D$2, Table13[[#This Row],[t1'[1']]])</f>
        <v>0</v>
      </c>
      <c r="AN70">
        <v>0</v>
      </c>
      <c r="AO70">
        <f>Table13[[#This Row],[t1'[1']]]+Table13[[#This Row],[dt'[1']]]</f>
        <v>0</v>
      </c>
      <c r="AP70">
        <f>MIN($C$2, Table13[[#This Row],[tf'[1']]])</f>
        <v>0</v>
      </c>
      <c r="AQ70">
        <f>Table13[[#This Row],[time2'[1']]]-Table13[[#This Row],[time1'[1']]]</f>
        <v>0</v>
      </c>
      <c r="AR70">
        <v>0</v>
      </c>
      <c r="AS70">
        <f xml:space="preserve"> INDEX(Table3[[#All],[Intensity]], Table13[[#This Row],[int'[1']]]+2)</f>
        <v>0</v>
      </c>
      <c r="AT70">
        <f>Table13[[#This Row],[duration'[1']]]*Table13[[#This Row],[intensity'[1']]]</f>
        <v>0</v>
      </c>
      <c r="AU70">
        <f>MOD(Table13[[#This Row],[ZMW num]]+1, 4)</f>
        <v>2</v>
      </c>
      <c r="AV70">
        <v>0</v>
      </c>
      <c r="AW70">
        <f>MAX($D$2, Table13[[#This Row],[t1'[2']]])</f>
        <v>0</v>
      </c>
      <c r="AX70">
        <v>0</v>
      </c>
      <c r="AY70">
        <f>Table13[[#This Row],[t1'[2']]]+Table13[[#This Row],[dt'[2']]]</f>
        <v>0</v>
      </c>
      <c r="AZ70">
        <f>MIN($C$2, Table13[[#This Row],[tf'[2']]])</f>
        <v>0</v>
      </c>
      <c r="BA70">
        <f>Table13[[#This Row],[time2'[2']]]-Table13[[#This Row],[time1'[2']]]</f>
        <v>0</v>
      </c>
      <c r="BB70">
        <v>0</v>
      </c>
      <c r="BC70">
        <f xml:space="preserve"> INDEX(Table3[[#All],[Intensity]], Table13[[#This Row],[int'[2']]]+2)</f>
        <v>0</v>
      </c>
      <c r="BD70">
        <f>Table13[[#This Row],[duration'[2']]]*Table13[[#This Row],[intensity'[2']]]</f>
        <v>0</v>
      </c>
      <c r="BE70">
        <f>MOD(Table13[[#This Row],[ZMW num]]+2, 4)</f>
        <v>3</v>
      </c>
      <c r="BF70" s="2" t="str">
        <f>Single2String(Table13[[#This Row],[t1'[0']]])</f>
        <v>00000000</v>
      </c>
      <c r="BG70" s="1" t="str">
        <f>Single2String(Table13[[#This Row],[dt'[0']]])</f>
        <v>00000000</v>
      </c>
      <c r="BH70" s="1" t="str">
        <f>Single2String(Table13[[#This Row],[t1'[1']]])</f>
        <v>00000000</v>
      </c>
      <c r="BI70" s="1" t="str">
        <f>Single2String(Table13[[#This Row],[dt'[1']]])</f>
        <v>00000000</v>
      </c>
      <c r="BJ70" s="1" t="str">
        <f>Single2String(Table13[[#This Row],[t1'[2']]])</f>
        <v>00000000</v>
      </c>
      <c r="BK70" s="1" t="str">
        <f>Single2String(Table13[[#This Row],[dt'[2']]])</f>
        <v>00000000</v>
      </c>
      <c r="BL70" s="1" t="str">
        <f>DEC2HEX(Table13[[#This Row],[ZMW num]], 6)</f>
        <v>000041</v>
      </c>
      <c r="BM70" s="1">
        <f>LEN(Table13[[#This Row],[DRAM data]])</f>
        <v>64</v>
      </c>
      <c r="BN7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0000000000000000000000000000000000000000000000001020300000004100</v>
      </c>
      <c r="CU70"/>
    </row>
    <row r="71" spans="1:99" x14ac:dyDescent="0.25">
      <c r="A71" t="str">
        <f>Single2String(Table13[[#This Row],[duration'[0']]])</f>
        <v>00000000</v>
      </c>
      <c r="B71" t="str">
        <f>Single2String(Table13[[#This Row],[duration'[1']]])</f>
        <v>00000000</v>
      </c>
      <c r="C71" t="str">
        <f>Single2String(Table13[[#This Row],[duration'[2']]])</f>
        <v>00000000</v>
      </c>
      <c r="D71" t="str">
        <f>INDEX(Table3[Hex], Table13[[#This Row],[int'[0']]]+1)</f>
        <v>00000000</v>
      </c>
      <c r="E71" t="str">
        <f>INDEX(Table3[Hex], Table13[[#This Row],[int'[1']]]+1)</f>
        <v>00000000</v>
      </c>
      <c r="F71" t="str">
        <f>INDEX(Table3[Hex], Table13[[#This Row],[int'[1']]]+1)</f>
        <v>00000000</v>
      </c>
      <c r="G71" t="str">
        <f>Single2String(Table13[[#This Row],[c ktrace]])</f>
        <v>00000000</v>
      </c>
      <c r="H71" t="str">
        <f>Single2String(Table13[[#This Row],[a ktrace]])</f>
        <v>00000000</v>
      </c>
      <c r="I71" t="str">
        <f>Single2String(Table13[[#This Row],[g ktrace]])</f>
        <v>00000000</v>
      </c>
      <c r="J71" t="str">
        <f>Single2String(Table13[[#This Row],[t ktrace]])</f>
        <v>00000000</v>
      </c>
      <c r="K71" s="3">
        <v>66</v>
      </c>
      <c r="L71">
        <f>SUM(Table13[[#This Row],[c ktrace'[2']]:[c ktrace'[0']]])</f>
        <v>0</v>
      </c>
      <c r="M71">
        <f>SUM(Table13[[#This Row],[a ktrace'[2']]:[a ktrace'[0']]])</f>
        <v>0</v>
      </c>
      <c r="N71">
        <f>SUM(Table13[[#This Row],[g ktrace'[2']]:[g ktrace'[0']]])</f>
        <v>0</v>
      </c>
      <c r="O71">
        <f>SUM(Table13[[#This Row],[t ktrace'[2']]:[t ktrace'[0']]])</f>
        <v>0</v>
      </c>
      <c r="P71">
        <f xml:space="preserve"> IF(Table13[[#This Row],[dye'[2']]]=3, Table13[[#This Row],[strength'[2']]], 0)</f>
        <v>0</v>
      </c>
      <c r="Q71">
        <f xml:space="preserve"> IF(Table13[[#This Row],[dye'[1']]]=3, Table13[[#This Row],[strength'[1']]], 0)</f>
        <v>0</v>
      </c>
      <c r="R71">
        <f xml:space="preserve"> IF(Table13[[#This Row],[dye'[0']]]=3, Table13[[#This Row],[strength'[0']]], 0)</f>
        <v>0</v>
      </c>
      <c r="S71">
        <f xml:space="preserve"> IF(Table13[[#This Row],[dye'[2']]]=2, Table13[[#This Row],[strength'[2']]], 0)</f>
        <v>0</v>
      </c>
      <c r="T71">
        <f xml:space="preserve"> IF(Table13[[#This Row],[dye'[1']]]=2, Table13[[#This Row],[strength'[1']]], 0)</f>
        <v>0</v>
      </c>
      <c r="U71">
        <f xml:space="preserve"> IF(Table13[[#This Row],[dye'[0']]]=2, Table13[[#This Row],[strength'[0']]], 0)</f>
        <v>0</v>
      </c>
      <c r="V71">
        <f xml:space="preserve"> IF(Table13[[#This Row],[dye'[2']]]=1, Table13[[#This Row],[strength'[2']]], 0)</f>
        <v>0</v>
      </c>
      <c r="W71">
        <f xml:space="preserve"> IF(Table13[[#This Row],[dye'[1']]]=1, Table13[[#This Row],[strength'[1']]], 0)</f>
        <v>0</v>
      </c>
      <c r="X71">
        <f xml:space="preserve"> IF(Table13[[#This Row],[dye'[0']]]=1, Table13[[#This Row],[strength'[0']]], 0)</f>
        <v>0</v>
      </c>
      <c r="Y71">
        <f xml:space="preserve"> IF(Table13[[#This Row],[dye'[2']]]=0, Table13[[#This Row],[strength'[2']]], 0)</f>
        <v>0</v>
      </c>
      <c r="Z71">
        <f xml:space="preserve"> IF(Table13[[#This Row],[dye'[1']]]=0, Table13[[#This Row],[strength'[1']]], 0)</f>
        <v>0</v>
      </c>
      <c r="AA71">
        <f xml:space="preserve"> IF(Table13[[#This Row],[dye'[0']]]=0, Table13[[#This Row],[strength'[0']]], 0)</f>
        <v>0</v>
      </c>
      <c r="AB71">
        <v>0</v>
      </c>
      <c r="AC71">
        <f>MAX($D$2, Table13[[#This Row],[t1'[0']]])</f>
        <v>0</v>
      </c>
      <c r="AD71">
        <v>0</v>
      </c>
      <c r="AE71">
        <f>Table13[[#This Row],[t1'[0']]]+Table13[[#This Row],[dt'[0']]]</f>
        <v>0</v>
      </c>
      <c r="AF71">
        <f>MIN($C$2, Table13[[#This Row],[tf'[0']]])</f>
        <v>0</v>
      </c>
      <c r="AG71">
        <f>Table13[[#This Row],[time2'[0']]]-Table13[[#This Row],[time1'[0']]]</f>
        <v>0</v>
      </c>
      <c r="AH71">
        <v>0</v>
      </c>
      <c r="AI71">
        <f xml:space="preserve"> INDEX(Table3[[#All],[Intensity]], Table13[[#This Row],[int'[0']]]+2)</f>
        <v>0</v>
      </c>
      <c r="AJ71">
        <f>Table13[[#This Row],[duration'[0']]]*Table13[[#This Row],[intensity'[0']]]</f>
        <v>0</v>
      </c>
      <c r="AK71">
        <f>MOD(Table13[[#This Row],[ZMW num]], 4)</f>
        <v>2</v>
      </c>
      <c r="AL71">
        <v>0</v>
      </c>
      <c r="AM71">
        <f>MAX($D$2, Table13[[#This Row],[t1'[1']]])</f>
        <v>0</v>
      </c>
      <c r="AN71">
        <v>0</v>
      </c>
      <c r="AO71">
        <f>Table13[[#This Row],[t1'[1']]]+Table13[[#This Row],[dt'[1']]]</f>
        <v>0</v>
      </c>
      <c r="AP71">
        <f>MIN($C$2, Table13[[#This Row],[tf'[1']]])</f>
        <v>0</v>
      </c>
      <c r="AQ71">
        <f>Table13[[#This Row],[time2'[1']]]-Table13[[#This Row],[time1'[1']]]</f>
        <v>0</v>
      </c>
      <c r="AR71">
        <v>0</v>
      </c>
      <c r="AS71">
        <f xml:space="preserve"> INDEX(Table3[[#All],[Intensity]], Table13[[#This Row],[int'[1']]]+2)</f>
        <v>0</v>
      </c>
      <c r="AT71">
        <f>Table13[[#This Row],[duration'[1']]]*Table13[[#This Row],[intensity'[1']]]</f>
        <v>0</v>
      </c>
      <c r="AU71">
        <f>MOD(Table13[[#This Row],[ZMW num]]+1, 4)</f>
        <v>3</v>
      </c>
      <c r="AV71">
        <v>0</v>
      </c>
      <c r="AW71">
        <f>MAX($D$2, Table13[[#This Row],[t1'[2']]])</f>
        <v>0</v>
      </c>
      <c r="AX71">
        <v>0</v>
      </c>
      <c r="AY71">
        <f>Table13[[#This Row],[t1'[2']]]+Table13[[#This Row],[dt'[2']]]</f>
        <v>0</v>
      </c>
      <c r="AZ71">
        <f>MIN($C$2, Table13[[#This Row],[tf'[2']]])</f>
        <v>0</v>
      </c>
      <c r="BA71">
        <f>Table13[[#This Row],[time2'[2']]]-Table13[[#This Row],[time1'[2']]]</f>
        <v>0</v>
      </c>
      <c r="BB71">
        <v>0</v>
      </c>
      <c r="BC71">
        <f xml:space="preserve"> INDEX(Table3[[#All],[Intensity]], Table13[[#This Row],[int'[2']]]+2)</f>
        <v>0</v>
      </c>
      <c r="BD71">
        <f>Table13[[#This Row],[duration'[2']]]*Table13[[#This Row],[intensity'[2']]]</f>
        <v>0</v>
      </c>
      <c r="BE71">
        <f>MOD(Table13[[#This Row],[ZMW num]]+2, 4)</f>
        <v>0</v>
      </c>
      <c r="BF71" s="2" t="str">
        <f>Single2String(Table13[[#This Row],[t1'[0']]])</f>
        <v>00000000</v>
      </c>
      <c r="BG71" s="1" t="str">
        <f>Single2String(Table13[[#This Row],[dt'[0']]])</f>
        <v>00000000</v>
      </c>
      <c r="BH71" s="1" t="str">
        <f>Single2String(Table13[[#This Row],[t1'[1']]])</f>
        <v>00000000</v>
      </c>
      <c r="BI71" s="1" t="str">
        <f>Single2String(Table13[[#This Row],[dt'[1']]])</f>
        <v>00000000</v>
      </c>
      <c r="BJ71" s="1" t="str">
        <f>Single2String(Table13[[#This Row],[t1'[2']]])</f>
        <v>00000000</v>
      </c>
      <c r="BK71" s="1" t="str">
        <f>Single2String(Table13[[#This Row],[dt'[2']]])</f>
        <v>00000000</v>
      </c>
      <c r="BL71" s="1" t="str">
        <f>DEC2HEX(Table13[[#This Row],[ZMW num]], 6)</f>
        <v>000042</v>
      </c>
      <c r="BM71" s="1">
        <f>LEN(Table13[[#This Row],[DRAM data]])</f>
        <v>64</v>
      </c>
      <c r="BN7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0000000000000000000000000000000000000000000000002030000000004200</v>
      </c>
      <c r="CU71"/>
    </row>
    <row r="72" spans="1:99" x14ac:dyDescent="0.25">
      <c r="A72" t="str">
        <f>Single2String(Table13[[#This Row],[duration'[0']]])</f>
        <v>00000000</v>
      </c>
      <c r="B72" t="str">
        <f>Single2String(Table13[[#This Row],[duration'[1']]])</f>
        <v>00000000</v>
      </c>
      <c r="C72" t="str">
        <f>Single2String(Table13[[#This Row],[duration'[2']]])</f>
        <v>00000000</v>
      </c>
      <c r="D72" t="str">
        <f>INDEX(Table3[Hex], Table13[[#This Row],[int'[0']]]+1)</f>
        <v>00000000</v>
      </c>
      <c r="E72" t="str">
        <f>INDEX(Table3[Hex], Table13[[#This Row],[int'[1']]]+1)</f>
        <v>00000000</v>
      </c>
      <c r="F72" t="str">
        <f>INDEX(Table3[Hex], Table13[[#This Row],[int'[1']]]+1)</f>
        <v>00000000</v>
      </c>
      <c r="G72" t="str">
        <f>Single2String(Table13[[#This Row],[c ktrace]])</f>
        <v>00000000</v>
      </c>
      <c r="H72" t="str">
        <f>Single2String(Table13[[#This Row],[a ktrace]])</f>
        <v>00000000</v>
      </c>
      <c r="I72" t="str">
        <f>Single2String(Table13[[#This Row],[g ktrace]])</f>
        <v>00000000</v>
      </c>
      <c r="J72" t="str">
        <f>Single2String(Table13[[#This Row],[t ktrace]])</f>
        <v>00000000</v>
      </c>
      <c r="K72" s="3">
        <v>67</v>
      </c>
      <c r="L72">
        <f>SUM(Table13[[#This Row],[c ktrace'[2']]:[c ktrace'[0']]])</f>
        <v>0</v>
      </c>
      <c r="M72">
        <f>SUM(Table13[[#This Row],[a ktrace'[2']]:[a ktrace'[0']]])</f>
        <v>0</v>
      </c>
      <c r="N72">
        <f>SUM(Table13[[#This Row],[g ktrace'[2']]:[g ktrace'[0']]])</f>
        <v>0</v>
      </c>
      <c r="O72">
        <f>SUM(Table13[[#This Row],[t ktrace'[2']]:[t ktrace'[0']]])</f>
        <v>0</v>
      </c>
      <c r="P72">
        <f xml:space="preserve"> IF(Table13[[#This Row],[dye'[2']]]=3, Table13[[#This Row],[strength'[2']]], 0)</f>
        <v>0</v>
      </c>
      <c r="Q72">
        <f xml:space="preserve"> IF(Table13[[#This Row],[dye'[1']]]=3, Table13[[#This Row],[strength'[1']]], 0)</f>
        <v>0</v>
      </c>
      <c r="R72">
        <f xml:space="preserve"> IF(Table13[[#This Row],[dye'[0']]]=3, Table13[[#This Row],[strength'[0']]], 0)</f>
        <v>0</v>
      </c>
      <c r="S72">
        <f xml:space="preserve"> IF(Table13[[#This Row],[dye'[2']]]=2, Table13[[#This Row],[strength'[2']]], 0)</f>
        <v>0</v>
      </c>
      <c r="T72">
        <f xml:space="preserve"> IF(Table13[[#This Row],[dye'[1']]]=2, Table13[[#This Row],[strength'[1']]], 0)</f>
        <v>0</v>
      </c>
      <c r="U72">
        <f xml:space="preserve"> IF(Table13[[#This Row],[dye'[0']]]=2, Table13[[#This Row],[strength'[0']]], 0)</f>
        <v>0</v>
      </c>
      <c r="V72">
        <f xml:space="preserve"> IF(Table13[[#This Row],[dye'[2']]]=1, Table13[[#This Row],[strength'[2']]], 0)</f>
        <v>0</v>
      </c>
      <c r="W72">
        <f xml:space="preserve"> IF(Table13[[#This Row],[dye'[1']]]=1, Table13[[#This Row],[strength'[1']]], 0)</f>
        <v>0</v>
      </c>
      <c r="X72">
        <f xml:space="preserve"> IF(Table13[[#This Row],[dye'[0']]]=1, Table13[[#This Row],[strength'[0']]], 0)</f>
        <v>0</v>
      </c>
      <c r="Y72">
        <f xml:space="preserve"> IF(Table13[[#This Row],[dye'[2']]]=0, Table13[[#This Row],[strength'[2']]], 0)</f>
        <v>0</v>
      </c>
      <c r="Z72">
        <f xml:space="preserve"> IF(Table13[[#This Row],[dye'[1']]]=0, Table13[[#This Row],[strength'[1']]], 0)</f>
        <v>0</v>
      </c>
      <c r="AA72">
        <f xml:space="preserve"> IF(Table13[[#This Row],[dye'[0']]]=0, Table13[[#This Row],[strength'[0']]], 0)</f>
        <v>0</v>
      </c>
      <c r="AB72">
        <v>0</v>
      </c>
      <c r="AC72">
        <f>MAX($D$2, Table13[[#This Row],[t1'[0']]])</f>
        <v>0</v>
      </c>
      <c r="AD72">
        <v>0</v>
      </c>
      <c r="AE72">
        <f>Table13[[#This Row],[t1'[0']]]+Table13[[#This Row],[dt'[0']]]</f>
        <v>0</v>
      </c>
      <c r="AF72">
        <f>MIN($C$2, Table13[[#This Row],[tf'[0']]])</f>
        <v>0</v>
      </c>
      <c r="AG72">
        <f>Table13[[#This Row],[time2'[0']]]-Table13[[#This Row],[time1'[0']]]</f>
        <v>0</v>
      </c>
      <c r="AH72">
        <v>0</v>
      </c>
      <c r="AI72">
        <f xml:space="preserve"> INDEX(Table3[[#All],[Intensity]], Table13[[#This Row],[int'[0']]]+2)</f>
        <v>0</v>
      </c>
      <c r="AJ72">
        <f>Table13[[#This Row],[duration'[0']]]*Table13[[#This Row],[intensity'[0']]]</f>
        <v>0</v>
      </c>
      <c r="AK72">
        <f>MOD(Table13[[#This Row],[ZMW num]], 4)</f>
        <v>3</v>
      </c>
      <c r="AL72">
        <v>0</v>
      </c>
      <c r="AM72">
        <f>MAX($D$2, Table13[[#This Row],[t1'[1']]])</f>
        <v>0</v>
      </c>
      <c r="AN72">
        <v>0</v>
      </c>
      <c r="AO72">
        <f>Table13[[#This Row],[t1'[1']]]+Table13[[#This Row],[dt'[1']]]</f>
        <v>0</v>
      </c>
      <c r="AP72">
        <f>MIN($C$2, Table13[[#This Row],[tf'[1']]])</f>
        <v>0</v>
      </c>
      <c r="AQ72">
        <f>Table13[[#This Row],[time2'[1']]]-Table13[[#This Row],[time1'[1']]]</f>
        <v>0</v>
      </c>
      <c r="AR72">
        <v>0</v>
      </c>
      <c r="AS72">
        <f xml:space="preserve"> INDEX(Table3[[#All],[Intensity]], Table13[[#This Row],[int'[1']]]+2)</f>
        <v>0</v>
      </c>
      <c r="AT72">
        <f>Table13[[#This Row],[duration'[1']]]*Table13[[#This Row],[intensity'[1']]]</f>
        <v>0</v>
      </c>
      <c r="AU72">
        <f>MOD(Table13[[#This Row],[ZMW num]]+1, 4)</f>
        <v>0</v>
      </c>
      <c r="AV72">
        <v>0</v>
      </c>
      <c r="AW72">
        <f>MAX($D$2, Table13[[#This Row],[t1'[2']]])</f>
        <v>0</v>
      </c>
      <c r="AX72">
        <v>0</v>
      </c>
      <c r="AY72">
        <f>Table13[[#This Row],[t1'[2']]]+Table13[[#This Row],[dt'[2']]]</f>
        <v>0</v>
      </c>
      <c r="AZ72">
        <f>MIN($C$2, Table13[[#This Row],[tf'[2']]])</f>
        <v>0</v>
      </c>
      <c r="BA72">
        <f>Table13[[#This Row],[time2'[2']]]-Table13[[#This Row],[time1'[2']]]</f>
        <v>0</v>
      </c>
      <c r="BB72">
        <v>0</v>
      </c>
      <c r="BC72">
        <f xml:space="preserve"> INDEX(Table3[[#All],[Intensity]], Table13[[#This Row],[int'[2']]]+2)</f>
        <v>0</v>
      </c>
      <c r="BD72">
        <f>Table13[[#This Row],[duration'[2']]]*Table13[[#This Row],[intensity'[2']]]</f>
        <v>0</v>
      </c>
      <c r="BE72">
        <f>MOD(Table13[[#This Row],[ZMW num]]+2, 4)</f>
        <v>1</v>
      </c>
      <c r="BF72" s="2" t="str">
        <f>Single2String(Table13[[#This Row],[t1'[0']]])</f>
        <v>00000000</v>
      </c>
      <c r="BG72" s="1" t="str">
        <f>Single2String(Table13[[#This Row],[dt'[0']]])</f>
        <v>00000000</v>
      </c>
      <c r="BH72" s="1" t="str">
        <f>Single2String(Table13[[#This Row],[t1'[1']]])</f>
        <v>00000000</v>
      </c>
      <c r="BI72" s="1" t="str">
        <f>Single2String(Table13[[#This Row],[dt'[1']]])</f>
        <v>00000000</v>
      </c>
      <c r="BJ72" s="1" t="str">
        <f>Single2String(Table13[[#This Row],[t1'[2']]])</f>
        <v>00000000</v>
      </c>
      <c r="BK72" s="1" t="str">
        <f>Single2String(Table13[[#This Row],[dt'[2']]])</f>
        <v>00000000</v>
      </c>
      <c r="BL72" s="1" t="str">
        <f>DEC2HEX(Table13[[#This Row],[ZMW num]], 6)</f>
        <v>000043</v>
      </c>
      <c r="BM72" s="1">
        <f>LEN(Table13[[#This Row],[DRAM data]])</f>
        <v>64</v>
      </c>
      <c r="BN7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0000000000000000000000000000000000000000000000003000100000004300</v>
      </c>
      <c r="CU72"/>
    </row>
    <row r="73" spans="1:99" x14ac:dyDescent="0.25">
      <c r="A73" t="str">
        <f>Single2String(Table13[[#This Row],[duration'[0']]])</f>
        <v>00000000</v>
      </c>
      <c r="B73" t="str">
        <f>Single2String(Table13[[#This Row],[duration'[1']]])</f>
        <v>00000000</v>
      </c>
      <c r="C73" t="str">
        <f>Single2String(Table13[[#This Row],[duration'[2']]])</f>
        <v>00000000</v>
      </c>
      <c r="D73" t="str">
        <f>INDEX(Table3[Hex], Table13[[#This Row],[int'[0']]]+1)</f>
        <v>00000000</v>
      </c>
      <c r="E73" t="str">
        <f>INDEX(Table3[Hex], Table13[[#This Row],[int'[1']]]+1)</f>
        <v>00000000</v>
      </c>
      <c r="F73" t="str">
        <f>INDEX(Table3[Hex], Table13[[#This Row],[int'[1']]]+1)</f>
        <v>00000000</v>
      </c>
      <c r="G73" t="str">
        <f>Single2String(Table13[[#This Row],[c ktrace]])</f>
        <v>00000000</v>
      </c>
      <c r="H73" t="str">
        <f>Single2String(Table13[[#This Row],[a ktrace]])</f>
        <v>00000000</v>
      </c>
      <c r="I73" t="str">
        <f>Single2String(Table13[[#This Row],[g ktrace]])</f>
        <v>00000000</v>
      </c>
      <c r="J73" t="str">
        <f>Single2String(Table13[[#This Row],[t ktrace]])</f>
        <v>00000000</v>
      </c>
      <c r="K73" s="3">
        <v>68</v>
      </c>
      <c r="L73">
        <f>SUM(Table13[[#This Row],[c ktrace'[2']]:[c ktrace'[0']]])</f>
        <v>0</v>
      </c>
      <c r="M73">
        <f>SUM(Table13[[#This Row],[a ktrace'[2']]:[a ktrace'[0']]])</f>
        <v>0</v>
      </c>
      <c r="N73">
        <f>SUM(Table13[[#This Row],[g ktrace'[2']]:[g ktrace'[0']]])</f>
        <v>0</v>
      </c>
      <c r="O73">
        <f>SUM(Table13[[#This Row],[t ktrace'[2']]:[t ktrace'[0']]])</f>
        <v>0</v>
      </c>
      <c r="P73">
        <f xml:space="preserve"> IF(Table13[[#This Row],[dye'[2']]]=3, Table13[[#This Row],[strength'[2']]], 0)</f>
        <v>0</v>
      </c>
      <c r="Q73">
        <f xml:space="preserve"> IF(Table13[[#This Row],[dye'[1']]]=3, Table13[[#This Row],[strength'[1']]], 0)</f>
        <v>0</v>
      </c>
      <c r="R73">
        <f xml:space="preserve"> IF(Table13[[#This Row],[dye'[0']]]=3, Table13[[#This Row],[strength'[0']]], 0)</f>
        <v>0</v>
      </c>
      <c r="S73">
        <f xml:space="preserve"> IF(Table13[[#This Row],[dye'[2']]]=2, Table13[[#This Row],[strength'[2']]], 0)</f>
        <v>0</v>
      </c>
      <c r="T73">
        <f xml:space="preserve"> IF(Table13[[#This Row],[dye'[1']]]=2, Table13[[#This Row],[strength'[1']]], 0)</f>
        <v>0</v>
      </c>
      <c r="U73">
        <f xml:space="preserve"> IF(Table13[[#This Row],[dye'[0']]]=2, Table13[[#This Row],[strength'[0']]], 0)</f>
        <v>0</v>
      </c>
      <c r="V73">
        <f xml:space="preserve"> IF(Table13[[#This Row],[dye'[2']]]=1, Table13[[#This Row],[strength'[2']]], 0)</f>
        <v>0</v>
      </c>
      <c r="W73">
        <f xml:space="preserve"> IF(Table13[[#This Row],[dye'[1']]]=1, Table13[[#This Row],[strength'[1']]], 0)</f>
        <v>0</v>
      </c>
      <c r="X73">
        <f xml:space="preserve"> IF(Table13[[#This Row],[dye'[0']]]=1, Table13[[#This Row],[strength'[0']]], 0)</f>
        <v>0</v>
      </c>
      <c r="Y73">
        <f xml:space="preserve"> IF(Table13[[#This Row],[dye'[2']]]=0, Table13[[#This Row],[strength'[2']]], 0)</f>
        <v>0</v>
      </c>
      <c r="Z73">
        <f xml:space="preserve"> IF(Table13[[#This Row],[dye'[1']]]=0, Table13[[#This Row],[strength'[1']]], 0)</f>
        <v>0</v>
      </c>
      <c r="AA73">
        <f xml:space="preserve"> IF(Table13[[#This Row],[dye'[0']]]=0, Table13[[#This Row],[strength'[0']]], 0)</f>
        <v>0</v>
      </c>
      <c r="AB73">
        <v>0</v>
      </c>
      <c r="AC73">
        <f>MAX($D$2, Table13[[#This Row],[t1'[0']]])</f>
        <v>0</v>
      </c>
      <c r="AD73">
        <v>0</v>
      </c>
      <c r="AE73">
        <f>Table13[[#This Row],[t1'[0']]]+Table13[[#This Row],[dt'[0']]]</f>
        <v>0</v>
      </c>
      <c r="AF73">
        <f>MIN($C$2, Table13[[#This Row],[tf'[0']]])</f>
        <v>0</v>
      </c>
      <c r="AG73">
        <f>Table13[[#This Row],[time2'[0']]]-Table13[[#This Row],[time1'[0']]]</f>
        <v>0</v>
      </c>
      <c r="AH73">
        <v>0</v>
      </c>
      <c r="AI73">
        <f xml:space="preserve"> INDEX(Table3[[#All],[Intensity]], Table13[[#This Row],[int'[0']]]+2)</f>
        <v>0</v>
      </c>
      <c r="AJ73">
        <f>Table13[[#This Row],[duration'[0']]]*Table13[[#This Row],[intensity'[0']]]</f>
        <v>0</v>
      </c>
      <c r="AK73">
        <f>MOD(Table13[[#This Row],[ZMW num]], 4)</f>
        <v>0</v>
      </c>
      <c r="AL73">
        <v>0</v>
      </c>
      <c r="AM73">
        <f>MAX($D$2, Table13[[#This Row],[t1'[1']]])</f>
        <v>0</v>
      </c>
      <c r="AN73">
        <v>0</v>
      </c>
      <c r="AO73">
        <f>Table13[[#This Row],[t1'[1']]]+Table13[[#This Row],[dt'[1']]]</f>
        <v>0</v>
      </c>
      <c r="AP73">
        <f>MIN($C$2, Table13[[#This Row],[tf'[1']]])</f>
        <v>0</v>
      </c>
      <c r="AQ73">
        <f>Table13[[#This Row],[time2'[1']]]-Table13[[#This Row],[time1'[1']]]</f>
        <v>0</v>
      </c>
      <c r="AR73">
        <v>0</v>
      </c>
      <c r="AS73">
        <f xml:space="preserve"> INDEX(Table3[[#All],[Intensity]], Table13[[#This Row],[int'[1']]]+2)</f>
        <v>0</v>
      </c>
      <c r="AT73">
        <f>Table13[[#This Row],[duration'[1']]]*Table13[[#This Row],[intensity'[1']]]</f>
        <v>0</v>
      </c>
      <c r="AU73">
        <f>MOD(Table13[[#This Row],[ZMW num]]+1, 4)</f>
        <v>1</v>
      </c>
      <c r="AV73">
        <v>0</v>
      </c>
      <c r="AW73">
        <f>MAX($D$2, Table13[[#This Row],[t1'[2']]])</f>
        <v>0</v>
      </c>
      <c r="AX73">
        <v>0</v>
      </c>
      <c r="AY73">
        <f>Table13[[#This Row],[t1'[2']]]+Table13[[#This Row],[dt'[2']]]</f>
        <v>0</v>
      </c>
      <c r="AZ73">
        <f>MIN($C$2, Table13[[#This Row],[tf'[2']]])</f>
        <v>0</v>
      </c>
      <c r="BA73">
        <f>Table13[[#This Row],[time2'[2']]]-Table13[[#This Row],[time1'[2']]]</f>
        <v>0</v>
      </c>
      <c r="BB73">
        <v>0</v>
      </c>
      <c r="BC73">
        <f xml:space="preserve"> INDEX(Table3[[#All],[Intensity]], Table13[[#This Row],[int'[2']]]+2)</f>
        <v>0</v>
      </c>
      <c r="BD73">
        <f>Table13[[#This Row],[duration'[2']]]*Table13[[#This Row],[intensity'[2']]]</f>
        <v>0</v>
      </c>
      <c r="BE73">
        <f>MOD(Table13[[#This Row],[ZMW num]]+2, 4)</f>
        <v>2</v>
      </c>
      <c r="BF73" s="2" t="str">
        <f>Single2String(Table13[[#This Row],[t1'[0']]])</f>
        <v>00000000</v>
      </c>
      <c r="BG73" s="1" t="str">
        <f>Single2String(Table13[[#This Row],[dt'[0']]])</f>
        <v>00000000</v>
      </c>
      <c r="BH73" s="1" t="str">
        <f>Single2String(Table13[[#This Row],[t1'[1']]])</f>
        <v>00000000</v>
      </c>
      <c r="BI73" s="1" t="str">
        <f>Single2String(Table13[[#This Row],[dt'[1']]])</f>
        <v>00000000</v>
      </c>
      <c r="BJ73" s="1" t="str">
        <f>Single2String(Table13[[#This Row],[t1'[2']]])</f>
        <v>00000000</v>
      </c>
      <c r="BK73" s="1" t="str">
        <f>Single2String(Table13[[#This Row],[dt'[2']]])</f>
        <v>00000000</v>
      </c>
      <c r="BL73" s="1" t="str">
        <f>DEC2HEX(Table13[[#This Row],[ZMW num]], 6)</f>
        <v>000044</v>
      </c>
      <c r="BM73" s="1">
        <f>LEN(Table13[[#This Row],[DRAM data]])</f>
        <v>64</v>
      </c>
      <c r="BN7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0000000000000000000000000000000000000000000000000010200000004400</v>
      </c>
      <c r="CU73"/>
    </row>
    <row r="74" spans="1:99" x14ac:dyDescent="0.25">
      <c r="A74" t="str">
        <f>Single2String(Table13[[#This Row],[duration'[0']]])</f>
        <v>00000000</v>
      </c>
      <c r="B74" t="str">
        <f>Single2String(Table13[[#This Row],[duration'[1']]])</f>
        <v>00000000</v>
      </c>
      <c r="C74" t="str">
        <f>Single2String(Table13[[#This Row],[duration'[2']]])</f>
        <v>00000000</v>
      </c>
      <c r="D74" t="str">
        <f>INDEX(Table3[Hex], Table13[[#This Row],[int'[0']]]+1)</f>
        <v>00000000</v>
      </c>
      <c r="E74" t="str">
        <f>INDEX(Table3[Hex], Table13[[#This Row],[int'[1']]]+1)</f>
        <v>00000000</v>
      </c>
      <c r="F74" t="str">
        <f>INDEX(Table3[Hex], Table13[[#This Row],[int'[1']]]+1)</f>
        <v>00000000</v>
      </c>
      <c r="G74" t="str">
        <f>Single2String(Table13[[#This Row],[c ktrace]])</f>
        <v>00000000</v>
      </c>
      <c r="H74" t="str">
        <f>Single2String(Table13[[#This Row],[a ktrace]])</f>
        <v>00000000</v>
      </c>
      <c r="I74" t="str">
        <f>Single2String(Table13[[#This Row],[g ktrace]])</f>
        <v>00000000</v>
      </c>
      <c r="J74" t="str">
        <f>Single2String(Table13[[#This Row],[t ktrace]])</f>
        <v>00000000</v>
      </c>
      <c r="K74" s="3">
        <v>69</v>
      </c>
      <c r="L74">
        <f>SUM(Table13[[#This Row],[c ktrace'[2']]:[c ktrace'[0']]])</f>
        <v>0</v>
      </c>
      <c r="M74">
        <f>SUM(Table13[[#This Row],[a ktrace'[2']]:[a ktrace'[0']]])</f>
        <v>0</v>
      </c>
      <c r="N74">
        <f>SUM(Table13[[#This Row],[g ktrace'[2']]:[g ktrace'[0']]])</f>
        <v>0</v>
      </c>
      <c r="O74">
        <f>SUM(Table13[[#This Row],[t ktrace'[2']]:[t ktrace'[0']]])</f>
        <v>0</v>
      </c>
      <c r="P74">
        <f xml:space="preserve"> IF(Table13[[#This Row],[dye'[2']]]=3, Table13[[#This Row],[strength'[2']]], 0)</f>
        <v>0</v>
      </c>
      <c r="Q74">
        <f xml:space="preserve"> IF(Table13[[#This Row],[dye'[1']]]=3, Table13[[#This Row],[strength'[1']]], 0)</f>
        <v>0</v>
      </c>
      <c r="R74">
        <f xml:space="preserve"> IF(Table13[[#This Row],[dye'[0']]]=3, Table13[[#This Row],[strength'[0']]], 0)</f>
        <v>0</v>
      </c>
      <c r="S74">
        <f xml:space="preserve"> IF(Table13[[#This Row],[dye'[2']]]=2, Table13[[#This Row],[strength'[2']]], 0)</f>
        <v>0</v>
      </c>
      <c r="T74">
        <f xml:space="preserve"> IF(Table13[[#This Row],[dye'[1']]]=2, Table13[[#This Row],[strength'[1']]], 0)</f>
        <v>0</v>
      </c>
      <c r="U74">
        <f xml:space="preserve"> IF(Table13[[#This Row],[dye'[0']]]=2, Table13[[#This Row],[strength'[0']]], 0)</f>
        <v>0</v>
      </c>
      <c r="V74">
        <f xml:space="preserve"> IF(Table13[[#This Row],[dye'[2']]]=1, Table13[[#This Row],[strength'[2']]], 0)</f>
        <v>0</v>
      </c>
      <c r="W74">
        <f xml:space="preserve"> IF(Table13[[#This Row],[dye'[1']]]=1, Table13[[#This Row],[strength'[1']]], 0)</f>
        <v>0</v>
      </c>
      <c r="X74">
        <f xml:space="preserve"> IF(Table13[[#This Row],[dye'[0']]]=1, Table13[[#This Row],[strength'[0']]], 0)</f>
        <v>0</v>
      </c>
      <c r="Y74">
        <f xml:space="preserve"> IF(Table13[[#This Row],[dye'[2']]]=0, Table13[[#This Row],[strength'[2']]], 0)</f>
        <v>0</v>
      </c>
      <c r="Z74">
        <f xml:space="preserve"> IF(Table13[[#This Row],[dye'[1']]]=0, Table13[[#This Row],[strength'[1']]], 0)</f>
        <v>0</v>
      </c>
      <c r="AA74">
        <f xml:space="preserve"> IF(Table13[[#This Row],[dye'[0']]]=0, Table13[[#This Row],[strength'[0']]], 0)</f>
        <v>0</v>
      </c>
      <c r="AB74">
        <v>0</v>
      </c>
      <c r="AC74">
        <f>MAX($D$2, Table13[[#This Row],[t1'[0']]])</f>
        <v>0</v>
      </c>
      <c r="AD74">
        <v>0</v>
      </c>
      <c r="AE74">
        <f>Table13[[#This Row],[t1'[0']]]+Table13[[#This Row],[dt'[0']]]</f>
        <v>0</v>
      </c>
      <c r="AF74">
        <f>MIN($C$2, Table13[[#This Row],[tf'[0']]])</f>
        <v>0</v>
      </c>
      <c r="AG74">
        <f>Table13[[#This Row],[time2'[0']]]-Table13[[#This Row],[time1'[0']]]</f>
        <v>0</v>
      </c>
      <c r="AH74">
        <v>0</v>
      </c>
      <c r="AI74">
        <f xml:space="preserve"> INDEX(Table3[[#All],[Intensity]], Table13[[#This Row],[int'[0']]]+2)</f>
        <v>0</v>
      </c>
      <c r="AJ74">
        <f>Table13[[#This Row],[duration'[0']]]*Table13[[#This Row],[intensity'[0']]]</f>
        <v>0</v>
      </c>
      <c r="AK74">
        <f>MOD(Table13[[#This Row],[ZMW num]], 4)</f>
        <v>1</v>
      </c>
      <c r="AL74">
        <v>0</v>
      </c>
      <c r="AM74">
        <f>MAX($D$2, Table13[[#This Row],[t1'[1']]])</f>
        <v>0</v>
      </c>
      <c r="AN74">
        <v>0</v>
      </c>
      <c r="AO74">
        <f>Table13[[#This Row],[t1'[1']]]+Table13[[#This Row],[dt'[1']]]</f>
        <v>0</v>
      </c>
      <c r="AP74">
        <f>MIN($C$2, Table13[[#This Row],[tf'[1']]])</f>
        <v>0</v>
      </c>
      <c r="AQ74">
        <f>Table13[[#This Row],[time2'[1']]]-Table13[[#This Row],[time1'[1']]]</f>
        <v>0</v>
      </c>
      <c r="AR74">
        <v>0</v>
      </c>
      <c r="AS74">
        <f xml:space="preserve"> INDEX(Table3[[#All],[Intensity]], Table13[[#This Row],[int'[1']]]+2)</f>
        <v>0</v>
      </c>
      <c r="AT74">
        <f>Table13[[#This Row],[duration'[1']]]*Table13[[#This Row],[intensity'[1']]]</f>
        <v>0</v>
      </c>
      <c r="AU74">
        <f>MOD(Table13[[#This Row],[ZMW num]]+1, 4)</f>
        <v>2</v>
      </c>
      <c r="AV74">
        <v>0</v>
      </c>
      <c r="AW74">
        <f>MAX($D$2, Table13[[#This Row],[t1'[2']]])</f>
        <v>0</v>
      </c>
      <c r="AX74">
        <v>0</v>
      </c>
      <c r="AY74">
        <f>Table13[[#This Row],[t1'[2']]]+Table13[[#This Row],[dt'[2']]]</f>
        <v>0</v>
      </c>
      <c r="AZ74">
        <f>MIN($C$2, Table13[[#This Row],[tf'[2']]])</f>
        <v>0</v>
      </c>
      <c r="BA74">
        <f>Table13[[#This Row],[time2'[2']]]-Table13[[#This Row],[time1'[2']]]</f>
        <v>0</v>
      </c>
      <c r="BB74">
        <v>0</v>
      </c>
      <c r="BC74">
        <f xml:space="preserve"> INDEX(Table3[[#All],[Intensity]], Table13[[#This Row],[int'[2']]]+2)</f>
        <v>0</v>
      </c>
      <c r="BD74">
        <f>Table13[[#This Row],[duration'[2']]]*Table13[[#This Row],[intensity'[2']]]</f>
        <v>0</v>
      </c>
      <c r="BE74">
        <f>MOD(Table13[[#This Row],[ZMW num]]+2, 4)</f>
        <v>3</v>
      </c>
      <c r="BF74" s="2" t="str">
        <f>Single2String(Table13[[#This Row],[t1'[0']]])</f>
        <v>00000000</v>
      </c>
      <c r="BG74" s="1" t="str">
        <f>Single2String(Table13[[#This Row],[dt'[0']]])</f>
        <v>00000000</v>
      </c>
      <c r="BH74" s="1" t="str">
        <f>Single2String(Table13[[#This Row],[t1'[1']]])</f>
        <v>00000000</v>
      </c>
      <c r="BI74" s="1" t="str">
        <f>Single2String(Table13[[#This Row],[dt'[1']]])</f>
        <v>00000000</v>
      </c>
      <c r="BJ74" s="1" t="str">
        <f>Single2String(Table13[[#This Row],[t1'[2']]])</f>
        <v>00000000</v>
      </c>
      <c r="BK74" s="1" t="str">
        <f>Single2String(Table13[[#This Row],[dt'[2']]])</f>
        <v>00000000</v>
      </c>
      <c r="BL74" s="1" t="str">
        <f>DEC2HEX(Table13[[#This Row],[ZMW num]], 6)</f>
        <v>000045</v>
      </c>
      <c r="BM74" s="1">
        <f>LEN(Table13[[#This Row],[DRAM data]])</f>
        <v>64</v>
      </c>
      <c r="BN7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0000000000000000000000000000000000000000000000001020300000004500</v>
      </c>
      <c r="CU74"/>
    </row>
    <row r="75" spans="1:99" x14ac:dyDescent="0.25">
      <c r="A75" t="str">
        <f>Single2String(Table13[[#This Row],[duration'[0']]])</f>
        <v>00000000</v>
      </c>
      <c r="B75" t="str">
        <f>Single2String(Table13[[#This Row],[duration'[1']]])</f>
        <v>00000000</v>
      </c>
      <c r="C75" t="str">
        <f>Single2String(Table13[[#This Row],[duration'[2']]])</f>
        <v>00000000</v>
      </c>
      <c r="D75" t="str">
        <f>INDEX(Table3[Hex], Table13[[#This Row],[int'[0']]]+1)</f>
        <v>00000000</v>
      </c>
      <c r="E75" t="str">
        <f>INDEX(Table3[Hex], Table13[[#This Row],[int'[1']]]+1)</f>
        <v>00000000</v>
      </c>
      <c r="F75" t="str">
        <f>INDEX(Table3[Hex], Table13[[#This Row],[int'[1']]]+1)</f>
        <v>00000000</v>
      </c>
      <c r="G75" t="str">
        <f>Single2String(Table13[[#This Row],[c ktrace]])</f>
        <v>00000000</v>
      </c>
      <c r="H75" t="str">
        <f>Single2String(Table13[[#This Row],[a ktrace]])</f>
        <v>00000000</v>
      </c>
      <c r="I75" t="str">
        <f>Single2String(Table13[[#This Row],[g ktrace]])</f>
        <v>00000000</v>
      </c>
      <c r="J75" t="str">
        <f>Single2String(Table13[[#This Row],[t ktrace]])</f>
        <v>00000000</v>
      </c>
      <c r="K75" s="3">
        <v>70</v>
      </c>
      <c r="L75">
        <f>SUM(Table13[[#This Row],[c ktrace'[2']]:[c ktrace'[0']]])</f>
        <v>0</v>
      </c>
      <c r="M75">
        <f>SUM(Table13[[#This Row],[a ktrace'[2']]:[a ktrace'[0']]])</f>
        <v>0</v>
      </c>
      <c r="N75">
        <f>SUM(Table13[[#This Row],[g ktrace'[2']]:[g ktrace'[0']]])</f>
        <v>0</v>
      </c>
      <c r="O75">
        <f>SUM(Table13[[#This Row],[t ktrace'[2']]:[t ktrace'[0']]])</f>
        <v>0</v>
      </c>
      <c r="P75">
        <f xml:space="preserve"> IF(Table13[[#This Row],[dye'[2']]]=3, Table13[[#This Row],[strength'[2']]], 0)</f>
        <v>0</v>
      </c>
      <c r="Q75">
        <f xml:space="preserve"> IF(Table13[[#This Row],[dye'[1']]]=3, Table13[[#This Row],[strength'[1']]], 0)</f>
        <v>0</v>
      </c>
      <c r="R75">
        <f xml:space="preserve"> IF(Table13[[#This Row],[dye'[0']]]=3, Table13[[#This Row],[strength'[0']]], 0)</f>
        <v>0</v>
      </c>
      <c r="S75">
        <f xml:space="preserve"> IF(Table13[[#This Row],[dye'[2']]]=2, Table13[[#This Row],[strength'[2']]], 0)</f>
        <v>0</v>
      </c>
      <c r="T75">
        <f xml:space="preserve"> IF(Table13[[#This Row],[dye'[1']]]=2, Table13[[#This Row],[strength'[1']]], 0)</f>
        <v>0</v>
      </c>
      <c r="U75">
        <f xml:space="preserve"> IF(Table13[[#This Row],[dye'[0']]]=2, Table13[[#This Row],[strength'[0']]], 0)</f>
        <v>0</v>
      </c>
      <c r="V75">
        <f xml:space="preserve"> IF(Table13[[#This Row],[dye'[2']]]=1, Table13[[#This Row],[strength'[2']]], 0)</f>
        <v>0</v>
      </c>
      <c r="W75">
        <f xml:space="preserve"> IF(Table13[[#This Row],[dye'[1']]]=1, Table13[[#This Row],[strength'[1']]], 0)</f>
        <v>0</v>
      </c>
      <c r="X75">
        <f xml:space="preserve"> IF(Table13[[#This Row],[dye'[0']]]=1, Table13[[#This Row],[strength'[0']]], 0)</f>
        <v>0</v>
      </c>
      <c r="Y75">
        <f xml:space="preserve"> IF(Table13[[#This Row],[dye'[2']]]=0, Table13[[#This Row],[strength'[2']]], 0)</f>
        <v>0</v>
      </c>
      <c r="Z75">
        <f xml:space="preserve"> IF(Table13[[#This Row],[dye'[1']]]=0, Table13[[#This Row],[strength'[1']]], 0)</f>
        <v>0</v>
      </c>
      <c r="AA75">
        <f xml:space="preserve"> IF(Table13[[#This Row],[dye'[0']]]=0, Table13[[#This Row],[strength'[0']]], 0)</f>
        <v>0</v>
      </c>
      <c r="AB75">
        <v>0</v>
      </c>
      <c r="AC75">
        <f>MAX($D$2, Table13[[#This Row],[t1'[0']]])</f>
        <v>0</v>
      </c>
      <c r="AD75">
        <v>0</v>
      </c>
      <c r="AE75">
        <f>Table13[[#This Row],[t1'[0']]]+Table13[[#This Row],[dt'[0']]]</f>
        <v>0</v>
      </c>
      <c r="AF75">
        <f>MIN($C$2, Table13[[#This Row],[tf'[0']]])</f>
        <v>0</v>
      </c>
      <c r="AG75">
        <f>Table13[[#This Row],[time2'[0']]]-Table13[[#This Row],[time1'[0']]]</f>
        <v>0</v>
      </c>
      <c r="AH75">
        <v>0</v>
      </c>
      <c r="AI75">
        <f xml:space="preserve"> INDEX(Table3[[#All],[Intensity]], Table13[[#This Row],[int'[0']]]+2)</f>
        <v>0</v>
      </c>
      <c r="AJ75">
        <f>Table13[[#This Row],[duration'[0']]]*Table13[[#This Row],[intensity'[0']]]</f>
        <v>0</v>
      </c>
      <c r="AK75">
        <f>MOD(Table13[[#This Row],[ZMW num]], 4)</f>
        <v>2</v>
      </c>
      <c r="AL75">
        <v>0</v>
      </c>
      <c r="AM75">
        <f>MAX($D$2, Table13[[#This Row],[t1'[1']]])</f>
        <v>0</v>
      </c>
      <c r="AN75">
        <v>0</v>
      </c>
      <c r="AO75">
        <f>Table13[[#This Row],[t1'[1']]]+Table13[[#This Row],[dt'[1']]]</f>
        <v>0</v>
      </c>
      <c r="AP75">
        <f>MIN($C$2, Table13[[#This Row],[tf'[1']]])</f>
        <v>0</v>
      </c>
      <c r="AQ75">
        <f>Table13[[#This Row],[time2'[1']]]-Table13[[#This Row],[time1'[1']]]</f>
        <v>0</v>
      </c>
      <c r="AR75">
        <v>0</v>
      </c>
      <c r="AS75">
        <f xml:space="preserve"> INDEX(Table3[[#All],[Intensity]], Table13[[#This Row],[int'[1']]]+2)</f>
        <v>0</v>
      </c>
      <c r="AT75">
        <f>Table13[[#This Row],[duration'[1']]]*Table13[[#This Row],[intensity'[1']]]</f>
        <v>0</v>
      </c>
      <c r="AU75">
        <f>MOD(Table13[[#This Row],[ZMW num]]+1, 4)</f>
        <v>3</v>
      </c>
      <c r="AV75">
        <v>0</v>
      </c>
      <c r="AW75">
        <f>MAX($D$2, Table13[[#This Row],[t1'[2']]])</f>
        <v>0</v>
      </c>
      <c r="AX75">
        <v>0</v>
      </c>
      <c r="AY75">
        <f>Table13[[#This Row],[t1'[2']]]+Table13[[#This Row],[dt'[2']]]</f>
        <v>0</v>
      </c>
      <c r="AZ75">
        <f>MIN($C$2, Table13[[#This Row],[tf'[2']]])</f>
        <v>0</v>
      </c>
      <c r="BA75">
        <f>Table13[[#This Row],[time2'[2']]]-Table13[[#This Row],[time1'[2']]]</f>
        <v>0</v>
      </c>
      <c r="BB75">
        <v>0</v>
      </c>
      <c r="BC75">
        <f xml:space="preserve"> INDEX(Table3[[#All],[Intensity]], Table13[[#This Row],[int'[2']]]+2)</f>
        <v>0</v>
      </c>
      <c r="BD75">
        <f>Table13[[#This Row],[duration'[2']]]*Table13[[#This Row],[intensity'[2']]]</f>
        <v>0</v>
      </c>
      <c r="BE75">
        <f>MOD(Table13[[#This Row],[ZMW num]]+2, 4)</f>
        <v>0</v>
      </c>
      <c r="BF75" s="2" t="str">
        <f>Single2String(Table13[[#This Row],[t1'[0']]])</f>
        <v>00000000</v>
      </c>
      <c r="BG75" s="1" t="str">
        <f>Single2String(Table13[[#This Row],[dt'[0']]])</f>
        <v>00000000</v>
      </c>
      <c r="BH75" s="1" t="str">
        <f>Single2String(Table13[[#This Row],[t1'[1']]])</f>
        <v>00000000</v>
      </c>
      <c r="BI75" s="1" t="str">
        <f>Single2String(Table13[[#This Row],[dt'[1']]])</f>
        <v>00000000</v>
      </c>
      <c r="BJ75" s="1" t="str">
        <f>Single2String(Table13[[#This Row],[t1'[2']]])</f>
        <v>00000000</v>
      </c>
      <c r="BK75" s="1" t="str">
        <f>Single2String(Table13[[#This Row],[dt'[2']]])</f>
        <v>00000000</v>
      </c>
      <c r="BL75" s="1" t="str">
        <f>DEC2HEX(Table13[[#This Row],[ZMW num]], 6)</f>
        <v>000046</v>
      </c>
      <c r="BM75" s="1">
        <f>LEN(Table13[[#This Row],[DRAM data]])</f>
        <v>64</v>
      </c>
      <c r="BN7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0000000000000000000000000000000000000000000000002030000000004600</v>
      </c>
      <c r="CU75"/>
    </row>
    <row r="76" spans="1:99" x14ac:dyDescent="0.25">
      <c r="A76" t="str">
        <f>Single2String(Table13[[#This Row],[duration'[0']]])</f>
        <v>00000000</v>
      </c>
      <c r="B76" t="str">
        <f>Single2String(Table13[[#This Row],[duration'[1']]])</f>
        <v>00000000</v>
      </c>
      <c r="C76" t="str">
        <f>Single2String(Table13[[#This Row],[duration'[2']]])</f>
        <v>00000000</v>
      </c>
      <c r="D76" t="str">
        <f>INDEX(Table3[Hex], Table13[[#This Row],[int'[0']]]+1)</f>
        <v>00000000</v>
      </c>
      <c r="E76" t="str">
        <f>INDEX(Table3[Hex], Table13[[#This Row],[int'[1']]]+1)</f>
        <v>00000000</v>
      </c>
      <c r="F76" t="str">
        <f>INDEX(Table3[Hex], Table13[[#This Row],[int'[1']]]+1)</f>
        <v>00000000</v>
      </c>
      <c r="G76" t="str">
        <f>Single2String(Table13[[#This Row],[c ktrace]])</f>
        <v>00000000</v>
      </c>
      <c r="H76" t="str">
        <f>Single2String(Table13[[#This Row],[a ktrace]])</f>
        <v>00000000</v>
      </c>
      <c r="I76" t="str">
        <f>Single2String(Table13[[#This Row],[g ktrace]])</f>
        <v>00000000</v>
      </c>
      <c r="J76" t="str">
        <f>Single2String(Table13[[#This Row],[t ktrace]])</f>
        <v>00000000</v>
      </c>
      <c r="K76" s="3">
        <v>71</v>
      </c>
      <c r="L76">
        <f>SUM(Table13[[#This Row],[c ktrace'[2']]:[c ktrace'[0']]])</f>
        <v>0</v>
      </c>
      <c r="M76">
        <f>SUM(Table13[[#This Row],[a ktrace'[2']]:[a ktrace'[0']]])</f>
        <v>0</v>
      </c>
      <c r="N76">
        <f>SUM(Table13[[#This Row],[g ktrace'[2']]:[g ktrace'[0']]])</f>
        <v>0</v>
      </c>
      <c r="O76">
        <f>SUM(Table13[[#This Row],[t ktrace'[2']]:[t ktrace'[0']]])</f>
        <v>0</v>
      </c>
      <c r="P76">
        <f xml:space="preserve"> IF(Table13[[#This Row],[dye'[2']]]=3, Table13[[#This Row],[strength'[2']]], 0)</f>
        <v>0</v>
      </c>
      <c r="Q76">
        <f xml:space="preserve"> IF(Table13[[#This Row],[dye'[1']]]=3, Table13[[#This Row],[strength'[1']]], 0)</f>
        <v>0</v>
      </c>
      <c r="R76">
        <f xml:space="preserve"> IF(Table13[[#This Row],[dye'[0']]]=3, Table13[[#This Row],[strength'[0']]], 0)</f>
        <v>0</v>
      </c>
      <c r="S76">
        <f xml:space="preserve"> IF(Table13[[#This Row],[dye'[2']]]=2, Table13[[#This Row],[strength'[2']]], 0)</f>
        <v>0</v>
      </c>
      <c r="T76">
        <f xml:space="preserve"> IF(Table13[[#This Row],[dye'[1']]]=2, Table13[[#This Row],[strength'[1']]], 0)</f>
        <v>0</v>
      </c>
      <c r="U76">
        <f xml:space="preserve"> IF(Table13[[#This Row],[dye'[0']]]=2, Table13[[#This Row],[strength'[0']]], 0)</f>
        <v>0</v>
      </c>
      <c r="V76">
        <f xml:space="preserve"> IF(Table13[[#This Row],[dye'[2']]]=1, Table13[[#This Row],[strength'[2']]], 0)</f>
        <v>0</v>
      </c>
      <c r="W76">
        <f xml:space="preserve"> IF(Table13[[#This Row],[dye'[1']]]=1, Table13[[#This Row],[strength'[1']]], 0)</f>
        <v>0</v>
      </c>
      <c r="X76">
        <f xml:space="preserve"> IF(Table13[[#This Row],[dye'[0']]]=1, Table13[[#This Row],[strength'[0']]], 0)</f>
        <v>0</v>
      </c>
      <c r="Y76">
        <f xml:space="preserve"> IF(Table13[[#This Row],[dye'[2']]]=0, Table13[[#This Row],[strength'[2']]], 0)</f>
        <v>0</v>
      </c>
      <c r="Z76">
        <f xml:space="preserve"> IF(Table13[[#This Row],[dye'[1']]]=0, Table13[[#This Row],[strength'[1']]], 0)</f>
        <v>0</v>
      </c>
      <c r="AA76">
        <f xml:space="preserve"> IF(Table13[[#This Row],[dye'[0']]]=0, Table13[[#This Row],[strength'[0']]], 0)</f>
        <v>0</v>
      </c>
      <c r="AB76">
        <v>0</v>
      </c>
      <c r="AC76">
        <f>MAX($D$2, Table13[[#This Row],[t1'[0']]])</f>
        <v>0</v>
      </c>
      <c r="AD76">
        <v>0</v>
      </c>
      <c r="AE76">
        <f>Table13[[#This Row],[t1'[0']]]+Table13[[#This Row],[dt'[0']]]</f>
        <v>0</v>
      </c>
      <c r="AF76">
        <f>MIN($C$2, Table13[[#This Row],[tf'[0']]])</f>
        <v>0</v>
      </c>
      <c r="AG76">
        <f>Table13[[#This Row],[time2'[0']]]-Table13[[#This Row],[time1'[0']]]</f>
        <v>0</v>
      </c>
      <c r="AH76">
        <v>0</v>
      </c>
      <c r="AI76">
        <f xml:space="preserve"> INDEX(Table3[[#All],[Intensity]], Table13[[#This Row],[int'[0']]]+2)</f>
        <v>0</v>
      </c>
      <c r="AJ76">
        <f>Table13[[#This Row],[duration'[0']]]*Table13[[#This Row],[intensity'[0']]]</f>
        <v>0</v>
      </c>
      <c r="AK76">
        <f>MOD(Table13[[#This Row],[ZMW num]], 4)</f>
        <v>3</v>
      </c>
      <c r="AL76">
        <v>0</v>
      </c>
      <c r="AM76">
        <f>MAX($D$2, Table13[[#This Row],[t1'[1']]])</f>
        <v>0</v>
      </c>
      <c r="AN76">
        <v>0</v>
      </c>
      <c r="AO76">
        <f>Table13[[#This Row],[t1'[1']]]+Table13[[#This Row],[dt'[1']]]</f>
        <v>0</v>
      </c>
      <c r="AP76">
        <f>MIN($C$2, Table13[[#This Row],[tf'[1']]])</f>
        <v>0</v>
      </c>
      <c r="AQ76">
        <f>Table13[[#This Row],[time2'[1']]]-Table13[[#This Row],[time1'[1']]]</f>
        <v>0</v>
      </c>
      <c r="AR76">
        <v>0</v>
      </c>
      <c r="AS76">
        <f xml:space="preserve"> INDEX(Table3[[#All],[Intensity]], Table13[[#This Row],[int'[1']]]+2)</f>
        <v>0</v>
      </c>
      <c r="AT76">
        <f>Table13[[#This Row],[duration'[1']]]*Table13[[#This Row],[intensity'[1']]]</f>
        <v>0</v>
      </c>
      <c r="AU76">
        <f>MOD(Table13[[#This Row],[ZMW num]]+1, 4)</f>
        <v>0</v>
      </c>
      <c r="AV76">
        <v>0</v>
      </c>
      <c r="AW76">
        <f>MAX($D$2, Table13[[#This Row],[t1'[2']]])</f>
        <v>0</v>
      </c>
      <c r="AX76">
        <v>0</v>
      </c>
      <c r="AY76">
        <f>Table13[[#This Row],[t1'[2']]]+Table13[[#This Row],[dt'[2']]]</f>
        <v>0</v>
      </c>
      <c r="AZ76">
        <f>MIN($C$2, Table13[[#This Row],[tf'[2']]])</f>
        <v>0</v>
      </c>
      <c r="BA76">
        <f>Table13[[#This Row],[time2'[2']]]-Table13[[#This Row],[time1'[2']]]</f>
        <v>0</v>
      </c>
      <c r="BB76">
        <v>0</v>
      </c>
      <c r="BC76">
        <f xml:space="preserve"> INDEX(Table3[[#All],[Intensity]], Table13[[#This Row],[int'[2']]]+2)</f>
        <v>0</v>
      </c>
      <c r="BD76">
        <f>Table13[[#This Row],[duration'[2']]]*Table13[[#This Row],[intensity'[2']]]</f>
        <v>0</v>
      </c>
      <c r="BE76">
        <f>MOD(Table13[[#This Row],[ZMW num]]+2, 4)</f>
        <v>1</v>
      </c>
      <c r="BF76" s="2" t="str">
        <f>Single2String(Table13[[#This Row],[t1'[0']]])</f>
        <v>00000000</v>
      </c>
      <c r="BG76" s="1" t="str">
        <f>Single2String(Table13[[#This Row],[dt'[0']]])</f>
        <v>00000000</v>
      </c>
      <c r="BH76" s="1" t="str">
        <f>Single2String(Table13[[#This Row],[t1'[1']]])</f>
        <v>00000000</v>
      </c>
      <c r="BI76" s="1" t="str">
        <f>Single2String(Table13[[#This Row],[dt'[1']]])</f>
        <v>00000000</v>
      </c>
      <c r="BJ76" s="1" t="str">
        <f>Single2String(Table13[[#This Row],[t1'[2']]])</f>
        <v>00000000</v>
      </c>
      <c r="BK76" s="1" t="str">
        <f>Single2String(Table13[[#This Row],[dt'[2']]])</f>
        <v>00000000</v>
      </c>
      <c r="BL76" s="1" t="str">
        <f>DEC2HEX(Table13[[#This Row],[ZMW num]], 6)</f>
        <v>000047</v>
      </c>
      <c r="BM76" s="1">
        <f>LEN(Table13[[#This Row],[DRAM data]])</f>
        <v>64</v>
      </c>
      <c r="BN7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0000000000000000000000000000000000000000000000003000100000004700</v>
      </c>
      <c r="CU76"/>
    </row>
    <row r="77" spans="1:99" x14ac:dyDescent="0.25">
      <c r="A77" t="str">
        <f>Single2String(Table13[[#This Row],[duration'[0']]])</f>
        <v>00000000</v>
      </c>
      <c r="B77" t="str">
        <f>Single2String(Table13[[#This Row],[duration'[1']]])</f>
        <v>00000000</v>
      </c>
      <c r="C77" t="str">
        <f>Single2String(Table13[[#This Row],[duration'[2']]])</f>
        <v>00000000</v>
      </c>
      <c r="D77" t="str">
        <f>INDEX(Table3[Hex], Table13[[#This Row],[int'[0']]]+1)</f>
        <v>00000000</v>
      </c>
      <c r="E77" t="str">
        <f>INDEX(Table3[Hex], Table13[[#This Row],[int'[1']]]+1)</f>
        <v>00000000</v>
      </c>
      <c r="F77" t="str">
        <f>INDEX(Table3[Hex], Table13[[#This Row],[int'[1']]]+1)</f>
        <v>00000000</v>
      </c>
      <c r="G77" t="str">
        <f>Single2String(Table13[[#This Row],[c ktrace]])</f>
        <v>00000000</v>
      </c>
      <c r="H77" t="str">
        <f>Single2String(Table13[[#This Row],[a ktrace]])</f>
        <v>00000000</v>
      </c>
      <c r="I77" t="str">
        <f>Single2String(Table13[[#This Row],[g ktrace]])</f>
        <v>00000000</v>
      </c>
      <c r="J77" t="str">
        <f>Single2String(Table13[[#This Row],[t ktrace]])</f>
        <v>00000000</v>
      </c>
      <c r="K77" s="3">
        <v>72</v>
      </c>
      <c r="L77">
        <f>SUM(Table13[[#This Row],[c ktrace'[2']]:[c ktrace'[0']]])</f>
        <v>0</v>
      </c>
      <c r="M77">
        <f>SUM(Table13[[#This Row],[a ktrace'[2']]:[a ktrace'[0']]])</f>
        <v>0</v>
      </c>
      <c r="N77">
        <f>SUM(Table13[[#This Row],[g ktrace'[2']]:[g ktrace'[0']]])</f>
        <v>0</v>
      </c>
      <c r="O77">
        <f>SUM(Table13[[#This Row],[t ktrace'[2']]:[t ktrace'[0']]])</f>
        <v>0</v>
      </c>
      <c r="P77">
        <f xml:space="preserve"> IF(Table13[[#This Row],[dye'[2']]]=3, Table13[[#This Row],[strength'[2']]], 0)</f>
        <v>0</v>
      </c>
      <c r="Q77">
        <f xml:space="preserve"> IF(Table13[[#This Row],[dye'[1']]]=3, Table13[[#This Row],[strength'[1']]], 0)</f>
        <v>0</v>
      </c>
      <c r="R77">
        <f xml:space="preserve"> IF(Table13[[#This Row],[dye'[0']]]=3, Table13[[#This Row],[strength'[0']]], 0)</f>
        <v>0</v>
      </c>
      <c r="S77">
        <f xml:space="preserve"> IF(Table13[[#This Row],[dye'[2']]]=2, Table13[[#This Row],[strength'[2']]], 0)</f>
        <v>0</v>
      </c>
      <c r="T77">
        <f xml:space="preserve"> IF(Table13[[#This Row],[dye'[1']]]=2, Table13[[#This Row],[strength'[1']]], 0)</f>
        <v>0</v>
      </c>
      <c r="U77">
        <f xml:space="preserve"> IF(Table13[[#This Row],[dye'[0']]]=2, Table13[[#This Row],[strength'[0']]], 0)</f>
        <v>0</v>
      </c>
      <c r="V77">
        <f xml:space="preserve"> IF(Table13[[#This Row],[dye'[2']]]=1, Table13[[#This Row],[strength'[2']]], 0)</f>
        <v>0</v>
      </c>
      <c r="W77">
        <f xml:space="preserve"> IF(Table13[[#This Row],[dye'[1']]]=1, Table13[[#This Row],[strength'[1']]], 0)</f>
        <v>0</v>
      </c>
      <c r="X77">
        <f xml:space="preserve"> IF(Table13[[#This Row],[dye'[0']]]=1, Table13[[#This Row],[strength'[0']]], 0)</f>
        <v>0</v>
      </c>
      <c r="Y77">
        <f xml:space="preserve"> IF(Table13[[#This Row],[dye'[2']]]=0, Table13[[#This Row],[strength'[2']]], 0)</f>
        <v>0</v>
      </c>
      <c r="Z77">
        <f xml:space="preserve"> IF(Table13[[#This Row],[dye'[1']]]=0, Table13[[#This Row],[strength'[1']]], 0)</f>
        <v>0</v>
      </c>
      <c r="AA77">
        <f xml:space="preserve"> IF(Table13[[#This Row],[dye'[0']]]=0, Table13[[#This Row],[strength'[0']]], 0)</f>
        <v>0</v>
      </c>
      <c r="AB77">
        <v>0</v>
      </c>
      <c r="AC77">
        <f>MAX($D$2, Table13[[#This Row],[t1'[0']]])</f>
        <v>0</v>
      </c>
      <c r="AD77">
        <v>0</v>
      </c>
      <c r="AE77">
        <f>Table13[[#This Row],[t1'[0']]]+Table13[[#This Row],[dt'[0']]]</f>
        <v>0</v>
      </c>
      <c r="AF77">
        <f>MIN($C$2, Table13[[#This Row],[tf'[0']]])</f>
        <v>0</v>
      </c>
      <c r="AG77">
        <f>Table13[[#This Row],[time2'[0']]]-Table13[[#This Row],[time1'[0']]]</f>
        <v>0</v>
      </c>
      <c r="AH77">
        <v>0</v>
      </c>
      <c r="AI77">
        <f xml:space="preserve"> INDEX(Table3[[#All],[Intensity]], Table13[[#This Row],[int'[0']]]+2)</f>
        <v>0</v>
      </c>
      <c r="AJ77">
        <f>Table13[[#This Row],[duration'[0']]]*Table13[[#This Row],[intensity'[0']]]</f>
        <v>0</v>
      </c>
      <c r="AK77">
        <f>MOD(Table13[[#This Row],[ZMW num]], 4)</f>
        <v>0</v>
      </c>
      <c r="AL77">
        <v>0</v>
      </c>
      <c r="AM77">
        <f>MAX($D$2, Table13[[#This Row],[t1'[1']]])</f>
        <v>0</v>
      </c>
      <c r="AN77">
        <v>0</v>
      </c>
      <c r="AO77">
        <f>Table13[[#This Row],[t1'[1']]]+Table13[[#This Row],[dt'[1']]]</f>
        <v>0</v>
      </c>
      <c r="AP77">
        <f>MIN($C$2, Table13[[#This Row],[tf'[1']]])</f>
        <v>0</v>
      </c>
      <c r="AQ77">
        <f>Table13[[#This Row],[time2'[1']]]-Table13[[#This Row],[time1'[1']]]</f>
        <v>0</v>
      </c>
      <c r="AR77">
        <v>0</v>
      </c>
      <c r="AS77">
        <f xml:space="preserve"> INDEX(Table3[[#All],[Intensity]], Table13[[#This Row],[int'[1']]]+2)</f>
        <v>0</v>
      </c>
      <c r="AT77">
        <f>Table13[[#This Row],[duration'[1']]]*Table13[[#This Row],[intensity'[1']]]</f>
        <v>0</v>
      </c>
      <c r="AU77">
        <f>MOD(Table13[[#This Row],[ZMW num]]+1, 4)</f>
        <v>1</v>
      </c>
      <c r="AV77">
        <v>0</v>
      </c>
      <c r="AW77">
        <f>MAX($D$2, Table13[[#This Row],[t1'[2']]])</f>
        <v>0</v>
      </c>
      <c r="AX77">
        <v>0</v>
      </c>
      <c r="AY77">
        <f>Table13[[#This Row],[t1'[2']]]+Table13[[#This Row],[dt'[2']]]</f>
        <v>0</v>
      </c>
      <c r="AZ77">
        <f>MIN($C$2, Table13[[#This Row],[tf'[2']]])</f>
        <v>0</v>
      </c>
      <c r="BA77">
        <f>Table13[[#This Row],[time2'[2']]]-Table13[[#This Row],[time1'[2']]]</f>
        <v>0</v>
      </c>
      <c r="BB77">
        <v>0</v>
      </c>
      <c r="BC77">
        <f xml:space="preserve"> INDEX(Table3[[#All],[Intensity]], Table13[[#This Row],[int'[2']]]+2)</f>
        <v>0</v>
      </c>
      <c r="BD77">
        <f>Table13[[#This Row],[duration'[2']]]*Table13[[#This Row],[intensity'[2']]]</f>
        <v>0</v>
      </c>
      <c r="BE77">
        <f>MOD(Table13[[#This Row],[ZMW num]]+2, 4)</f>
        <v>2</v>
      </c>
      <c r="BF77" s="2" t="str">
        <f>Single2String(Table13[[#This Row],[t1'[0']]])</f>
        <v>00000000</v>
      </c>
      <c r="BG77" s="1" t="str">
        <f>Single2String(Table13[[#This Row],[dt'[0']]])</f>
        <v>00000000</v>
      </c>
      <c r="BH77" s="1" t="str">
        <f>Single2String(Table13[[#This Row],[t1'[1']]])</f>
        <v>00000000</v>
      </c>
      <c r="BI77" s="1" t="str">
        <f>Single2String(Table13[[#This Row],[dt'[1']]])</f>
        <v>00000000</v>
      </c>
      <c r="BJ77" s="1" t="str">
        <f>Single2String(Table13[[#This Row],[t1'[2']]])</f>
        <v>00000000</v>
      </c>
      <c r="BK77" s="1" t="str">
        <f>Single2String(Table13[[#This Row],[dt'[2']]])</f>
        <v>00000000</v>
      </c>
      <c r="BL77" s="1" t="str">
        <f>DEC2HEX(Table13[[#This Row],[ZMW num]], 6)</f>
        <v>000048</v>
      </c>
      <c r="BM77" s="1">
        <f>LEN(Table13[[#This Row],[DRAM data]])</f>
        <v>64</v>
      </c>
      <c r="BN7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0000000000000000000000000000000000000000000000000010200000004800</v>
      </c>
      <c r="CU77"/>
    </row>
    <row r="78" spans="1:99" x14ac:dyDescent="0.25">
      <c r="A78" t="str">
        <f>Single2String(Table13[[#This Row],[duration'[0']]])</f>
        <v>00000000</v>
      </c>
      <c r="B78" t="str">
        <f>Single2String(Table13[[#This Row],[duration'[1']]])</f>
        <v>00000000</v>
      </c>
      <c r="C78" t="str">
        <f>Single2String(Table13[[#This Row],[duration'[2']]])</f>
        <v>00000000</v>
      </c>
      <c r="D78" t="str">
        <f>INDEX(Table3[Hex], Table13[[#This Row],[int'[0']]]+1)</f>
        <v>00000000</v>
      </c>
      <c r="E78" t="str">
        <f>INDEX(Table3[Hex], Table13[[#This Row],[int'[1']]]+1)</f>
        <v>00000000</v>
      </c>
      <c r="F78" t="str">
        <f>INDEX(Table3[Hex], Table13[[#This Row],[int'[1']]]+1)</f>
        <v>00000000</v>
      </c>
      <c r="G78" t="str">
        <f>Single2String(Table13[[#This Row],[c ktrace]])</f>
        <v>00000000</v>
      </c>
      <c r="H78" t="str">
        <f>Single2String(Table13[[#This Row],[a ktrace]])</f>
        <v>00000000</v>
      </c>
      <c r="I78" t="str">
        <f>Single2String(Table13[[#This Row],[g ktrace]])</f>
        <v>00000000</v>
      </c>
      <c r="J78" t="str">
        <f>Single2String(Table13[[#This Row],[t ktrace]])</f>
        <v>00000000</v>
      </c>
      <c r="K78" s="3">
        <v>73</v>
      </c>
      <c r="L78">
        <f>SUM(Table13[[#This Row],[c ktrace'[2']]:[c ktrace'[0']]])</f>
        <v>0</v>
      </c>
      <c r="M78">
        <f>SUM(Table13[[#This Row],[a ktrace'[2']]:[a ktrace'[0']]])</f>
        <v>0</v>
      </c>
      <c r="N78">
        <f>SUM(Table13[[#This Row],[g ktrace'[2']]:[g ktrace'[0']]])</f>
        <v>0</v>
      </c>
      <c r="O78">
        <f>SUM(Table13[[#This Row],[t ktrace'[2']]:[t ktrace'[0']]])</f>
        <v>0</v>
      </c>
      <c r="P78">
        <f xml:space="preserve"> IF(Table13[[#This Row],[dye'[2']]]=3, Table13[[#This Row],[strength'[2']]], 0)</f>
        <v>0</v>
      </c>
      <c r="Q78">
        <f xml:space="preserve"> IF(Table13[[#This Row],[dye'[1']]]=3, Table13[[#This Row],[strength'[1']]], 0)</f>
        <v>0</v>
      </c>
      <c r="R78">
        <f xml:space="preserve"> IF(Table13[[#This Row],[dye'[0']]]=3, Table13[[#This Row],[strength'[0']]], 0)</f>
        <v>0</v>
      </c>
      <c r="S78">
        <f xml:space="preserve"> IF(Table13[[#This Row],[dye'[2']]]=2, Table13[[#This Row],[strength'[2']]], 0)</f>
        <v>0</v>
      </c>
      <c r="T78">
        <f xml:space="preserve"> IF(Table13[[#This Row],[dye'[1']]]=2, Table13[[#This Row],[strength'[1']]], 0)</f>
        <v>0</v>
      </c>
      <c r="U78">
        <f xml:space="preserve"> IF(Table13[[#This Row],[dye'[0']]]=2, Table13[[#This Row],[strength'[0']]], 0)</f>
        <v>0</v>
      </c>
      <c r="V78">
        <f xml:space="preserve"> IF(Table13[[#This Row],[dye'[2']]]=1, Table13[[#This Row],[strength'[2']]], 0)</f>
        <v>0</v>
      </c>
      <c r="W78">
        <f xml:space="preserve"> IF(Table13[[#This Row],[dye'[1']]]=1, Table13[[#This Row],[strength'[1']]], 0)</f>
        <v>0</v>
      </c>
      <c r="X78">
        <f xml:space="preserve"> IF(Table13[[#This Row],[dye'[0']]]=1, Table13[[#This Row],[strength'[0']]], 0)</f>
        <v>0</v>
      </c>
      <c r="Y78">
        <f xml:space="preserve"> IF(Table13[[#This Row],[dye'[2']]]=0, Table13[[#This Row],[strength'[2']]], 0)</f>
        <v>0</v>
      </c>
      <c r="Z78">
        <f xml:space="preserve"> IF(Table13[[#This Row],[dye'[1']]]=0, Table13[[#This Row],[strength'[1']]], 0)</f>
        <v>0</v>
      </c>
      <c r="AA78">
        <f xml:space="preserve"> IF(Table13[[#This Row],[dye'[0']]]=0, Table13[[#This Row],[strength'[0']]], 0)</f>
        <v>0</v>
      </c>
      <c r="AB78">
        <v>0</v>
      </c>
      <c r="AC78">
        <f>MAX($D$2, Table13[[#This Row],[t1'[0']]])</f>
        <v>0</v>
      </c>
      <c r="AD78">
        <v>0</v>
      </c>
      <c r="AE78">
        <f>Table13[[#This Row],[t1'[0']]]+Table13[[#This Row],[dt'[0']]]</f>
        <v>0</v>
      </c>
      <c r="AF78">
        <f>MIN($C$2, Table13[[#This Row],[tf'[0']]])</f>
        <v>0</v>
      </c>
      <c r="AG78">
        <f>Table13[[#This Row],[time2'[0']]]-Table13[[#This Row],[time1'[0']]]</f>
        <v>0</v>
      </c>
      <c r="AH78">
        <v>0</v>
      </c>
      <c r="AI78">
        <f xml:space="preserve"> INDEX(Table3[[#All],[Intensity]], Table13[[#This Row],[int'[0']]]+2)</f>
        <v>0</v>
      </c>
      <c r="AJ78">
        <f>Table13[[#This Row],[duration'[0']]]*Table13[[#This Row],[intensity'[0']]]</f>
        <v>0</v>
      </c>
      <c r="AK78">
        <f>MOD(Table13[[#This Row],[ZMW num]], 4)</f>
        <v>1</v>
      </c>
      <c r="AL78">
        <v>0</v>
      </c>
      <c r="AM78">
        <f>MAX($D$2, Table13[[#This Row],[t1'[1']]])</f>
        <v>0</v>
      </c>
      <c r="AN78">
        <v>0</v>
      </c>
      <c r="AO78">
        <f>Table13[[#This Row],[t1'[1']]]+Table13[[#This Row],[dt'[1']]]</f>
        <v>0</v>
      </c>
      <c r="AP78">
        <f>MIN($C$2, Table13[[#This Row],[tf'[1']]])</f>
        <v>0</v>
      </c>
      <c r="AQ78">
        <f>Table13[[#This Row],[time2'[1']]]-Table13[[#This Row],[time1'[1']]]</f>
        <v>0</v>
      </c>
      <c r="AR78">
        <v>0</v>
      </c>
      <c r="AS78">
        <f xml:space="preserve"> INDEX(Table3[[#All],[Intensity]], Table13[[#This Row],[int'[1']]]+2)</f>
        <v>0</v>
      </c>
      <c r="AT78">
        <f>Table13[[#This Row],[duration'[1']]]*Table13[[#This Row],[intensity'[1']]]</f>
        <v>0</v>
      </c>
      <c r="AU78">
        <f>MOD(Table13[[#This Row],[ZMW num]]+1, 4)</f>
        <v>2</v>
      </c>
      <c r="AV78">
        <v>0</v>
      </c>
      <c r="AW78">
        <f>MAX($D$2, Table13[[#This Row],[t1'[2']]])</f>
        <v>0</v>
      </c>
      <c r="AX78">
        <v>0</v>
      </c>
      <c r="AY78">
        <f>Table13[[#This Row],[t1'[2']]]+Table13[[#This Row],[dt'[2']]]</f>
        <v>0</v>
      </c>
      <c r="AZ78">
        <f>MIN($C$2, Table13[[#This Row],[tf'[2']]])</f>
        <v>0</v>
      </c>
      <c r="BA78">
        <f>Table13[[#This Row],[time2'[2']]]-Table13[[#This Row],[time1'[2']]]</f>
        <v>0</v>
      </c>
      <c r="BB78">
        <v>0</v>
      </c>
      <c r="BC78">
        <f xml:space="preserve"> INDEX(Table3[[#All],[Intensity]], Table13[[#This Row],[int'[2']]]+2)</f>
        <v>0</v>
      </c>
      <c r="BD78">
        <f>Table13[[#This Row],[duration'[2']]]*Table13[[#This Row],[intensity'[2']]]</f>
        <v>0</v>
      </c>
      <c r="BE78">
        <f>MOD(Table13[[#This Row],[ZMW num]]+2, 4)</f>
        <v>3</v>
      </c>
      <c r="BF78" s="2" t="str">
        <f>Single2String(Table13[[#This Row],[t1'[0']]])</f>
        <v>00000000</v>
      </c>
      <c r="BG78" s="1" t="str">
        <f>Single2String(Table13[[#This Row],[dt'[0']]])</f>
        <v>00000000</v>
      </c>
      <c r="BH78" s="1" t="str">
        <f>Single2String(Table13[[#This Row],[t1'[1']]])</f>
        <v>00000000</v>
      </c>
      <c r="BI78" s="1" t="str">
        <f>Single2String(Table13[[#This Row],[dt'[1']]])</f>
        <v>00000000</v>
      </c>
      <c r="BJ78" s="1" t="str">
        <f>Single2String(Table13[[#This Row],[t1'[2']]])</f>
        <v>00000000</v>
      </c>
      <c r="BK78" s="1" t="str">
        <f>Single2String(Table13[[#This Row],[dt'[2']]])</f>
        <v>00000000</v>
      </c>
      <c r="BL78" s="1" t="str">
        <f>DEC2HEX(Table13[[#This Row],[ZMW num]], 6)</f>
        <v>000049</v>
      </c>
      <c r="BM78" s="1">
        <f>LEN(Table13[[#This Row],[DRAM data]])</f>
        <v>64</v>
      </c>
      <c r="BN7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0000000000000000000000000000000000000000000000001020300000004900</v>
      </c>
      <c r="CU78"/>
    </row>
    <row r="79" spans="1:99" x14ac:dyDescent="0.25">
      <c r="A79" t="str">
        <f>Single2String(Table13[[#This Row],[duration'[0']]])</f>
        <v>00000000</v>
      </c>
      <c r="B79" t="str">
        <f>Single2String(Table13[[#This Row],[duration'[1']]])</f>
        <v>00000000</v>
      </c>
      <c r="C79" t="str">
        <f>Single2String(Table13[[#This Row],[duration'[2']]])</f>
        <v>00000000</v>
      </c>
      <c r="D79" t="str">
        <f>INDEX(Table3[Hex], Table13[[#This Row],[int'[0']]]+1)</f>
        <v>00000000</v>
      </c>
      <c r="E79" t="str">
        <f>INDEX(Table3[Hex], Table13[[#This Row],[int'[1']]]+1)</f>
        <v>00000000</v>
      </c>
      <c r="F79" t="str">
        <f>INDEX(Table3[Hex], Table13[[#This Row],[int'[1']]]+1)</f>
        <v>00000000</v>
      </c>
      <c r="G79" t="str">
        <f>Single2String(Table13[[#This Row],[c ktrace]])</f>
        <v>00000000</v>
      </c>
      <c r="H79" t="str">
        <f>Single2String(Table13[[#This Row],[a ktrace]])</f>
        <v>00000000</v>
      </c>
      <c r="I79" t="str">
        <f>Single2String(Table13[[#This Row],[g ktrace]])</f>
        <v>00000000</v>
      </c>
      <c r="J79" t="str">
        <f>Single2String(Table13[[#This Row],[t ktrace]])</f>
        <v>00000000</v>
      </c>
      <c r="K79" s="3">
        <v>74</v>
      </c>
      <c r="L79">
        <f>SUM(Table13[[#This Row],[c ktrace'[2']]:[c ktrace'[0']]])</f>
        <v>0</v>
      </c>
      <c r="M79">
        <f>SUM(Table13[[#This Row],[a ktrace'[2']]:[a ktrace'[0']]])</f>
        <v>0</v>
      </c>
      <c r="N79">
        <f>SUM(Table13[[#This Row],[g ktrace'[2']]:[g ktrace'[0']]])</f>
        <v>0</v>
      </c>
      <c r="O79">
        <f>SUM(Table13[[#This Row],[t ktrace'[2']]:[t ktrace'[0']]])</f>
        <v>0</v>
      </c>
      <c r="P79">
        <f xml:space="preserve"> IF(Table13[[#This Row],[dye'[2']]]=3, Table13[[#This Row],[strength'[2']]], 0)</f>
        <v>0</v>
      </c>
      <c r="Q79">
        <f xml:space="preserve"> IF(Table13[[#This Row],[dye'[1']]]=3, Table13[[#This Row],[strength'[1']]], 0)</f>
        <v>0</v>
      </c>
      <c r="R79">
        <f xml:space="preserve"> IF(Table13[[#This Row],[dye'[0']]]=3, Table13[[#This Row],[strength'[0']]], 0)</f>
        <v>0</v>
      </c>
      <c r="S79">
        <f xml:space="preserve"> IF(Table13[[#This Row],[dye'[2']]]=2, Table13[[#This Row],[strength'[2']]], 0)</f>
        <v>0</v>
      </c>
      <c r="T79">
        <f xml:space="preserve"> IF(Table13[[#This Row],[dye'[1']]]=2, Table13[[#This Row],[strength'[1']]], 0)</f>
        <v>0</v>
      </c>
      <c r="U79">
        <f xml:space="preserve"> IF(Table13[[#This Row],[dye'[0']]]=2, Table13[[#This Row],[strength'[0']]], 0)</f>
        <v>0</v>
      </c>
      <c r="V79">
        <f xml:space="preserve"> IF(Table13[[#This Row],[dye'[2']]]=1, Table13[[#This Row],[strength'[2']]], 0)</f>
        <v>0</v>
      </c>
      <c r="W79">
        <f xml:space="preserve"> IF(Table13[[#This Row],[dye'[1']]]=1, Table13[[#This Row],[strength'[1']]], 0)</f>
        <v>0</v>
      </c>
      <c r="X79">
        <f xml:space="preserve"> IF(Table13[[#This Row],[dye'[0']]]=1, Table13[[#This Row],[strength'[0']]], 0)</f>
        <v>0</v>
      </c>
      <c r="Y79">
        <f xml:space="preserve"> IF(Table13[[#This Row],[dye'[2']]]=0, Table13[[#This Row],[strength'[2']]], 0)</f>
        <v>0</v>
      </c>
      <c r="Z79">
        <f xml:space="preserve"> IF(Table13[[#This Row],[dye'[1']]]=0, Table13[[#This Row],[strength'[1']]], 0)</f>
        <v>0</v>
      </c>
      <c r="AA79">
        <f xml:space="preserve"> IF(Table13[[#This Row],[dye'[0']]]=0, Table13[[#This Row],[strength'[0']]], 0)</f>
        <v>0</v>
      </c>
      <c r="AB79">
        <v>0</v>
      </c>
      <c r="AC79">
        <f>MAX($D$2, Table13[[#This Row],[t1'[0']]])</f>
        <v>0</v>
      </c>
      <c r="AD79">
        <v>0</v>
      </c>
      <c r="AE79">
        <f>Table13[[#This Row],[t1'[0']]]+Table13[[#This Row],[dt'[0']]]</f>
        <v>0</v>
      </c>
      <c r="AF79">
        <f>MIN($C$2, Table13[[#This Row],[tf'[0']]])</f>
        <v>0</v>
      </c>
      <c r="AG79">
        <f>Table13[[#This Row],[time2'[0']]]-Table13[[#This Row],[time1'[0']]]</f>
        <v>0</v>
      </c>
      <c r="AH79">
        <v>0</v>
      </c>
      <c r="AI79">
        <f xml:space="preserve"> INDEX(Table3[[#All],[Intensity]], Table13[[#This Row],[int'[0']]]+2)</f>
        <v>0</v>
      </c>
      <c r="AJ79">
        <f>Table13[[#This Row],[duration'[0']]]*Table13[[#This Row],[intensity'[0']]]</f>
        <v>0</v>
      </c>
      <c r="AK79">
        <f>MOD(Table13[[#This Row],[ZMW num]], 4)</f>
        <v>2</v>
      </c>
      <c r="AL79">
        <v>0</v>
      </c>
      <c r="AM79">
        <f>MAX($D$2, Table13[[#This Row],[t1'[1']]])</f>
        <v>0</v>
      </c>
      <c r="AN79">
        <v>0</v>
      </c>
      <c r="AO79">
        <f>Table13[[#This Row],[t1'[1']]]+Table13[[#This Row],[dt'[1']]]</f>
        <v>0</v>
      </c>
      <c r="AP79">
        <f>MIN($C$2, Table13[[#This Row],[tf'[1']]])</f>
        <v>0</v>
      </c>
      <c r="AQ79">
        <f>Table13[[#This Row],[time2'[1']]]-Table13[[#This Row],[time1'[1']]]</f>
        <v>0</v>
      </c>
      <c r="AR79">
        <v>0</v>
      </c>
      <c r="AS79">
        <f xml:space="preserve"> INDEX(Table3[[#All],[Intensity]], Table13[[#This Row],[int'[1']]]+2)</f>
        <v>0</v>
      </c>
      <c r="AT79">
        <f>Table13[[#This Row],[duration'[1']]]*Table13[[#This Row],[intensity'[1']]]</f>
        <v>0</v>
      </c>
      <c r="AU79">
        <f>MOD(Table13[[#This Row],[ZMW num]]+1, 4)</f>
        <v>3</v>
      </c>
      <c r="AV79">
        <v>0</v>
      </c>
      <c r="AW79">
        <f>MAX($D$2, Table13[[#This Row],[t1'[2']]])</f>
        <v>0</v>
      </c>
      <c r="AX79">
        <v>0</v>
      </c>
      <c r="AY79">
        <f>Table13[[#This Row],[t1'[2']]]+Table13[[#This Row],[dt'[2']]]</f>
        <v>0</v>
      </c>
      <c r="AZ79">
        <f>MIN($C$2, Table13[[#This Row],[tf'[2']]])</f>
        <v>0</v>
      </c>
      <c r="BA79">
        <f>Table13[[#This Row],[time2'[2']]]-Table13[[#This Row],[time1'[2']]]</f>
        <v>0</v>
      </c>
      <c r="BB79">
        <v>0</v>
      </c>
      <c r="BC79">
        <f xml:space="preserve"> INDEX(Table3[[#All],[Intensity]], Table13[[#This Row],[int'[2']]]+2)</f>
        <v>0</v>
      </c>
      <c r="BD79">
        <f>Table13[[#This Row],[duration'[2']]]*Table13[[#This Row],[intensity'[2']]]</f>
        <v>0</v>
      </c>
      <c r="BE79">
        <f>MOD(Table13[[#This Row],[ZMW num]]+2, 4)</f>
        <v>0</v>
      </c>
      <c r="BF79" s="2" t="str">
        <f>Single2String(Table13[[#This Row],[t1'[0']]])</f>
        <v>00000000</v>
      </c>
      <c r="BG79" s="1" t="str">
        <f>Single2String(Table13[[#This Row],[dt'[0']]])</f>
        <v>00000000</v>
      </c>
      <c r="BH79" s="1" t="str">
        <f>Single2String(Table13[[#This Row],[t1'[1']]])</f>
        <v>00000000</v>
      </c>
      <c r="BI79" s="1" t="str">
        <f>Single2String(Table13[[#This Row],[dt'[1']]])</f>
        <v>00000000</v>
      </c>
      <c r="BJ79" s="1" t="str">
        <f>Single2String(Table13[[#This Row],[t1'[2']]])</f>
        <v>00000000</v>
      </c>
      <c r="BK79" s="1" t="str">
        <f>Single2String(Table13[[#This Row],[dt'[2']]])</f>
        <v>00000000</v>
      </c>
      <c r="BL79" s="1" t="str">
        <f>DEC2HEX(Table13[[#This Row],[ZMW num]], 6)</f>
        <v>00004A</v>
      </c>
      <c r="BM79" s="1">
        <f>LEN(Table13[[#This Row],[DRAM data]])</f>
        <v>64</v>
      </c>
      <c r="BN7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0000000000000000000000000000000000000000000000002030000000004A00</v>
      </c>
      <c r="CU79"/>
    </row>
    <row r="80" spans="1:99" x14ac:dyDescent="0.25">
      <c r="A80" t="str">
        <f>Single2String(Table13[[#This Row],[duration'[0']]])</f>
        <v>00000000</v>
      </c>
      <c r="B80" t="str">
        <f>Single2String(Table13[[#This Row],[duration'[1']]])</f>
        <v>00000000</v>
      </c>
      <c r="C80" t="str">
        <f>Single2String(Table13[[#This Row],[duration'[2']]])</f>
        <v>00000000</v>
      </c>
      <c r="D80" t="str">
        <f>INDEX(Table3[Hex], Table13[[#This Row],[int'[0']]]+1)</f>
        <v>00000000</v>
      </c>
      <c r="E80" t="str">
        <f>INDEX(Table3[Hex], Table13[[#This Row],[int'[1']]]+1)</f>
        <v>00000000</v>
      </c>
      <c r="F80" t="str">
        <f>INDEX(Table3[Hex], Table13[[#This Row],[int'[1']]]+1)</f>
        <v>00000000</v>
      </c>
      <c r="G80" t="str">
        <f>Single2String(Table13[[#This Row],[c ktrace]])</f>
        <v>00000000</v>
      </c>
      <c r="H80" t="str">
        <f>Single2String(Table13[[#This Row],[a ktrace]])</f>
        <v>00000000</v>
      </c>
      <c r="I80" t="str">
        <f>Single2String(Table13[[#This Row],[g ktrace]])</f>
        <v>00000000</v>
      </c>
      <c r="J80" t="str">
        <f>Single2String(Table13[[#This Row],[t ktrace]])</f>
        <v>00000000</v>
      </c>
      <c r="K80" s="3">
        <v>75</v>
      </c>
      <c r="L80">
        <f>SUM(Table13[[#This Row],[c ktrace'[2']]:[c ktrace'[0']]])</f>
        <v>0</v>
      </c>
      <c r="M80">
        <f>SUM(Table13[[#This Row],[a ktrace'[2']]:[a ktrace'[0']]])</f>
        <v>0</v>
      </c>
      <c r="N80">
        <f>SUM(Table13[[#This Row],[g ktrace'[2']]:[g ktrace'[0']]])</f>
        <v>0</v>
      </c>
      <c r="O80">
        <f>SUM(Table13[[#This Row],[t ktrace'[2']]:[t ktrace'[0']]])</f>
        <v>0</v>
      </c>
      <c r="P80">
        <f xml:space="preserve"> IF(Table13[[#This Row],[dye'[2']]]=3, Table13[[#This Row],[strength'[2']]], 0)</f>
        <v>0</v>
      </c>
      <c r="Q80">
        <f xml:space="preserve"> IF(Table13[[#This Row],[dye'[1']]]=3, Table13[[#This Row],[strength'[1']]], 0)</f>
        <v>0</v>
      </c>
      <c r="R80">
        <f xml:space="preserve"> IF(Table13[[#This Row],[dye'[0']]]=3, Table13[[#This Row],[strength'[0']]], 0)</f>
        <v>0</v>
      </c>
      <c r="S80">
        <f xml:space="preserve"> IF(Table13[[#This Row],[dye'[2']]]=2, Table13[[#This Row],[strength'[2']]], 0)</f>
        <v>0</v>
      </c>
      <c r="T80">
        <f xml:space="preserve"> IF(Table13[[#This Row],[dye'[1']]]=2, Table13[[#This Row],[strength'[1']]], 0)</f>
        <v>0</v>
      </c>
      <c r="U80">
        <f xml:space="preserve"> IF(Table13[[#This Row],[dye'[0']]]=2, Table13[[#This Row],[strength'[0']]], 0)</f>
        <v>0</v>
      </c>
      <c r="V80">
        <f xml:space="preserve"> IF(Table13[[#This Row],[dye'[2']]]=1, Table13[[#This Row],[strength'[2']]], 0)</f>
        <v>0</v>
      </c>
      <c r="W80">
        <f xml:space="preserve"> IF(Table13[[#This Row],[dye'[1']]]=1, Table13[[#This Row],[strength'[1']]], 0)</f>
        <v>0</v>
      </c>
      <c r="X80">
        <f xml:space="preserve"> IF(Table13[[#This Row],[dye'[0']]]=1, Table13[[#This Row],[strength'[0']]], 0)</f>
        <v>0</v>
      </c>
      <c r="Y80">
        <f xml:space="preserve"> IF(Table13[[#This Row],[dye'[2']]]=0, Table13[[#This Row],[strength'[2']]], 0)</f>
        <v>0</v>
      </c>
      <c r="Z80">
        <f xml:space="preserve"> IF(Table13[[#This Row],[dye'[1']]]=0, Table13[[#This Row],[strength'[1']]], 0)</f>
        <v>0</v>
      </c>
      <c r="AA80">
        <f xml:space="preserve"> IF(Table13[[#This Row],[dye'[0']]]=0, Table13[[#This Row],[strength'[0']]], 0)</f>
        <v>0</v>
      </c>
      <c r="AB80">
        <v>0</v>
      </c>
      <c r="AC80">
        <f>MAX($D$2, Table13[[#This Row],[t1'[0']]])</f>
        <v>0</v>
      </c>
      <c r="AD80">
        <v>0</v>
      </c>
      <c r="AE80">
        <f>Table13[[#This Row],[t1'[0']]]+Table13[[#This Row],[dt'[0']]]</f>
        <v>0</v>
      </c>
      <c r="AF80">
        <f>MIN($C$2, Table13[[#This Row],[tf'[0']]])</f>
        <v>0</v>
      </c>
      <c r="AG80">
        <f>Table13[[#This Row],[time2'[0']]]-Table13[[#This Row],[time1'[0']]]</f>
        <v>0</v>
      </c>
      <c r="AH80">
        <v>0</v>
      </c>
      <c r="AI80">
        <f xml:space="preserve"> INDEX(Table3[[#All],[Intensity]], Table13[[#This Row],[int'[0']]]+2)</f>
        <v>0</v>
      </c>
      <c r="AJ80">
        <f>Table13[[#This Row],[duration'[0']]]*Table13[[#This Row],[intensity'[0']]]</f>
        <v>0</v>
      </c>
      <c r="AK80">
        <f>MOD(Table13[[#This Row],[ZMW num]], 4)</f>
        <v>3</v>
      </c>
      <c r="AL80">
        <v>0</v>
      </c>
      <c r="AM80">
        <f>MAX($D$2, Table13[[#This Row],[t1'[1']]])</f>
        <v>0</v>
      </c>
      <c r="AN80">
        <v>0</v>
      </c>
      <c r="AO80">
        <f>Table13[[#This Row],[t1'[1']]]+Table13[[#This Row],[dt'[1']]]</f>
        <v>0</v>
      </c>
      <c r="AP80">
        <f>MIN($C$2, Table13[[#This Row],[tf'[1']]])</f>
        <v>0</v>
      </c>
      <c r="AQ80">
        <f>Table13[[#This Row],[time2'[1']]]-Table13[[#This Row],[time1'[1']]]</f>
        <v>0</v>
      </c>
      <c r="AR80">
        <v>0</v>
      </c>
      <c r="AS80">
        <f xml:space="preserve"> INDEX(Table3[[#All],[Intensity]], Table13[[#This Row],[int'[1']]]+2)</f>
        <v>0</v>
      </c>
      <c r="AT80">
        <f>Table13[[#This Row],[duration'[1']]]*Table13[[#This Row],[intensity'[1']]]</f>
        <v>0</v>
      </c>
      <c r="AU80">
        <f>MOD(Table13[[#This Row],[ZMW num]]+1, 4)</f>
        <v>0</v>
      </c>
      <c r="AV80">
        <v>0</v>
      </c>
      <c r="AW80">
        <f>MAX($D$2, Table13[[#This Row],[t1'[2']]])</f>
        <v>0</v>
      </c>
      <c r="AX80">
        <v>0</v>
      </c>
      <c r="AY80">
        <f>Table13[[#This Row],[t1'[2']]]+Table13[[#This Row],[dt'[2']]]</f>
        <v>0</v>
      </c>
      <c r="AZ80">
        <f>MIN($C$2, Table13[[#This Row],[tf'[2']]])</f>
        <v>0</v>
      </c>
      <c r="BA80">
        <f>Table13[[#This Row],[time2'[2']]]-Table13[[#This Row],[time1'[2']]]</f>
        <v>0</v>
      </c>
      <c r="BB80">
        <v>0</v>
      </c>
      <c r="BC80">
        <f xml:space="preserve"> INDEX(Table3[[#All],[Intensity]], Table13[[#This Row],[int'[2']]]+2)</f>
        <v>0</v>
      </c>
      <c r="BD80">
        <f>Table13[[#This Row],[duration'[2']]]*Table13[[#This Row],[intensity'[2']]]</f>
        <v>0</v>
      </c>
      <c r="BE80">
        <f>MOD(Table13[[#This Row],[ZMW num]]+2, 4)</f>
        <v>1</v>
      </c>
      <c r="BF80" s="2" t="str">
        <f>Single2String(Table13[[#This Row],[t1'[0']]])</f>
        <v>00000000</v>
      </c>
      <c r="BG80" s="1" t="str">
        <f>Single2String(Table13[[#This Row],[dt'[0']]])</f>
        <v>00000000</v>
      </c>
      <c r="BH80" s="1" t="str">
        <f>Single2String(Table13[[#This Row],[t1'[1']]])</f>
        <v>00000000</v>
      </c>
      <c r="BI80" s="1" t="str">
        <f>Single2String(Table13[[#This Row],[dt'[1']]])</f>
        <v>00000000</v>
      </c>
      <c r="BJ80" s="1" t="str">
        <f>Single2String(Table13[[#This Row],[t1'[2']]])</f>
        <v>00000000</v>
      </c>
      <c r="BK80" s="1" t="str">
        <f>Single2String(Table13[[#This Row],[dt'[2']]])</f>
        <v>00000000</v>
      </c>
      <c r="BL80" s="1" t="str">
        <f>DEC2HEX(Table13[[#This Row],[ZMW num]], 6)</f>
        <v>00004B</v>
      </c>
      <c r="BM80" s="1">
        <f>LEN(Table13[[#This Row],[DRAM data]])</f>
        <v>64</v>
      </c>
      <c r="BN8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0000000000000000000000000000000000000000000000003000100000004B00</v>
      </c>
      <c r="CU80"/>
    </row>
    <row r="81" spans="1:99" x14ac:dyDescent="0.25">
      <c r="A81" t="str">
        <f>Single2String(Table13[[#This Row],[duration'[0']]])</f>
        <v>00000000</v>
      </c>
      <c r="B81" t="str">
        <f>Single2String(Table13[[#This Row],[duration'[1']]])</f>
        <v>00000000</v>
      </c>
      <c r="C81" t="str">
        <f>Single2String(Table13[[#This Row],[duration'[2']]])</f>
        <v>00000000</v>
      </c>
      <c r="D81" t="str">
        <f>INDEX(Table3[Hex], Table13[[#This Row],[int'[0']]]+1)</f>
        <v>00000000</v>
      </c>
      <c r="E81" t="str">
        <f>INDEX(Table3[Hex], Table13[[#This Row],[int'[1']]]+1)</f>
        <v>00000000</v>
      </c>
      <c r="F81" t="str">
        <f>INDEX(Table3[Hex], Table13[[#This Row],[int'[1']]]+1)</f>
        <v>00000000</v>
      </c>
      <c r="G81" t="str">
        <f>Single2String(Table13[[#This Row],[c ktrace]])</f>
        <v>00000000</v>
      </c>
      <c r="H81" t="str">
        <f>Single2String(Table13[[#This Row],[a ktrace]])</f>
        <v>00000000</v>
      </c>
      <c r="I81" t="str">
        <f>Single2String(Table13[[#This Row],[g ktrace]])</f>
        <v>00000000</v>
      </c>
      <c r="J81" t="str">
        <f>Single2String(Table13[[#This Row],[t ktrace]])</f>
        <v>00000000</v>
      </c>
      <c r="K81" s="3">
        <v>76</v>
      </c>
      <c r="L81">
        <f>SUM(Table13[[#This Row],[c ktrace'[2']]:[c ktrace'[0']]])</f>
        <v>0</v>
      </c>
      <c r="M81">
        <f>SUM(Table13[[#This Row],[a ktrace'[2']]:[a ktrace'[0']]])</f>
        <v>0</v>
      </c>
      <c r="N81">
        <f>SUM(Table13[[#This Row],[g ktrace'[2']]:[g ktrace'[0']]])</f>
        <v>0</v>
      </c>
      <c r="O81">
        <f>SUM(Table13[[#This Row],[t ktrace'[2']]:[t ktrace'[0']]])</f>
        <v>0</v>
      </c>
      <c r="P81">
        <f xml:space="preserve"> IF(Table13[[#This Row],[dye'[2']]]=3, Table13[[#This Row],[strength'[2']]], 0)</f>
        <v>0</v>
      </c>
      <c r="Q81">
        <f xml:space="preserve"> IF(Table13[[#This Row],[dye'[1']]]=3, Table13[[#This Row],[strength'[1']]], 0)</f>
        <v>0</v>
      </c>
      <c r="R81">
        <f xml:space="preserve"> IF(Table13[[#This Row],[dye'[0']]]=3, Table13[[#This Row],[strength'[0']]], 0)</f>
        <v>0</v>
      </c>
      <c r="S81">
        <f xml:space="preserve"> IF(Table13[[#This Row],[dye'[2']]]=2, Table13[[#This Row],[strength'[2']]], 0)</f>
        <v>0</v>
      </c>
      <c r="T81">
        <f xml:space="preserve"> IF(Table13[[#This Row],[dye'[1']]]=2, Table13[[#This Row],[strength'[1']]], 0)</f>
        <v>0</v>
      </c>
      <c r="U81">
        <f xml:space="preserve"> IF(Table13[[#This Row],[dye'[0']]]=2, Table13[[#This Row],[strength'[0']]], 0)</f>
        <v>0</v>
      </c>
      <c r="V81">
        <f xml:space="preserve"> IF(Table13[[#This Row],[dye'[2']]]=1, Table13[[#This Row],[strength'[2']]], 0)</f>
        <v>0</v>
      </c>
      <c r="W81">
        <f xml:space="preserve"> IF(Table13[[#This Row],[dye'[1']]]=1, Table13[[#This Row],[strength'[1']]], 0)</f>
        <v>0</v>
      </c>
      <c r="X81">
        <f xml:space="preserve"> IF(Table13[[#This Row],[dye'[0']]]=1, Table13[[#This Row],[strength'[0']]], 0)</f>
        <v>0</v>
      </c>
      <c r="Y81">
        <f xml:space="preserve"> IF(Table13[[#This Row],[dye'[2']]]=0, Table13[[#This Row],[strength'[2']]], 0)</f>
        <v>0</v>
      </c>
      <c r="Z81">
        <f xml:space="preserve"> IF(Table13[[#This Row],[dye'[1']]]=0, Table13[[#This Row],[strength'[1']]], 0)</f>
        <v>0</v>
      </c>
      <c r="AA81">
        <f xml:space="preserve"> IF(Table13[[#This Row],[dye'[0']]]=0, Table13[[#This Row],[strength'[0']]], 0)</f>
        <v>0</v>
      </c>
      <c r="AB81">
        <v>0</v>
      </c>
      <c r="AC81">
        <f>MAX($D$2, Table13[[#This Row],[t1'[0']]])</f>
        <v>0</v>
      </c>
      <c r="AD81">
        <v>0</v>
      </c>
      <c r="AE81">
        <f>Table13[[#This Row],[t1'[0']]]+Table13[[#This Row],[dt'[0']]]</f>
        <v>0</v>
      </c>
      <c r="AF81">
        <f>MIN($C$2, Table13[[#This Row],[tf'[0']]])</f>
        <v>0</v>
      </c>
      <c r="AG81">
        <f>Table13[[#This Row],[time2'[0']]]-Table13[[#This Row],[time1'[0']]]</f>
        <v>0</v>
      </c>
      <c r="AH81">
        <v>0</v>
      </c>
      <c r="AI81">
        <f xml:space="preserve"> INDEX(Table3[[#All],[Intensity]], Table13[[#This Row],[int'[0']]]+2)</f>
        <v>0</v>
      </c>
      <c r="AJ81">
        <f>Table13[[#This Row],[duration'[0']]]*Table13[[#This Row],[intensity'[0']]]</f>
        <v>0</v>
      </c>
      <c r="AK81">
        <f>MOD(Table13[[#This Row],[ZMW num]], 4)</f>
        <v>0</v>
      </c>
      <c r="AL81">
        <v>0</v>
      </c>
      <c r="AM81">
        <f>MAX($D$2, Table13[[#This Row],[t1'[1']]])</f>
        <v>0</v>
      </c>
      <c r="AN81">
        <v>0</v>
      </c>
      <c r="AO81">
        <f>Table13[[#This Row],[t1'[1']]]+Table13[[#This Row],[dt'[1']]]</f>
        <v>0</v>
      </c>
      <c r="AP81">
        <f>MIN($C$2, Table13[[#This Row],[tf'[1']]])</f>
        <v>0</v>
      </c>
      <c r="AQ81">
        <f>Table13[[#This Row],[time2'[1']]]-Table13[[#This Row],[time1'[1']]]</f>
        <v>0</v>
      </c>
      <c r="AR81">
        <v>0</v>
      </c>
      <c r="AS81">
        <f xml:space="preserve"> INDEX(Table3[[#All],[Intensity]], Table13[[#This Row],[int'[1']]]+2)</f>
        <v>0</v>
      </c>
      <c r="AT81">
        <f>Table13[[#This Row],[duration'[1']]]*Table13[[#This Row],[intensity'[1']]]</f>
        <v>0</v>
      </c>
      <c r="AU81">
        <f>MOD(Table13[[#This Row],[ZMW num]]+1, 4)</f>
        <v>1</v>
      </c>
      <c r="AV81">
        <v>0</v>
      </c>
      <c r="AW81">
        <f>MAX($D$2, Table13[[#This Row],[t1'[2']]])</f>
        <v>0</v>
      </c>
      <c r="AX81">
        <v>0</v>
      </c>
      <c r="AY81">
        <f>Table13[[#This Row],[t1'[2']]]+Table13[[#This Row],[dt'[2']]]</f>
        <v>0</v>
      </c>
      <c r="AZ81">
        <f>MIN($C$2, Table13[[#This Row],[tf'[2']]])</f>
        <v>0</v>
      </c>
      <c r="BA81">
        <f>Table13[[#This Row],[time2'[2']]]-Table13[[#This Row],[time1'[2']]]</f>
        <v>0</v>
      </c>
      <c r="BB81">
        <v>0</v>
      </c>
      <c r="BC81">
        <f xml:space="preserve"> INDEX(Table3[[#All],[Intensity]], Table13[[#This Row],[int'[2']]]+2)</f>
        <v>0</v>
      </c>
      <c r="BD81">
        <f>Table13[[#This Row],[duration'[2']]]*Table13[[#This Row],[intensity'[2']]]</f>
        <v>0</v>
      </c>
      <c r="BE81">
        <f>MOD(Table13[[#This Row],[ZMW num]]+2, 4)</f>
        <v>2</v>
      </c>
      <c r="BF81" s="2" t="str">
        <f>Single2String(Table13[[#This Row],[t1'[0']]])</f>
        <v>00000000</v>
      </c>
      <c r="BG81" s="1" t="str">
        <f>Single2String(Table13[[#This Row],[dt'[0']]])</f>
        <v>00000000</v>
      </c>
      <c r="BH81" s="1" t="str">
        <f>Single2String(Table13[[#This Row],[t1'[1']]])</f>
        <v>00000000</v>
      </c>
      <c r="BI81" s="1" t="str">
        <f>Single2String(Table13[[#This Row],[dt'[1']]])</f>
        <v>00000000</v>
      </c>
      <c r="BJ81" s="1" t="str">
        <f>Single2String(Table13[[#This Row],[t1'[2']]])</f>
        <v>00000000</v>
      </c>
      <c r="BK81" s="1" t="str">
        <f>Single2String(Table13[[#This Row],[dt'[2']]])</f>
        <v>00000000</v>
      </c>
      <c r="BL81" s="1" t="str">
        <f>DEC2HEX(Table13[[#This Row],[ZMW num]], 6)</f>
        <v>00004C</v>
      </c>
      <c r="BM81" s="1">
        <f>LEN(Table13[[#This Row],[DRAM data]])</f>
        <v>64</v>
      </c>
      <c r="BN8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0000000000000000000000000000000000000000000000000010200000004C00</v>
      </c>
      <c r="CU81"/>
    </row>
    <row r="82" spans="1:99" x14ac:dyDescent="0.25">
      <c r="A82" t="str">
        <f>Single2String(Table13[[#This Row],[duration'[0']]])</f>
        <v>00000000</v>
      </c>
      <c r="B82" t="str">
        <f>Single2String(Table13[[#This Row],[duration'[1']]])</f>
        <v>00000000</v>
      </c>
      <c r="C82" t="str">
        <f>Single2String(Table13[[#This Row],[duration'[2']]])</f>
        <v>00000000</v>
      </c>
      <c r="D82" t="str">
        <f>INDEX(Table3[Hex], Table13[[#This Row],[int'[0']]]+1)</f>
        <v>00000000</v>
      </c>
      <c r="E82" t="str">
        <f>INDEX(Table3[Hex], Table13[[#This Row],[int'[1']]]+1)</f>
        <v>00000000</v>
      </c>
      <c r="F82" t="str">
        <f>INDEX(Table3[Hex], Table13[[#This Row],[int'[1']]]+1)</f>
        <v>00000000</v>
      </c>
      <c r="G82" t="str">
        <f>Single2String(Table13[[#This Row],[c ktrace]])</f>
        <v>00000000</v>
      </c>
      <c r="H82" t="str">
        <f>Single2String(Table13[[#This Row],[a ktrace]])</f>
        <v>00000000</v>
      </c>
      <c r="I82" t="str">
        <f>Single2String(Table13[[#This Row],[g ktrace]])</f>
        <v>00000000</v>
      </c>
      <c r="J82" t="str">
        <f>Single2String(Table13[[#This Row],[t ktrace]])</f>
        <v>00000000</v>
      </c>
      <c r="K82" s="3">
        <v>77</v>
      </c>
      <c r="L82">
        <f>SUM(Table13[[#This Row],[c ktrace'[2']]:[c ktrace'[0']]])</f>
        <v>0</v>
      </c>
      <c r="M82">
        <f>SUM(Table13[[#This Row],[a ktrace'[2']]:[a ktrace'[0']]])</f>
        <v>0</v>
      </c>
      <c r="N82">
        <f>SUM(Table13[[#This Row],[g ktrace'[2']]:[g ktrace'[0']]])</f>
        <v>0</v>
      </c>
      <c r="O82">
        <f>SUM(Table13[[#This Row],[t ktrace'[2']]:[t ktrace'[0']]])</f>
        <v>0</v>
      </c>
      <c r="P82">
        <f xml:space="preserve"> IF(Table13[[#This Row],[dye'[2']]]=3, Table13[[#This Row],[strength'[2']]], 0)</f>
        <v>0</v>
      </c>
      <c r="Q82">
        <f xml:space="preserve"> IF(Table13[[#This Row],[dye'[1']]]=3, Table13[[#This Row],[strength'[1']]], 0)</f>
        <v>0</v>
      </c>
      <c r="R82">
        <f xml:space="preserve"> IF(Table13[[#This Row],[dye'[0']]]=3, Table13[[#This Row],[strength'[0']]], 0)</f>
        <v>0</v>
      </c>
      <c r="S82">
        <f xml:space="preserve"> IF(Table13[[#This Row],[dye'[2']]]=2, Table13[[#This Row],[strength'[2']]], 0)</f>
        <v>0</v>
      </c>
      <c r="T82">
        <f xml:space="preserve"> IF(Table13[[#This Row],[dye'[1']]]=2, Table13[[#This Row],[strength'[1']]], 0)</f>
        <v>0</v>
      </c>
      <c r="U82">
        <f xml:space="preserve"> IF(Table13[[#This Row],[dye'[0']]]=2, Table13[[#This Row],[strength'[0']]], 0)</f>
        <v>0</v>
      </c>
      <c r="V82">
        <f xml:space="preserve"> IF(Table13[[#This Row],[dye'[2']]]=1, Table13[[#This Row],[strength'[2']]], 0)</f>
        <v>0</v>
      </c>
      <c r="W82">
        <f xml:space="preserve"> IF(Table13[[#This Row],[dye'[1']]]=1, Table13[[#This Row],[strength'[1']]], 0)</f>
        <v>0</v>
      </c>
      <c r="X82">
        <f xml:space="preserve"> IF(Table13[[#This Row],[dye'[0']]]=1, Table13[[#This Row],[strength'[0']]], 0)</f>
        <v>0</v>
      </c>
      <c r="Y82">
        <f xml:space="preserve"> IF(Table13[[#This Row],[dye'[2']]]=0, Table13[[#This Row],[strength'[2']]], 0)</f>
        <v>0</v>
      </c>
      <c r="Z82">
        <f xml:space="preserve"> IF(Table13[[#This Row],[dye'[1']]]=0, Table13[[#This Row],[strength'[1']]], 0)</f>
        <v>0</v>
      </c>
      <c r="AA82">
        <f xml:space="preserve"> IF(Table13[[#This Row],[dye'[0']]]=0, Table13[[#This Row],[strength'[0']]], 0)</f>
        <v>0</v>
      </c>
      <c r="AB82">
        <v>0</v>
      </c>
      <c r="AC82">
        <f>MAX($D$2, Table13[[#This Row],[t1'[0']]])</f>
        <v>0</v>
      </c>
      <c r="AD82">
        <v>0</v>
      </c>
      <c r="AE82">
        <f>Table13[[#This Row],[t1'[0']]]+Table13[[#This Row],[dt'[0']]]</f>
        <v>0</v>
      </c>
      <c r="AF82">
        <f>MIN($C$2, Table13[[#This Row],[tf'[0']]])</f>
        <v>0</v>
      </c>
      <c r="AG82">
        <f>Table13[[#This Row],[time2'[0']]]-Table13[[#This Row],[time1'[0']]]</f>
        <v>0</v>
      </c>
      <c r="AH82">
        <v>0</v>
      </c>
      <c r="AI82">
        <f xml:space="preserve"> INDEX(Table3[[#All],[Intensity]], Table13[[#This Row],[int'[0']]]+2)</f>
        <v>0</v>
      </c>
      <c r="AJ82">
        <f>Table13[[#This Row],[duration'[0']]]*Table13[[#This Row],[intensity'[0']]]</f>
        <v>0</v>
      </c>
      <c r="AK82">
        <f>MOD(Table13[[#This Row],[ZMW num]], 4)</f>
        <v>1</v>
      </c>
      <c r="AL82">
        <v>0</v>
      </c>
      <c r="AM82">
        <f>MAX($D$2, Table13[[#This Row],[t1'[1']]])</f>
        <v>0</v>
      </c>
      <c r="AN82">
        <v>0</v>
      </c>
      <c r="AO82">
        <f>Table13[[#This Row],[t1'[1']]]+Table13[[#This Row],[dt'[1']]]</f>
        <v>0</v>
      </c>
      <c r="AP82">
        <f>MIN($C$2, Table13[[#This Row],[tf'[1']]])</f>
        <v>0</v>
      </c>
      <c r="AQ82">
        <f>Table13[[#This Row],[time2'[1']]]-Table13[[#This Row],[time1'[1']]]</f>
        <v>0</v>
      </c>
      <c r="AR82">
        <v>0</v>
      </c>
      <c r="AS82">
        <f xml:space="preserve"> INDEX(Table3[[#All],[Intensity]], Table13[[#This Row],[int'[1']]]+2)</f>
        <v>0</v>
      </c>
      <c r="AT82">
        <f>Table13[[#This Row],[duration'[1']]]*Table13[[#This Row],[intensity'[1']]]</f>
        <v>0</v>
      </c>
      <c r="AU82">
        <f>MOD(Table13[[#This Row],[ZMW num]]+1, 4)</f>
        <v>2</v>
      </c>
      <c r="AV82">
        <v>0</v>
      </c>
      <c r="AW82">
        <f>MAX($D$2, Table13[[#This Row],[t1'[2']]])</f>
        <v>0</v>
      </c>
      <c r="AX82">
        <v>0</v>
      </c>
      <c r="AY82">
        <f>Table13[[#This Row],[t1'[2']]]+Table13[[#This Row],[dt'[2']]]</f>
        <v>0</v>
      </c>
      <c r="AZ82">
        <f>MIN($C$2, Table13[[#This Row],[tf'[2']]])</f>
        <v>0</v>
      </c>
      <c r="BA82">
        <f>Table13[[#This Row],[time2'[2']]]-Table13[[#This Row],[time1'[2']]]</f>
        <v>0</v>
      </c>
      <c r="BB82">
        <v>0</v>
      </c>
      <c r="BC82">
        <f xml:space="preserve"> INDEX(Table3[[#All],[Intensity]], Table13[[#This Row],[int'[2']]]+2)</f>
        <v>0</v>
      </c>
      <c r="BD82">
        <f>Table13[[#This Row],[duration'[2']]]*Table13[[#This Row],[intensity'[2']]]</f>
        <v>0</v>
      </c>
      <c r="BE82">
        <f>MOD(Table13[[#This Row],[ZMW num]]+2, 4)</f>
        <v>3</v>
      </c>
      <c r="BF82" s="2" t="str">
        <f>Single2String(Table13[[#This Row],[t1'[0']]])</f>
        <v>00000000</v>
      </c>
      <c r="BG82" s="1" t="str">
        <f>Single2String(Table13[[#This Row],[dt'[0']]])</f>
        <v>00000000</v>
      </c>
      <c r="BH82" s="1" t="str">
        <f>Single2String(Table13[[#This Row],[t1'[1']]])</f>
        <v>00000000</v>
      </c>
      <c r="BI82" s="1" t="str">
        <f>Single2String(Table13[[#This Row],[dt'[1']]])</f>
        <v>00000000</v>
      </c>
      <c r="BJ82" s="1" t="str">
        <f>Single2String(Table13[[#This Row],[t1'[2']]])</f>
        <v>00000000</v>
      </c>
      <c r="BK82" s="1" t="str">
        <f>Single2String(Table13[[#This Row],[dt'[2']]])</f>
        <v>00000000</v>
      </c>
      <c r="BL82" s="1" t="str">
        <f>DEC2HEX(Table13[[#This Row],[ZMW num]], 6)</f>
        <v>00004D</v>
      </c>
      <c r="BM82" s="1">
        <f>LEN(Table13[[#This Row],[DRAM data]])</f>
        <v>64</v>
      </c>
      <c r="BN8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0000000000000000000000000000000000000000000000001020300000004D00</v>
      </c>
      <c r="CU82"/>
    </row>
    <row r="83" spans="1:99" x14ac:dyDescent="0.25">
      <c r="A83" t="str">
        <f>Single2String(Table13[[#This Row],[duration'[0']]])</f>
        <v>00000000</v>
      </c>
      <c r="B83" t="str">
        <f>Single2String(Table13[[#This Row],[duration'[1']]])</f>
        <v>00000000</v>
      </c>
      <c r="C83" t="str">
        <f>Single2String(Table13[[#This Row],[duration'[2']]])</f>
        <v>00000000</v>
      </c>
      <c r="D83" t="str">
        <f>INDEX(Table3[Hex], Table13[[#This Row],[int'[0']]]+1)</f>
        <v>00000000</v>
      </c>
      <c r="E83" t="str">
        <f>INDEX(Table3[Hex], Table13[[#This Row],[int'[1']]]+1)</f>
        <v>00000000</v>
      </c>
      <c r="F83" t="str">
        <f>INDEX(Table3[Hex], Table13[[#This Row],[int'[1']]]+1)</f>
        <v>00000000</v>
      </c>
      <c r="G83" t="str">
        <f>Single2String(Table13[[#This Row],[c ktrace]])</f>
        <v>00000000</v>
      </c>
      <c r="H83" t="str">
        <f>Single2String(Table13[[#This Row],[a ktrace]])</f>
        <v>00000000</v>
      </c>
      <c r="I83" t="str">
        <f>Single2String(Table13[[#This Row],[g ktrace]])</f>
        <v>00000000</v>
      </c>
      <c r="J83" t="str">
        <f>Single2String(Table13[[#This Row],[t ktrace]])</f>
        <v>00000000</v>
      </c>
      <c r="K83" s="3">
        <v>78</v>
      </c>
      <c r="L83">
        <f>SUM(Table13[[#This Row],[c ktrace'[2']]:[c ktrace'[0']]])</f>
        <v>0</v>
      </c>
      <c r="M83">
        <f>SUM(Table13[[#This Row],[a ktrace'[2']]:[a ktrace'[0']]])</f>
        <v>0</v>
      </c>
      <c r="N83">
        <f>SUM(Table13[[#This Row],[g ktrace'[2']]:[g ktrace'[0']]])</f>
        <v>0</v>
      </c>
      <c r="O83">
        <f>SUM(Table13[[#This Row],[t ktrace'[2']]:[t ktrace'[0']]])</f>
        <v>0</v>
      </c>
      <c r="P83">
        <f xml:space="preserve"> IF(Table13[[#This Row],[dye'[2']]]=3, Table13[[#This Row],[strength'[2']]], 0)</f>
        <v>0</v>
      </c>
      <c r="Q83">
        <f xml:space="preserve"> IF(Table13[[#This Row],[dye'[1']]]=3, Table13[[#This Row],[strength'[1']]], 0)</f>
        <v>0</v>
      </c>
      <c r="R83">
        <f xml:space="preserve"> IF(Table13[[#This Row],[dye'[0']]]=3, Table13[[#This Row],[strength'[0']]], 0)</f>
        <v>0</v>
      </c>
      <c r="S83">
        <f xml:space="preserve"> IF(Table13[[#This Row],[dye'[2']]]=2, Table13[[#This Row],[strength'[2']]], 0)</f>
        <v>0</v>
      </c>
      <c r="T83">
        <f xml:space="preserve"> IF(Table13[[#This Row],[dye'[1']]]=2, Table13[[#This Row],[strength'[1']]], 0)</f>
        <v>0</v>
      </c>
      <c r="U83">
        <f xml:space="preserve"> IF(Table13[[#This Row],[dye'[0']]]=2, Table13[[#This Row],[strength'[0']]], 0)</f>
        <v>0</v>
      </c>
      <c r="V83">
        <f xml:space="preserve"> IF(Table13[[#This Row],[dye'[2']]]=1, Table13[[#This Row],[strength'[2']]], 0)</f>
        <v>0</v>
      </c>
      <c r="W83">
        <f xml:space="preserve"> IF(Table13[[#This Row],[dye'[1']]]=1, Table13[[#This Row],[strength'[1']]], 0)</f>
        <v>0</v>
      </c>
      <c r="X83">
        <f xml:space="preserve"> IF(Table13[[#This Row],[dye'[0']]]=1, Table13[[#This Row],[strength'[0']]], 0)</f>
        <v>0</v>
      </c>
      <c r="Y83">
        <f xml:space="preserve"> IF(Table13[[#This Row],[dye'[2']]]=0, Table13[[#This Row],[strength'[2']]], 0)</f>
        <v>0</v>
      </c>
      <c r="Z83">
        <f xml:space="preserve"> IF(Table13[[#This Row],[dye'[1']]]=0, Table13[[#This Row],[strength'[1']]], 0)</f>
        <v>0</v>
      </c>
      <c r="AA83">
        <f xml:space="preserve"> IF(Table13[[#This Row],[dye'[0']]]=0, Table13[[#This Row],[strength'[0']]], 0)</f>
        <v>0</v>
      </c>
      <c r="AB83">
        <v>0</v>
      </c>
      <c r="AC83">
        <f>MAX($D$2, Table13[[#This Row],[t1'[0']]])</f>
        <v>0</v>
      </c>
      <c r="AD83">
        <v>0</v>
      </c>
      <c r="AE83">
        <f>Table13[[#This Row],[t1'[0']]]+Table13[[#This Row],[dt'[0']]]</f>
        <v>0</v>
      </c>
      <c r="AF83">
        <f>MIN($C$2, Table13[[#This Row],[tf'[0']]])</f>
        <v>0</v>
      </c>
      <c r="AG83">
        <f>Table13[[#This Row],[time2'[0']]]-Table13[[#This Row],[time1'[0']]]</f>
        <v>0</v>
      </c>
      <c r="AH83">
        <v>0</v>
      </c>
      <c r="AI83">
        <f xml:space="preserve"> INDEX(Table3[[#All],[Intensity]], Table13[[#This Row],[int'[0']]]+2)</f>
        <v>0</v>
      </c>
      <c r="AJ83">
        <f>Table13[[#This Row],[duration'[0']]]*Table13[[#This Row],[intensity'[0']]]</f>
        <v>0</v>
      </c>
      <c r="AK83">
        <f>MOD(Table13[[#This Row],[ZMW num]], 4)</f>
        <v>2</v>
      </c>
      <c r="AL83">
        <v>0</v>
      </c>
      <c r="AM83">
        <f>MAX($D$2, Table13[[#This Row],[t1'[1']]])</f>
        <v>0</v>
      </c>
      <c r="AN83">
        <v>0</v>
      </c>
      <c r="AO83">
        <f>Table13[[#This Row],[t1'[1']]]+Table13[[#This Row],[dt'[1']]]</f>
        <v>0</v>
      </c>
      <c r="AP83">
        <f>MIN($C$2, Table13[[#This Row],[tf'[1']]])</f>
        <v>0</v>
      </c>
      <c r="AQ83">
        <f>Table13[[#This Row],[time2'[1']]]-Table13[[#This Row],[time1'[1']]]</f>
        <v>0</v>
      </c>
      <c r="AR83">
        <v>0</v>
      </c>
      <c r="AS83">
        <f xml:space="preserve"> INDEX(Table3[[#All],[Intensity]], Table13[[#This Row],[int'[1']]]+2)</f>
        <v>0</v>
      </c>
      <c r="AT83">
        <f>Table13[[#This Row],[duration'[1']]]*Table13[[#This Row],[intensity'[1']]]</f>
        <v>0</v>
      </c>
      <c r="AU83">
        <f>MOD(Table13[[#This Row],[ZMW num]]+1, 4)</f>
        <v>3</v>
      </c>
      <c r="AV83">
        <v>0</v>
      </c>
      <c r="AW83">
        <f>MAX($D$2, Table13[[#This Row],[t1'[2']]])</f>
        <v>0</v>
      </c>
      <c r="AX83">
        <v>0</v>
      </c>
      <c r="AY83">
        <f>Table13[[#This Row],[t1'[2']]]+Table13[[#This Row],[dt'[2']]]</f>
        <v>0</v>
      </c>
      <c r="AZ83">
        <f>MIN($C$2, Table13[[#This Row],[tf'[2']]])</f>
        <v>0</v>
      </c>
      <c r="BA83">
        <f>Table13[[#This Row],[time2'[2']]]-Table13[[#This Row],[time1'[2']]]</f>
        <v>0</v>
      </c>
      <c r="BB83">
        <v>0</v>
      </c>
      <c r="BC83">
        <f xml:space="preserve"> INDEX(Table3[[#All],[Intensity]], Table13[[#This Row],[int'[2']]]+2)</f>
        <v>0</v>
      </c>
      <c r="BD83">
        <f>Table13[[#This Row],[duration'[2']]]*Table13[[#This Row],[intensity'[2']]]</f>
        <v>0</v>
      </c>
      <c r="BE83">
        <f>MOD(Table13[[#This Row],[ZMW num]]+2, 4)</f>
        <v>0</v>
      </c>
      <c r="BF83" s="2" t="str">
        <f>Single2String(Table13[[#This Row],[t1'[0']]])</f>
        <v>00000000</v>
      </c>
      <c r="BG83" s="1" t="str">
        <f>Single2String(Table13[[#This Row],[dt'[0']]])</f>
        <v>00000000</v>
      </c>
      <c r="BH83" s="1" t="str">
        <f>Single2String(Table13[[#This Row],[t1'[1']]])</f>
        <v>00000000</v>
      </c>
      <c r="BI83" s="1" t="str">
        <f>Single2String(Table13[[#This Row],[dt'[1']]])</f>
        <v>00000000</v>
      </c>
      <c r="BJ83" s="1" t="str">
        <f>Single2String(Table13[[#This Row],[t1'[2']]])</f>
        <v>00000000</v>
      </c>
      <c r="BK83" s="1" t="str">
        <f>Single2String(Table13[[#This Row],[dt'[2']]])</f>
        <v>00000000</v>
      </c>
      <c r="BL83" s="1" t="str">
        <f>DEC2HEX(Table13[[#This Row],[ZMW num]], 6)</f>
        <v>00004E</v>
      </c>
      <c r="BM83" s="1">
        <f>LEN(Table13[[#This Row],[DRAM data]])</f>
        <v>64</v>
      </c>
      <c r="BN8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0000000000000000000000000000000000000000000000002030000000004E00</v>
      </c>
      <c r="CU83"/>
    </row>
    <row r="84" spans="1:99" x14ac:dyDescent="0.25">
      <c r="A84" t="str">
        <f>Single2String(Table13[[#This Row],[duration'[0']]])</f>
        <v>00000000</v>
      </c>
      <c r="B84" t="str">
        <f>Single2String(Table13[[#This Row],[duration'[1']]])</f>
        <v>00000000</v>
      </c>
      <c r="C84" t="str">
        <f>Single2String(Table13[[#This Row],[duration'[2']]])</f>
        <v>00000000</v>
      </c>
      <c r="D84" t="str">
        <f>INDEX(Table3[Hex], Table13[[#This Row],[int'[0']]]+1)</f>
        <v>00000000</v>
      </c>
      <c r="E84" t="str">
        <f>INDEX(Table3[Hex], Table13[[#This Row],[int'[1']]]+1)</f>
        <v>00000000</v>
      </c>
      <c r="F84" t="str">
        <f>INDEX(Table3[Hex], Table13[[#This Row],[int'[1']]]+1)</f>
        <v>00000000</v>
      </c>
      <c r="G84" t="str">
        <f>Single2String(Table13[[#This Row],[c ktrace]])</f>
        <v>00000000</v>
      </c>
      <c r="H84" t="str">
        <f>Single2String(Table13[[#This Row],[a ktrace]])</f>
        <v>00000000</v>
      </c>
      <c r="I84" t="str">
        <f>Single2String(Table13[[#This Row],[g ktrace]])</f>
        <v>00000000</v>
      </c>
      <c r="J84" t="str">
        <f>Single2String(Table13[[#This Row],[t ktrace]])</f>
        <v>00000000</v>
      </c>
      <c r="K84" s="3">
        <v>79</v>
      </c>
      <c r="L84">
        <f>SUM(Table13[[#This Row],[c ktrace'[2']]:[c ktrace'[0']]])</f>
        <v>0</v>
      </c>
      <c r="M84">
        <f>SUM(Table13[[#This Row],[a ktrace'[2']]:[a ktrace'[0']]])</f>
        <v>0</v>
      </c>
      <c r="N84">
        <f>SUM(Table13[[#This Row],[g ktrace'[2']]:[g ktrace'[0']]])</f>
        <v>0</v>
      </c>
      <c r="O84">
        <f>SUM(Table13[[#This Row],[t ktrace'[2']]:[t ktrace'[0']]])</f>
        <v>0</v>
      </c>
      <c r="P84">
        <f xml:space="preserve"> IF(Table13[[#This Row],[dye'[2']]]=3, Table13[[#This Row],[strength'[2']]], 0)</f>
        <v>0</v>
      </c>
      <c r="Q84">
        <f xml:space="preserve"> IF(Table13[[#This Row],[dye'[1']]]=3, Table13[[#This Row],[strength'[1']]], 0)</f>
        <v>0</v>
      </c>
      <c r="R84">
        <f xml:space="preserve"> IF(Table13[[#This Row],[dye'[0']]]=3, Table13[[#This Row],[strength'[0']]], 0)</f>
        <v>0</v>
      </c>
      <c r="S84">
        <f xml:space="preserve"> IF(Table13[[#This Row],[dye'[2']]]=2, Table13[[#This Row],[strength'[2']]], 0)</f>
        <v>0</v>
      </c>
      <c r="T84">
        <f xml:space="preserve"> IF(Table13[[#This Row],[dye'[1']]]=2, Table13[[#This Row],[strength'[1']]], 0)</f>
        <v>0</v>
      </c>
      <c r="U84">
        <f xml:space="preserve"> IF(Table13[[#This Row],[dye'[0']]]=2, Table13[[#This Row],[strength'[0']]], 0)</f>
        <v>0</v>
      </c>
      <c r="V84">
        <f xml:space="preserve"> IF(Table13[[#This Row],[dye'[2']]]=1, Table13[[#This Row],[strength'[2']]], 0)</f>
        <v>0</v>
      </c>
      <c r="W84">
        <f xml:space="preserve"> IF(Table13[[#This Row],[dye'[1']]]=1, Table13[[#This Row],[strength'[1']]], 0)</f>
        <v>0</v>
      </c>
      <c r="X84">
        <f xml:space="preserve"> IF(Table13[[#This Row],[dye'[0']]]=1, Table13[[#This Row],[strength'[0']]], 0)</f>
        <v>0</v>
      </c>
      <c r="Y84">
        <f xml:space="preserve"> IF(Table13[[#This Row],[dye'[2']]]=0, Table13[[#This Row],[strength'[2']]], 0)</f>
        <v>0</v>
      </c>
      <c r="Z84">
        <f xml:space="preserve"> IF(Table13[[#This Row],[dye'[1']]]=0, Table13[[#This Row],[strength'[1']]], 0)</f>
        <v>0</v>
      </c>
      <c r="AA84">
        <f xml:space="preserve"> IF(Table13[[#This Row],[dye'[0']]]=0, Table13[[#This Row],[strength'[0']]], 0)</f>
        <v>0</v>
      </c>
      <c r="AB84">
        <v>0</v>
      </c>
      <c r="AC84">
        <f>MAX($D$2, Table13[[#This Row],[t1'[0']]])</f>
        <v>0</v>
      </c>
      <c r="AD84">
        <v>0</v>
      </c>
      <c r="AE84">
        <f>Table13[[#This Row],[t1'[0']]]+Table13[[#This Row],[dt'[0']]]</f>
        <v>0</v>
      </c>
      <c r="AF84">
        <f>MIN($C$2, Table13[[#This Row],[tf'[0']]])</f>
        <v>0</v>
      </c>
      <c r="AG84">
        <f>Table13[[#This Row],[time2'[0']]]-Table13[[#This Row],[time1'[0']]]</f>
        <v>0</v>
      </c>
      <c r="AH84">
        <v>0</v>
      </c>
      <c r="AI84">
        <f xml:space="preserve"> INDEX(Table3[[#All],[Intensity]], Table13[[#This Row],[int'[0']]]+2)</f>
        <v>0</v>
      </c>
      <c r="AJ84">
        <f>Table13[[#This Row],[duration'[0']]]*Table13[[#This Row],[intensity'[0']]]</f>
        <v>0</v>
      </c>
      <c r="AK84">
        <f>MOD(Table13[[#This Row],[ZMW num]], 4)</f>
        <v>3</v>
      </c>
      <c r="AL84">
        <v>0</v>
      </c>
      <c r="AM84">
        <f>MAX($D$2, Table13[[#This Row],[t1'[1']]])</f>
        <v>0</v>
      </c>
      <c r="AN84">
        <v>0</v>
      </c>
      <c r="AO84">
        <f>Table13[[#This Row],[t1'[1']]]+Table13[[#This Row],[dt'[1']]]</f>
        <v>0</v>
      </c>
      <c r="AP84">
        <f>MIN($C$2, Table13[[#This Row],[tf'[1']]])</f>
        <v>0</v>
      </c>
      <c r="AQ84">
        <f>Table13[[#This Row],[time2'[1']]]-Table13[[#This Row],[time1'[1']]]</f>
        <v>0</v>
      </c>
      <c r="AR84">
        <v>0</v>
      </c>
      <c r="AS84">
        <f xml:space="preserve"> INDEX(Table3[[#All],[Intensity]], Table13[[#This Row],[int'[1']]]+2)</f>
        <v>0</v>
      </c>
      <c r="AT84">
        <f>Table13[[#This Row],[duration'[1']]]*Table13[[#This Row],[intensity'[1']]]</f>
        <v>0</v>
      </c>
      <c r="AU84">
        <f>MOD(Table13[[#This Row],[ZMW num]]+1, 4)</f>
        <v>0</v>
      </c>
      <c r="AV84">
        <v>0</v>
      </c>
      <c r="AW84">
        <f>MAX($D$2, Table13[[#This Row],[t1'[2']]])</f>
        <v>0</v>
      </c>
      <c r="AX84">
        <v>0</v>
      </c>
      <c r="AY84">
        <f>Table13[[#This Row],[t1'[2']]]+Table13[[#This Row],[dt'[2']]]</f>
        <v>0</v>
      </c>
      <c r="AZ84">
        <f>MIN($C$2, Table13[[#This Row],[tf'[2']]])</f>
        <v>0</v>
      </c>
      <c r="BA84">
        <f>Table13[[#This Row],[time2'[2']]]-Table13[[#This Row],[time1'[2']]]</f>
        <v>0</v>
      </c>
      <c r="BB84">
        <v>0</v>
      </c>
      <c r="BC84">
        <f xml:space="preserve"> INDEX(Table3[[#All],[Intensity]], Table13[[#This Row],[int'[2']]]+2)</f>
        <v>0</v>
      </c>
      <c r="BD84">
        <f>Table13[[#This Row],[duration'[2']]]*Table13[[#This Row],[intensity'[2']]]</f>
        <v>0</v>
      </c>
      <c r="BE84">
        <f>MOD(Table13[[#This Row],[ZMW num]]+2, 4)</f>
        <v>1</v>
      </c>
      <c r="BF84" s="2" t="str">
        <f>Single2String(Table13[[#This Row],[t1'[0']]])</f>
        <v>00000000</v>
      </c>
      <c r="BG84" s="1" t="str">
        <f>Single2String(Table13[[#This Row],[dt'[0']]])</f>
        <v>00000000</v>
      </c>
      <c r="BH84" s="1" t="str">
        <f>Single2String(Table13[[#This Row],[t1'[1']]])</f>
        <v>00000000</v>
      </c>
      <c r="BI84" s="1" t="str">
        <f>Single2String(Table13[[#This Row],[dt'[1']]])</f>
        <v>00000000</v>
      </c>
      <c r="BJ84" s="1" t="str">
        <f>Single2String(Table13[[#This Row],[t1'[2']]])</f>
        <v>00000000</v>
      </c>
      <c r="BK84" s="1" t="str">
        <f>Single2String(Table13[[#This Row],[dt'[2']]])</f>
        <v>00000000</v>
      </c>
      <c r="BL84" s="1" t="str">
        <f>DEC2HEX(Table13[[#This Row],[ZMW num]], 6)</f>
        <v>00004F</v>
      </c>
      <c r="BM84" s="1">
        <f>LEN(Table13[[#This Row],[DRAM data]])</f>
        <v>64</v>
      </c>
      <c r="BN8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0000000000000000000000000000000000000000000000003000100000004F00</v>
      </c>
      <c r="CU84"/>
    </row>
    <row r="85" spans="1:99" x14ac:dyDescent="0.25">
      <c r="A85" t="str">
        <f>Single2String(Table13[[#This Row],[duration'[0']]])</f>
        <v>00000000</v>
      </c>
      <c r="B85" t="str">
        <f>Single2String(Table13[[#This Row],[duration'[1']]])</f>
        <v>00000000</v>
      </c>
      <c r="C85" t="str">
        <f>Single2String(Table13[[#This Row],[duration'[2']]])</f>
        <v>00000000</v>
      </c>
      <c r="D85" t="str">
        <f>INDEX(Table3[Hex], Table13[[#This Row],[int'[0']]]+1)</f>
        <v>00000000</v>
      </c>
      <c r="E85" t="str">
        <f>INDEX(Table3[Hex], Table13[[#This Row],[int'[1']]]+1)</f>
        <v>00000000</v>
      </c>
      <c r="F85" t="str">
        <f>INDEX(Table3[Hex], Table13[[#This Row],[int'[1']]]+1)</f>
        <v>00000000</v>
      </c>
      <c r="G85" t="str">
        <f>Single2String(Table13[[#This Row],[c ktrace]])</f>
        <v>00000000</v>
      </c>
      <c r="H85" t="str">
        <f>Single2String(Table13[[#This Row],[a ktrace]])</f>
        <v>00000000</v>
      </c>
      <c r="I85" t="str">
        <f>Single2String(Table13[[#This Row],[g ktrace]])</f>
        <v>00000000</v>
      </c>
      <c r="J85" t="str">
        <f>Single2String(Table13[[#This Row],[t ktrace]])</f>
        <v>00000000</v>
      </c>
      <c r="K85" s="3">
        <v>80</v>
      </c>
      <c r="L85">
        <f>SUM(Table13[[#This Row],[c ktrace'[2']]:[c ktrace'[0']]])</f>
        <v>0</v>
      </c>
      <c r="M85">
        <f>SUM(Table13[[#This Row],[a ktrace'[2']]:[a ktrace'[0']]])</f>
        <v>0</v>
      </c>
      <c r="N85">
        <f>SUM(Table13[[#This Row],[g ktrace'[2']]:[g ktrace'[0']]])</f>
        <v>0</v>
      </c>
      <c r="O85">
        <f>SUM(Table13[[#This Row],[t ktrace'[2']]:[t ktrace'[0']]])</f>
        <v>0</v>
      </c>
      <c r="P85">
        <f xml:space="preserve"> IF(Table13[[#This Row],[dye'[2']]]=3, Table13[[#This Row],[strength'[2']]], 0)</f>
        <v>0</v>
      </c>
      <c r="Q85">
        <f xml:space="preserve"> IF(Table13[[#This Row],[dye'[1']]]=3, Table13[[#This Row],[strength'[1']]], 0)</f>
        <v>0</v>
      </c>
      <c r="R85">
        <f xml:space="preserve"> IF(Table13[[#This Row],[dye'[0']]]=3, Table13[[#This Row],[strength'[0']]], 0)</f>
        <v>0</v>
      </c>
      <c r="S85">
        <f xml:space="preserve"> IF(Table13[[#This Row],[dye'[2']]]=2, Table13[[#This Row],[strength'[2']]], 0)</f>
        <v>0</v>
      </c>
      <c r="T85">
        <f xml:space="preserve"> IF(Table13[[#This Row],[dye'[1']]]=2, Table13[[#This Row],[strength'[1']]], 0)</f>
        <v>0</v>
      </c>
      <c r="U85">
        <f xml:space="preserve"> IF(Table13[[#This Row],[dye'[0']]]=2, Table13[[#This Row],[strength'[0']]], 0)</f>
        <v>0</v>
      </c>
      <c r="V85">
        <f xml:space="preserve"> IF(Table13[[#This Row],[dye'[2']]]=1, Table13[[#This Row],[strength'[2']]], 0)</f>
        <v>0</v>
      </c>
      <c r="W85">
        <f xml:space="preserve"> IF(Table13[[#This Row],[dye'[1']]]=1, Table13[[#This Row],[strength'[1']]], 0)</f>
        <v>0</v>
      </c>
      <c r="X85">
        <f xml:space="preserve"> IF(Table13[[#This Row],[dye'[0']]]=1, Table13[[#This Row],[strength'[0']]], 0)</f>
        <v>0</v>
      </c>
      <c r="Y85">
        <f xml:space="preserve"> IF(Table13[[#This Row],[dye'[2']]]=0, Table13[[#This Row],[strength'[2']]], 0)</f>
        <v>0</v>
      </c>
      <c r="Z85">
        <f xml:space="preserve"> IF(Table13[[#This Row],[dye'[1']]]=0, Table13[[#This Row],[strength'[1']]], 0)</f>
        <v>0</v>
      </c>
      <c r="AA85">
        <f xml:space="preserve"> IF(Table13[[#This Row],[dye'[0']]]=0, Table13[[#This Row],[strength'[0']]], 0)</f>
        <v>0</v>
      </c>
      <c r="AB85">
        <v>0</v>
      </c>
      <c r="AC85">
        <f>MAX($D$2, Table13[[#This Row],[t1'[0']]])</f>
        <v>0</v>
      </c>
      <c r="AD85">
        <v>0</v>
      </c>
      <c r="AE85">
        <f>Table13[[#This Row],[t1'[0']]]+Table13[[#This Row],[dt'[0']]]</f>
        <v>0</v>
      </c>
      <c r="AF85">
        <f>MIN($C$2, Table13[[#This Row],[tf'[0']]])</f>
        <v>0</v>
      </c>
      <c r="AG85">
        <f>Table13[[#This Row],[time2'[0']]]-Table13[[#This Row],[time1'[0']]]</f>
        <v>0</v>
      </c>
      <c r="AH85">
        <v>0</v>
      </c>
      <c r="AI85">
        <f xml:space="preserve"> INDEX(Table3[[#All],[Intensity]], Table13[[#This Row],[int'[0']]]+2)</f>
        <v>0</v>
      </c>
      <c r="AJ85">
        <f>Table13[[#This Row],[duration'[0']]]*Table13[[#This Row],[intensity'[0']]]</f>
        <v>0</v>
      </c>
      <c r="AK85">
        <f>MOD(Table13[[#This Row],[ZMW num]], 4)</f>
        <v>0</v>
      </c>
      <c r="AL85">
        <v>0</v>
      </c>
      <c r="AM85">
        <f>MAX($D$2, Table13[[#This Row],[t1'[1']]])</f>
        <v>0</v>
      </c>
      <c r="AN85">
        <v>0</v>
      </c>
      <c r="AO85">
        <f>Table13[[#This Row],[t1'[1']]]+Table13[[#This Row],[dt'[1']]]</f>
        <v>0</v>
      </c>
      <c r="AP85">
        <f>MIN($C$2, Table13[[#This Row],[tf'[1']]])</f>
        <v>0</v>
      </c>
      <c r="AQ85">
        <f>Table13[[#This Row],[time2'[1']]]-Table13[[#This Row],[time1'[1']]]</f>
        <v>0</v>
      </c>
      <c r="AR85">
        <v>0</v>
      </c>
      <c r="AS85">
        <f xml:space="preserve"> INDEX(Table3[[#All],[Intensity]], Table13[[#This Row],[int'[1']]]+2)</f>
        <v>0</v>
      </c>
      <c r="AT85">
        <f>Table13[[#This Row],[duration'[1']]]*Table13[[#This Row],[intensity'[1']]]</f>
        <v>0</v>
      </c>
      <c r="AU85">
        <f>MOD(Table13[[#This Row],[ZMW num]]+1, 4)</f>
        <v>1</v>
      </c>
      <c r="AV85">
        <v>0</v>
      </c>
      <c r="AW85">
        <f>MAX($D$2, Table13[[#This Row],[t1'[2']]])</f>
        <v>0</v>
      </c>
      <c r="AX85">
        <v>0</v>
      </c>
      <c r="AY85">
        <f>Table13[[#This Row],[t1'[2']]]+Table13[[#This Row],[dt'[2']]]</f>
        <v>0</v>
      </c>
      <c r="AZ85">
        <f>MIN($C$2, Table13[[#This Row],[tf'[2']]])</f>
        <v>0</v>
      </c>
      <c r="BA85">
        <f>Table13[[#This Row],[time2'[2']]]-Table13[[#This Row],[time1'[2']]]</f>
        <v>0</v>
      </c>
      <c r="BB85">
        <v>0</v>
      </c>
      <c r="BC85">
        <f xml:space="preserve"> INDEX(Table3[[#All],[Intensity]], Table13[[#This Row],[int'[2']]]+2)</f>
        <v>0</v>
      </c>
      <c r="BD85">
        <f>Table13[[#This Row],[duration'[2']]]*Table13[[#This Row],[intensity'[2']]]</f>
        <v>0</v>
      </c>
      <c r="BE85">
        <f>MOD(Table13[[#This Row],[ZMW num]]+2, 4)</f>
        <v>2</v>
      </c>
      <c r="BF85" s="2" t="str">
        <f>Single2String(Table13[[#This Row],[t1'[0']]])</f>
        <v>00000000</v>
      </c>
      <c r="BG85" s="1" t="str">
        <f>Single2String(Table13[[#This Row],[dt'[0']]])</f>
        <v>00000000</v>
      </c>
      <c r="BH85" s="1" t="str">
        <f>Single2String(Table13[[#This Row],[t1'[1']]])</f>
        <v>00000000</v>
      </c>
      <c r="BI85" s="1" t="str">
        <f>Single2String(Table13[[#This Row],[dt'[1']]])</f>
        <v>00000000</v>
      </c>
      <c r="BJ85" s="1" t="str">
        <f>Single2String(Table13[[#This Row],[t1'[2']]])</f>
        <v>00000000</v>
      </c>
      <c r="BK85" s="1" t="str">
        <f>Single2String(Table13[[#This Row],[dt'[2']]])</f>
        <v>00000000</v>
      </c>
      <c r="BL85" s="1" t="str">
        <f>DEC2HEX(Table13[[#This Row],[ZMW num]], 6)</f>
        <v>000050</v>
      </c>
      <c r="BM85" s="1">
        <f>LEN(Table13[[#This Row],[DRAM data]])</f>
        <v>64</v>
      </c>
      <c r="BN8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0000000000000000000000000000000000000000000000000010200000005000</v>
      </c>
      <c r="CU85"/>
    </row>
    <row r="86" spans="1:99" x14ac:dyDescent="0.25">
      <c r="A86" t="str">
        <f>Single2String(Table13[[#This Row],[duration'[0']]])</f>
        <v>00000000</v>
      </c>
      <c r="B86" t="str">
        <f>Single2String(Table13[[#This Row],[duration'[1']]])</f>
        <v>00000000</v>
      </c>
      <c r="C86" t="str">
        <f>Single2String(Table13[[#This Row],[duration'[2']]])</f>
        <v>00000000</v>
      </c>
      <c r="D86" t="str">
        <f>INDEX(Table3[Hex], Table13[[#This Row],[int'[0']]]+1)</f>
        <v>00000000</v>
      </c>
      <c r="E86" t="str">
        <f>INDEX(Table3[Hex], Table13[[#This Row],[int'[1']]]+1)</f>
        <v>00000000</v>
      </c>
      <c r="F86" t="str">
        <f>INDEX(Table3[Hex], Table13[[#This Row],[int'[1']]]+1)</f>
        <v>00000000</v>
      </c>
      <c r="G86" t="str">
        <f>Single2String(Table13[[#This Row],[c ktrace]])</f>
        <v>00000000</v>
      </c>
      <c r="H86" t="str">
        <f>Single2String(Table13[[#This Row],[a ktrace]])</f>
        <v>00000000</v>
      </c>
      <c r="I86" t="str">
        <f>Single2String(Table13[[#This Row],[g ktrace]])</f>
        <v>00000000</v>
      </c>
      <c r="J86" t="str">
        <f>Single2String(Table13[[#This Row],[t ktrace]])</f>
        <v>00000000</v>
      </c>
      <c r="K86" s="3">
        <v>81</v>
      </c>
      <c r="L86">
        <f>SUM(Table13[[#This Row],[c ktrace'[2']]:[c ktrace'[0']]])</f>
        <v>0</v>
      </c>
      <c r="M86">
        <f>SUM(Table13[[#This Row],[a ktrace'[2']]:[a ktrace'[0']]])</f>
        <v>0</v>
      </c>
      <c r="N86">
        <f>SUM(Table13[[#This Row],[g ktrace'[2']]:[g ktrace'[0']]])</f>
        <v>0</v>
      </c>
      <c r="O86">
        <f>SUM(Table13[[#This Row],[t ktrace'[2']]:[t ktrace'[0']]])</f>
        <v>0</v>
      </c>
      <c r="P86">
        <f xml:space="preserve"> IF(Table13[[#This Row],[dye'[2']]]=3, Table13[[#This Row],[strength'[2']]], 0)</f>
        <v>0</v>
      </c>
      <c r="Q86">
        <f xml:space="preserve"> IF(Table13[[#This Row],[dye'[1']]]=3, Table13[[#This Row],[strength'[1']]], 0)</f>
        <v>0</v>
      </c>
      <c r="R86">
        <f xml:space="preserve"> IF(Table13[[#This Row],[dye'[0']]]=3, Table13[[#This Row],[strength'[0']]], 0)</f>
        <v>0</v>
      </c>
      <c r="S86">
        <f xml:space="preserve"> IF(Table13[[#This Row],[dye'[2']]]=2, Table13[[#This Row],[strength'[2']]], 0)</f>
        <v>0</v>
      </c>
      <c r="T86">
        <f xml:space="preserve"> IF(Table13[[#This Row],[dye'[1']]]=2, Table13[[#This Row],[strength'[1']]], 0)</f>
        <v>0</v>
      </c>
      <c r="U86">
        <f xml:space="preserve"> IF(Table13[[#This Row],[dye'[0']]]=2, Table13[[#This Row],[strength'[0']]], 0)</f>
        <v>0</v>
      </c>
      <c r="V86">
        <f xml:space="preserve"> IF(Table13[[#This Row],[dye'[2']]]=1, Table13[[#This Row],[strength'[2']]], 0)</f>
        <v>0</v>
      </c>
      <c r="W86">
        <f xml:space="preserve"> IF(Table13[[#This Row],[dye'[1']]]=1, Table13[[#This Row],[strength'[1']]], 0)</f>
        <v>0</v>
      </c>
      <c r="X86">
        <f xml:space="preserve"> IF(Table13[[#This Row],[dye'[0']]]=1, Table13[[#This Row],[strength'[0']]], 0)</f>
        <v>0</v>
      </c>
      <c r="Y86">
        <f xml:space="preserve"> IF(Table13[[#This Row],[dye'[2']]]=0, Table13[[#This Row],[strength'[2']]], 0)</f>
        <v>0</v>
      </c>
      <c r="Z86">
        <f xml:space="preserve"> IF(Table13[[#This Row],[dye'[1']]]=0, Table13[[#This Row],[strength'[1']]], 0)</f>
        <v>0</v>
      </c>
      <c r="AA86">
        <f xml:space="preserve"> IF(Table13[[#This Row],[dye'[0']]]=0, Table13[[#This Row],[strength'[0']]], 0)</f>
        <v>0</v>
      </c>
      <c r="AB86">
        <v>0</v>
      </c>
      <c r="AC86">
        <f>MAX($D$2, Table13[[#This Row],[t1'[0']]])</f>
        <v>0</v>
      </c>
      <c r="AD86">
        <v>0</v>
      </c>
      <c r="AE86">
        <f>Table13[[#This Row],[t1'[0']]]+Table13[[#This Row],[dt'[0']]]</f>
        <v>0</v>
      </c>
      <c r="AF86">
        <f>MIN($C$2, Table13[[#This Row],[tf'[0']]])</f>
        <v>0</v>
      </c>
      <c r="AG86">
        <f>Table13[[#This Row],[time2'[0']]]-Table13[[#This Row],[time1'[0']]]</f>
        <v>0</v>
      </c>
      <c r="AH86">
        <v>0</v>
      </c>
      <c r="AI86">
        <f xml:space="preserve"> INDEX(Table3[[#All],[Intensity]], Table13[[#This Row],[int'[0']]]+2)</f>
        <v>0</v>
      </c>
      <c r="AJ86">
        <f>Table13[[#This Row],[duration'[0']]]*Table13[[#This Row],[intensity'[0']]]</f>
        <v>0</v>
      </c>
      <c r="AK86">
        <f>MOD(Table13[[#This Row],[ZMW num]], 4)</f>
        <v>1</v>
      </c>
      <c r="AL86">
        <v>0</v>
      </c>
      <c r="AM86">
        <f>MAX($D$2, Table13[[#This Row],[t1'[1']]])</f>
        <v>0</v>
      </c>
      <c r="AN86">
        <v>0</v>
      </c>
      <c r="AO86">
        <f>Table13[[#This Row],[t1'[1']]]+Table13[[#This Row],[dt'[1']]]</f>
        <v>0</v>
      </c>
      <c r="AP86">
        <f>MIN($C$2, Table13[[#This Row],[tf'[1']]])</f>
        <v>0</v>
      </c>
      <c r="AQ86">
        <f>Table13[[#This Row],[time2'[1']]]-Table13[[#This Row],[time1'[1']]]</f>
        <v>0</v>
      </c>
      <c r="AR86">
        <v>0</v>
      </c>
      <c r="AS86">
        <f xml:space="preserve"> INDEX(Table3[[#All],[Intensity]], Table13[[#This Row],[int'[1']]]+2)</f>
        <v>0</v>
      </c>
      <c r="AT86">
        <f>Table13[[#This Row],[duration'[1']]]*Table13[[#This Row],[intensity'[1']]]</f>
        <v>0</v>
      </c>
      <c r="AU86">
        <f>MOD(Table13[[#This Row],[ZMW num]]+1, 4)</f>
        <v>2</v>
      </c>
      <c r="AV86">
        <v>0</v>
      </c>
      <c r="AW86">
        <f>MAX($D$2, Table13[[#This Row],[t1'[2']]])</f>
        <v>0</v>
      </c>
      <c r="AX86">
        <v>0</v>
      </c>
      <c r="AY86">
        <f>Table13[[#This Row],[t1'[2']]]+Table13[[#This Row],[dt'[2']]]</f>
        <v>0</v>
      </c>
      <c r="AZ86">
        <f>MIN($C$2, Table13[[#This Row],[tf'[2']]])</f>
        <v>0</v>
      </c>
      <c r="BA86">
        <f>Table13[[#This Row],[time2'[2']]]-Table13[[#This Row],[time1'[2']]]</f>
        <v>0</v>
      </c>
      <c r="BB86">
        <v>0</v>
      </c>
      <c r="BC86">
        <f xml:space="preserve"> INDEX(Table3[[#All],[Intensity]], Table13[[#This Row],[int'[2']]]+2)</f>
        <v>0</v>
      </c>
      <c r="BD86">
        <f>Table13[[#This Row],[duration'[2']]]*Table13[[#This Row],[intensity'[2']]]</f>
        <v>0</v>
      </c>
      <c r="BE86">
        <f>MOD(Table13[[#This Row],[ZMW num]]+2, 4)</f>
        <v>3</v>
      </c>
      <c r="BF86" s="2" t="str">
        <f>Single2String(Table13[[#This Row],[t1'[0']]])</f>
        <v>00000000</v>
      </c>
      <c r="BG86" s="1" t="str">
        <f>Single2String(Table13[[#This Row],[dt'[0']]])</f>
        <v>00000000</v>
      </c>
      <c r="BH86" s="1" t="str">
        <f>Single2String(Table13[[#This Row],[t1'[1']]])</f>
        <v>00000000</v>
      </c>
      <c r="BI86" s="1" t="str">
        <f>Single2String(Table13[[#This Row],[dt'[1']]])</f>
        <v>00000000</v>
      </c>
      <c r="BJ86" s="1" t="str">
        <f>Single2String(Table13[[#This Row],[t1'[2']]])</f>
        <v>00000000</v>
      </c>
      <c r="BK86" s="1" t="str">
        <f>Single2String(Table13[[#This Row],[dt'[2']]])</f>
        <v>00000000</v>
      </c>
      <c r="BL86" s="1" t="str">
        <f>DEC2HEX(Table13[[#This Row],[ZMW num]], 6)</f>
        <v>000051</v>
      </c>
      <c r="BM86" s="1">
        <f>LEN(Table13[[#This Row],[DRAM data]])</f>
        <v>64</v>
      </c>
      <c r="BN8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0000000000000000000000000000000000000000000000001020300000005100</v>
      </c>
      <c r="CU86"/>
    </row>
    <row r="87" spans="1:99" x14ac:dyDescent="0.25">
      <c r="A87" t="str">
        <f>Single2String(Table13[[#This Row],[duration'[0']]])</f>
        <v>00000000</v>
      </c>
      <c r="B87" t="str">
        <f>Single2String(Table13[[#This Row],[duration'[1']]])</f>
        <v>00000000</v>
      </c>
      <c r="C87" t="str">
        <f>Single2String(Table13[[#This Row],[duration'[2']]])</f>
        <v>00000000</v>
      </c>
      <c r="D87" t="str">
        <f>INDEX(Table3[Hex], Table13[[#This Row],[int'[0']]]+1)</f>
        <v>00000000</v>
      </c>
      <c r="E87" t="str">
        <f>INDEX(Table3[Hex], Table13[[#This Row],[int'[1']]]+1)</f>
        <v>00000000</v>
      </c>
      <c r="F87" t="str">
        <f>INDEX(Table3[Hex], Table13[[#This Row],[int'[1']]]+1)</f>
        <v>00000000</v>
      </c>
      <c r="G87" t="str">
        <f>Single2String(Table13[[#This Row],[c ktrace]])</f>
        <v>00000000</v>
      </c>
      <c r="H87" t="str">
        <f>Single2String(Table13[[#This Row],[a ktrace]])</f>
        <v>00000000</v>
      </c>
      <c r="I87" t="str">
        <f>Single2String(Table13[[#This Row],[g ktrace]])</f>
        <v>00000000</v>
      </c>
      <c r="J87" t="str">
        <f>Single2String(Table13[[#This Row],[t ktrace]])</f>
        <v>00000000</v>
      </c>
      <c r="K87" s="3">
        <v>82</v>
      </c>
      <c r="L87">
        <f>SUM(Table13[[#This Row],[c ktrace'[2']]:[c ktrace'[0']]])</f>
        <v>0</v>
      </c>
      <c r="M87">
        <f>SUM(Table13[[#This Row],[a ktrace'[2']]:[a ktrace'[0']]])</f>
        <v>0</v>
      </c>
      <c r="N87">
        <f>SUM(Table13[[#This Row],[g ktrace'[2']]:[g ktrace'[0']]])</f>
        <v>0</v>
      </c>
      <c r="O87">
        <f>SUM(Table13[[#This Row],[t ktrace'[2']]:[t ktrace'[0']]])</f>
        <v>0</v>
      </c>
      <c r="P87">
        <f xml:space="preserve"> IF(Table13[[#This Row],[dye'[2']]]=3, Table13[[#This Row],[strength'[2']]], 0)</f>
        <v>0</v>
      </c>
      <c r="Q87">
        <f xml:space="preserve"> IF(Table13[[#This Row],[dye'[1']]]=3, Table13[[#This Row],[strength'[1']]], 0)</f>
        <v>0</v>
      </c>
      <c r="R87">
        <f xml:space="preserve"> IF(Table13[[#This Row],[dye'[0']]]=3, Table13[[#This Row],[strength'[0']]], 0)</f>
        <v>0</v>
      </c>
      <c r="S87">
        <f xml:space="preserve"> IF(Table13[[#This Row],[dye'[2']]]=2, Table13[[#This Row],[strength'[2']]], 0)</f>
        <v>0</v>
      </c>
      <c r="T87">
        <f xml:space="preserve"> IF(Table13[[#This Row],[dye'[1']]]=2, Table13[[#This Row],[strength'[1']]], 0)</f>
        <v>0</v>
      </c>
      <c r="U87">
        <f xml:space="preserve"> IF(Table13[[#This Row],[dye'[0']]]=2, Table13[[#This Row],[strength'[0']]], 0)</f>
        <v>0</v>
      </c>
      <c r="V87">
        <f xml:space="preserve"> IF(Table13[[#This Row],[dye'[2']]]=1, Table13[[#This Row],[strength'[2']]], 0)</f>
        <v>0</v>
      </c>
      <c r="W87">
        <f xml:space="preserve"> IF(Table13[[#This Row],[dye'[1']]]=1, Table13[[#This Row],[strength'[1']]], 0)</f>
        <v>0</v>
      </c>
      <c r="X87">
        <f xml:space="preserve"> IF(Table13[[#This Row],[dye'[0']]]=1, Table13[[#This Row],[strength'[0']]], 0)</f>
        <v>0</v>
      </c>
      <c r="Y87">
        <f xml:space="preserve"> IF(Table13[[#This Row],[dye'[2']]]=0, Table13[[#This Row],[strength'[2']]], 0)</f>
        <v>0</v>
      </c>
      <c r="Z87">
        <f xml:space="preserve"> IF(Table13[[#This Row],[dye'[1']]]=0, Table13[[#This Row],[strength'[1']]], 0)</f>
        <v>0</v>
      </c>
      <c r="AA87">
        <f xml:space="preserve"> IF(Table13[[#This Row],[dye'[0']]]=0, Table13[[#This Row],[strength'[0']]], 0)</f>
        <v>0</v>
      </c>
      <c r="AB87">
        <v>0</v>
      </c>
      <c r="AC87">
        <f>MAX($D$2, Table13[[#This Row],[t1'[0']]])</f>
        <v>0</v>
      </c>
      <c r="AD87">
        <v>0</v>
      </c>
      <c r="AE87">
        <f>Table13[[#This Row],[t1'[0']]]+Table13[[#This Row],[dt'[0']]]</f>
        <v>0</v>
      </c>
      <c r="AF87">
        <f>MIN($C$2, Table13[[#This Row],[tf'[0']]])</f>
        <v>0</v>
      </c>
      <c r="AG87">
        <f>Table13[[#This Row],[time2'[0']]]-Table13[[#This Row],[time1'[0']]]</f>
        <v>0</v>
      </c>
      <c r="AH87">
        <v>0</v>
      </c>
      <c r="AI87">
        <f xml:space="preserve"> INDEX(Table3[[#All],[Intensity]], Table13[[#This Row],[int'[0']]]+2)</f>
        <v>0</v>
      </c>
      <c r="AJ87">
        <f>Table13[[#This Row],[duration'[0']]]*Table13[[#This Row],[intensity'[0']]]</f>
        <v>0</v>
      </c>
      <c r="AK87">
        <f>MOD(Table13[[#This Row],[ZMW num]], 4)</f>
        <v>2</v>
      </c>
      <c r="AL87">
        <v>0</v>
      </c>
      <c r="AM87">
        <f>MAX($D$2, Table13[[#This Row],[t1'[1']]])</f>
        <v>0</v>
      </c>
      <c r="AN87">
        <v>0</v>
      </c>
      <c r="AO87">
        <f>Table13[[#This Row],[t1'[1']]]+Table13[[#This Row],[dt'[1']]]</f>
        <v>0</v>
      </c>
      <c r="AP87">
        <f>MIN($C$2, Table13[[#This Row],[tf'[1']]])</f>
        <v>0</v>
      </c>
      <c r="AQ87">
        <f>Table13[[#This Row],[time2'[1']]]-Table13[[#This Row],[time1'[1']]]</f>
        <v>0</v>
      </c>
      <c r="AR87">
        <v>0</v>
      </c>
      <c r="AS87">
        <f xml:space="preserve"> INDEX(Table3[[#All],[Intensity]], Table13[[#This Row],[int'[1']]]+2)</f>
        <v>0</v>
      </c>
      <c r="AT87">
        <f>Table13[[#This Row],[duration'[1']]]*Table13[[#This Row],[intensity'[1']]]</f>
        <v>0</v>
      </c>
      <c r="AU87">
        <f>MOD(Table13[[#This Row],[ZMW num]]+1, 4)</f>
        <v>3</v>
      </c>
      <c r="AV87">
        <v>0</v>
      </c>
      <c r="AW87">
        <f>MAX($D$2, Table13[[#This Row],[t1'[2']]])</f>
        <v>0</v>
      </c>
      <c r="AX87">
        <v>0</v>
      </c>
      <c r="AY87">
        <f>Table13[[#This Row],[t1'[2']]]+Table13[[#This Row],[dt'[2']]]</f>
        <v>0</v>
      </c>
      <c r="AZ87">
        <f>MIN($C$2, Table13[[#This Row],[tf'[2']]])</f>
        <v>0</v>
      </c>
      <c r="BA87">
        <f>Table13[[#This Row],[time2'[2']]]-Table13[[#This Row],[time1'[2']]]</f>
        <v>0</v>
      </c>
      <c r="BB87">
        <v>0</v>
      </c>
      <c r="BC87">
        <f xml:space="preserve"> INDEX(Table3[[#All],[Intensity]], Table13[[#This Row],[int'[2']]]+2)</f>
        <v>0</v>
      </c>
      <c r="BD87">
        <f>Table13[[#This Row],[duration'[2']]]*Table13[[#This Row],[intensity'[2']]]</f>
        <v>0</v>
      </c>
      <c r="BE87">
        <f>MOD(Table13[[#This Row],[ZMW num]]+2, 4)</f>
        <v>0</v>
      </c>
      <c r="BF87" s="2" t="str">
        <f>Single2String(Table13[[#This Row],[t1'[0']]])</f>
        <v>00000000</v>
      </c>
      <c r="BG87" s="1" t="str">
        <f>Single2String(Table13[[#This Row],[dt'[0']]])</f>
        <v>00000000</v>
      </c>
      <c r="BH87" s="1" t="str">
        <f>Single2String(Table13[[#This Row],[t1'[1']]])</f>
        <v>00000000</v>
      </c>
      <c r="BI87" s="1" t="str">
        <f>Single2String(Table13[[#This Row],[dt'[1']]])</f>
        <v>00000000</v>
      </c>
      <c r="BJ87" s="1" t="str">
        <f>Single2String(Table13[[#This Row],[t1'[2']]])</f>
        <v>00000000</v>
      </c>
      <c r="BK87" s="1" t="str">
        <f>Single2String(Table13[[#This Row],[dt'[2']]])</f>
        <v>00000000</v>
      </c>
      <c r="BL87" s="1" t="str">
        <f>DEC2HEX(Table13[[#This Row],[ZMW num]], 6)</f>
        <v>000052</v>
      </c>
      <c r="BM87" s="1">
        <f>LEN(Table13[[#This Row],[DRAM data]])</f>
        <v>64</v>
      </c>
      <c r="BN8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0000000000000000000000000000000000000000000000002030000000005200</v>
      </c>
      <c r="CU87"/>
    </row>
    <row r="88" spans="1:99" x14ac:dyDescent="0.25">
      <c r="A88" t="str">
        <f>Single2String(Table13[[#This Row],[duration'[0']]])</f>
        <v>00000000</v>
      </c>
      <c r="B88" t="str">
        <f>Single2String(Table13[[#This Row],[duration'[1']]])</f>
        <v>00000000</v>
      </c>
      <c r="C88" t="str">
        <f>Single2String(Table13[[#This Row],[duration'[2']]])</f>
        <v>00000000</v>
      </c>
      <c r="D88" t="str">
        <f>INDEX(Table3[Hex], Table13[[#This Row],[int'[0']]]+1)</f>
        <v>00000000</v>
      </c>
      <c r="E88" t="str">
        <f>INDEX(Table3[Hex], Table13[[#This Row],[int'[1']]]+1)</f>
        <v>00000000</v>
      </c>
      <c r="F88" t="str">
        <f>INDEX(Table3[Hex], Table13[[#This Row],[int'[1']]]+1)</f>
        <v>00000000</v>
      </c>
      <c r="G88" t="str">
        <f>Single2String(Table13[[#This Row],[c ktrace]])</f>
        <v>00000000</v>
      </c>
      <c r="H88" t="str">
        <f>Single2String(Table13[[#This Row],[a ktrace]])</f>
        <v>00000000</v>
      </c>
      <c r="I88" t="str">
        <f>Single2String(Table13[[#This Row],[g ktrace]])</f>
        <v>00000000</v>
      </c>
      <c r="J88" t="str">
        <f>Single2String(Table13[[#This Row],[t ktrace]])</f>
        <v>00000000</v>
      </c>
      <c r="K88" s="3">
        <v>83</v>
      </c>
      <c r="L88">
        <f>SUM(Table13[[#This Row],[c ktrace'[2']]:[c ktrace'[0']]])</f>
        <v>0</v>
      </c>
      <c r="M88">
        <f>SUM(Table13[[#This Row],[a ktrace'[2']]:[a ktrace'[0']]])</f>
        <v>0</v>
      </c>
      <c r="N88">
        <f>SUM(Table13[[#This Row],[g ktrace'[2']]:[g ktrace'[0']]])</f>
        <v>0</v>
      </c>
      <c r="O88">
        <f>SUM(Table13[[#This Row],[t ktrace'[2']]:[t ktrace'[0']]])</f>
        <v>0</v>
      </c>
      <c r="P88">
        <f xml:space="preserve"> IF(Table13[[#This Row],[dye'[2']]]=3, Table13[[#This Row],[strength'[2']]], 0)</f>
        <v>0</v>
      </c>
      <c r="Q88">
        <f xml:space="preserve"> IF(Table13[[#This Row],[dye'[1']]]=3, Table13[[#This Row],[strength'[1']]], 0)</f>
        <v>0</v>
      </c>
      <c r="R88">
        <f xml:space="preserve"> IF(Table13[[#This Row],[dye'[0']]]=3, Table13[[#This Row],[strength'[0']]], 0)</f>
        <v>0</v>
      </c>
      <c r="S88">
        <f xml:space="preserve"> IF(Table13[[#This Row],[dye'[2']]]=2, Table13[[#This Row],[strength'[2']]], 0)</f>
        <v>0</v>
      </c>
      <c r="T88">
        <f xml:space="preserve"> IF(Table13[[#This Row],[dye'[1']]]=2, Table13[[#This Row],[strength'[1']]], 0)</f>
        <v>0</v>
      </c>
      <c r="U88">
        <f xml:space="preserve"> IF(Table13[[#This Row],[dye'[0']]]=2, Table13[[#This Row],[strength'[0']]], 0)</f>
        <v>0</v>
      </c>
      <c r="V88">
        <f xml:space="preserve"> IF(Table13[[#This Row],[dye'[2']]]=1, Table13[[#This Row],[strength'[2']]], 0)</f>
        <v>0</v>
      </c>
      <c r="W88">
        <f xml:space="preserve"> IF(Table13[[#This Row],[dye'[1']]]=1, Table13[[#This Row],[strength'[1']]], 0)</f>
        <v>0</v>
      </c>
      <c r="X88">
        <f xml:space="preserve"> IF(Table13[[#This Row],[dye'[0']]]=1, Table13[[#This Row],[strength'[0']]], 0)</f>
        <v>0</v>
      </c>
      <c r="Y88">
        <f xml:space="preserve"> IF(Table13[[#This Row],[dye'[2']]]=0, Table13[[#This Row],[strength'[2']]], 0)</f>
        <v>0</v>
      </c>
      <c r="Z88">
        <f xml:space="preserve"> IF(Table13[[#This Row],[dye'[1']]]=0, Table13[[#This Row],[strength'[1']]], 0)</f>
        <v>0</v>
      </c>
      <c r="AA88">
        <f xml:space="preserve"> IF(Table13[[#This Row],[dye'[0']]]=0, Table13[[#This Row],[strength'[0']]], 0)</f>
        <v>0</v>
      </c>
      <c r="AB88">
        <v>0</v>
      </c>
      <c r="AC88">
        <f>MAX($D$2, Table13[[#This Row],[t1'[0']]])</f>
        <v>0</v>
      </c>
      <c r="AD88">
        <v>0</v>
      </c>
      <c r="AE88">
        <f>Table13[[#This Row],[t1'[0']]]+Table13[[#This Row],[dt'[0']]]</f>
        <v>0</v>
      </c>
      <c r="AF88">
        <f>MIN($C$2, Table13[[#This Row],[tf'[0']]])</f>
        <v>0</v>
      </c>
      <c r="AG88">
        <f>Table13[[#This Row],[time2'[0']]]-Table13[[#This Row],[time1'[0']]]</f>
        <v>0</v>
      </c>
      <c r="AH88">
        <v>0</v>
      </c>
      <c r="AI88">
        <f xml:space="preserve"> INDEX(Table3[[#All],[Intensity]], Table13[[#This Row],[int'[0']]]+2)</f>
        <v>0</v>
      </c>
      <c r="AJ88">
        <f>Table13[[#This Row],[duration'[0']]]*Table13[[#This Row],[intensity'[0']]]</f>
        <v>0</v>
      </c>
      <c r="AK88">
        <f>MOD(Table13[[#This Row],[ZMW num]], 4)</f>
        <v>3</v>
      </c>
      <c r="AL88">
        <v>0</v>
      </c>
      <c r="AM88">
        <f>MAX($D$2, Table13[[#This Row],[t1'[1']]])</f>
        <v>0</v>
      </c>
      <c r="AN88">
        <v>0</v>
      </c>
      <c r="AO88">
        <f>Table13[[#This Row],[t1'[1']]]+Table13[[#This Row],[dt'[1']]]</f>
        <v>0</v>
      </c>
      <c r="AP88">
        <f>MIN($C$2, Table13[[#This Row],[tf'[1']]])</f>
        <v>0</v>
      </c>
      <c r="AQ88">
        <f>Table13[[#This Row],[time2'[1']]]-Table13[[#This Row],[time1'[1']]]</f>
        <v>0</v>
      </c>
      <c r="AR88">
        <v>0</v>
      </c>
      <c r="AS88">
        <f xml:space="preserve"> INDEX(Table3[[#All],[Intensity]], Table13[[#This Row],[int'[1']]]+2)</f>
        <v>0</v>
      </c>
      <c r="AT88">
        <f>Table13[[#This Row],[duration'[1']]]*Table13[[#This Row],[intensity'[1']]]</f>
        <v>0</v>
      </c>
      <c r="AU88">
        <f>MOD(Table13[[#This Row],[ZMW num]]+1, 4)</f>
        <v>0</v>
      </c>
      <c r="AV88">
        <v>0</v>
      </c>
      <c r="AW88">
        <f>MAX($D$2, Table13[[#This Row],[t1'[2']]])</f>
        <v>0</v>
      </c>
      <c r="AX88">
        <v>0</v>
      </c>
      <c r="AY88">
        <f>Table13[[#This Row],[t1'[2']]]+Table13[[#This Row],[dt'[2']]]</f>
        <v>0</v>
      </c>
      <c r="AZ88">
        <f>MIN($C$2, Table13[[#This Row],[tf'[2']]])</f>
        <v>0</v>
      </c>
      <c r="BA88">
        <f>Table13[[#This Row],[time2'[2']]]-Table13[[#This Row],[time1'[2']]]</f>
        <v>0</v>
      </c>
      <c r="BB88">
        <v>0</v>
      </c>
      <c r="BC88">
        <f xml:space="preserve"> INDEX(Table3[[#All],[Intensity]], Table13[[#This Row],[int'[2']]]+2)</f>
        <v>0</v>
      </c>
      <c r="BD88">
        <f>Table13[[#This Row],[duration'[2']]]*Table13[[#This Row],[intensity'[2']]]</f>
        <v>0</v>
      </c>
      <c r="BE88">
        <f>MOD(Table13[[#This Row],[ZMW num]]+2, 4)</f>
        <v>1</v>
      </c>
      <c r="BF88" s="2" t="str">
        <f>Single2String(Table13[[#This Row],[t1'[0']]])</f>
        <v>00000000</v>
      </c>
      <c r="BG88" s="1" t="str">
        <f>Single2String(Table13[[#This Row],[dt'[0']]])</f>
        <v>00000000</v>
      </c>
      <c r="BH88" s="1" t="str">
        <f>Single2String(Table13[[#This Row],[t1'[1']]])</f>
        <v>00000000</v>
      </c>
      <c r="BI88" s="1" t="str">
        <f>Single2String(Table13[[#This Row],[dt'[1']]])</f>
        <v>00000000</v>
      </c>
      <c r="BJ88" s="1" t="str">
        <f>Single2String(Table13[[#This Row],[t1'[2']]])</f>
        <v>00000000</v>
      </c>
      <c r="BK88" s="1" t="str">
        <f>Single2String(Table13[[#This Row],[dt'[2']]])</f>
        <v>00000000</v>
      </c>
      <c r="BL88" s="1" t="str">
        <f>DEC2HEX(Table13[[#This Row],[ZMW num]], 6)</f>
        <v>000053</v>
      </c>
      <c r="BM88" s="1">
        <f>LEN(Table13[[#This Row],[DRAM data]])</f>
        <v>64</v>
      </c>
      <c r="BN8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0000000000000000000000000000000000000000000000003000100000005300</v>
      </c>
      <c r="CU88"/>
    </row>
    <row r="89" spans="1:99" x14ac:dyDescent="0.25">
      <c r="A89" t="str">
        <f>Single2String(Table13[[#This Row],[duration'[0']]])</f>
        <v>00000000</v>
      </c>
      <c r="B89" t="str">
        <f>Single2String(Table13[[#This Row],[duration'[1']]])</f>
        <v>00000000</v>
      </c>
      <c r="C89" t="str">
        <f>Single2String(Table13[[#This Row],[duration'[2']]])</f>
        <v>00000000</v>
      </c>
      <c r="D89" t="str">
        <f>INDEX(Table3[Hex], Table13[[#This Row],[int'[0']]]+1)</f>
        <v>00000000</v>
      </c>
      <c r="E89" t="str">
        <f>INDEX(Table3[Hex], Table13[[#This Row],[int'[1']]]+1)</f>
        <v>00000000</v>
      </c>
      <c r="F89" t="str">
        <f>INDEX(Table3[Hex], Table13[[#This Row],[int'[1']]]+1)</f>
        <v>00000000</v>
      </c>
      <c r="G89" t="str">
        <f>Single2String(Table13[[#This Row],[c ktrace]])</f>
        <v>00000000</v>
      </c>
      <c r="H89" t="str">
        <f>Single2String(Table13[[#This Row],[a ktrace]])</f>
        <v>00000000</v>
      </c>
      <c r="I89" t="str">
        <f>Single2String(Table13[[#This Row],[g ktrace]])</f>
        <v>00000000</v>
      </c>
      <c r="J89" t="str">
        <f>Single2String(Table13[[#This Row],[t ktrace]])</f>
        <v>00000000</v>
      </c>
      <c r="K89" s="3">
        <v>84</v>
      </c>
      <c r="L89">
        <f>SUM(Table13[[#This Row],[c ktrace'[2']]:[c ktrace'[0']]])</f>
        <v>0</v>
      </c>
      <c r="M89">
        <f>SUM(Table13[[#This Row],[a ktrace'[2']]:[a ktrace'[0']]])</f>
        <v>0</v>
      </c>
      <c r="N89">
        <f>SUM(Table13[[#This Row],[g ktrace'[2']]:[g ktrace'[0']]])</f>
        <v>0</v>
      </c>
      <c r="O89">
        <f>SUM(Table13[[#This Row],[t ktrace'[2']]:[t ktrace'[0']]])</f>
        <v>0</v>
      </c>
      <c r="P89">
        <f xml:space="preserve"> IF(Table13[[#This Row],[dye'[2']]]=3, Table13[[#This Row],[strength'[2']]], 0)</f>
        <v>0</v>
      </c>
      <c r="Q89">
        <f xml:space="preserve"> IF(Table13[[#This Row],[dye'[1']]]=3, Table13[[#This Row],[strength'[1']]], 0)</f>
        <v>0</v>
      </c>
      <c r="R89">
        <f xml:space="preserve"> IF(Table13[[#This Row],[dye'[0']]]=3, Table13[[#This Row],[strength'[0']]], 0)</f>
        <v>0</v>
      </c>
      <c r="S89">
        <f xml:space="preserve"> IF(Table13[[#This Row],[dye'[2']]]=2, Table13[[#This Row],[strength'[2']]], 0)</f>
        <v>0</v>
      </c>
      <c r="T89">
        <f xml:space="preserve"> IF(Table13[[#This Row],[dye'[1']]]=2, Table13[[#This Row],[strength'[1']]], 0)</f>
        <v>0</v>
      </c>
      <c r="U89">
        <f xml:space="preserve"> IF(Table13[[#This Row],[dye'[0']]]=2, Table13[[#This Row],[strength'[0']]], 0)</f>
        <v>0</v>
      </c>
      <c r="V89">
        <f xml:space="preserve"> IF(Table13[[#This Row],[dye'[2']]]=1, Table13[[#This Row],[strength'[2']]], 0)</f>
        <v>0</v>
      </c>
      <c r="W89">
        <f xml:space="preserve"> IF(Table13[[#This Row],[dye'[1']]]=1, Table13[[#This Row],[strength'[1']]], 0)</f>
        <v>0</v>
      </c>
      <c r="X89">
        <f xml:space="preserve"> IF(Table13[[#This Row],[dye'[0']]]=1, Table13[[#This Row],[strength'[0']]], 0)</f>
        <v>0</v>
      </c>
      <c r="Y89">
        <f xml:space="preserve"> IF(Table13[[#This Row],[dye'[2']]]=0, Table13[[#This Row],[strength'[2']]], 0)</f>
        <v>0</v>
      </c>
      <c r="Z89">
        <f xml:space="preserve"> IF(Table13[[#This Row],[dye'[1']]]=0, Table13[[#This Row],[strength'[1']]], 0)</f>
        <v>0</v>
      </c>
      <c r="AA89">
        <f xml:space="preserve"> IF(Table13[[#This Row],[dye'[0']]]=0, Table13[[#This Row],[strength'[0']]], 0)</f>
        <v>0</v>
      </c>
      <c r="AB89">
        <v>0</v>
      </c>
      <c r="AC89">
        <f>MAX($D$2, Table13[[#This Row],[t1'[0']]])</f>
        <v>0</v>
      </c>
      <c r="AD89">
        <v>0</v>
      </c>
      <c r="AE89">
        <f>Table13[[#This Row],[t1'[0']]]+Table13[[#This Row],[dt'[0']]]</f>
        <v>0</v>
      </c>
      <c r="AF89">
        <f>MIN($C$2, Table13[[#This Row],[tf'[0']]])</f>
        <v>0</v>
      </c>
      <c r="AG89">
        <f>Table13[[#This Row],[time2'[0']]]-Table13[[#This Row],[time1'[0']]]</f>
        <v>0</v>
      </c>
      <c r="AH89">
        <v>0</v>
      </c>
      <c r="AI89">
        <f xml:space="preserve"> INDEX(Table3[[#All],[Intensity]], Table13[[#This Row],[int'[0']]]+2)</f>
        <v>0</v>
      </c>
      <c r="AJ89">
        <f>Table13[[#This Row],[duration'[0']]]*Table13[[#This Row],[intensity'[0']]]</f>
        <v>0</v>
      </c>
      <c r="AK89">
        <f>MOD(Table13[[#This Row],[ZMW num]], 4)</f>
        <v>0</v>
      </c>
      <c r="AL89">
        <v>0</v>
      </c>
      <c r="AM89">
        <f>MAX($D$2, Table13[[#This Row],[t1'[1']]])</f>
        <v>0</v>
      </c>
      <c r="AN89">
        <v>0</v>
      </c>
      <c r="AO89">
        <f>Table13[[#This Row],[t1'[1']]]+Table13[[#This Row],[dt'[1']]]</f>
        <v>0</v>
      </c>
      <c r="AP89">
        <f>MIN($C$2, Table13[[#This Row],[tf'[1']]])</f>
        <v>0</v>
      </c>
      <c r="AQ89">
        <f>Table13[[#This Row],[time2'[1']]]-Table13[[#This Row],[time1'[1']]]</f>
        <v>0</v>
      </c>
      <c r="AR89">
        <v>0</v>
      </c>
      <c r="AS89">
        <f xml:space="preserve"> INDEX(Table3[[#All],[Intensity]], Table13[[#This Row],[int'[1']]]+2)</f>
        <v>0</v>
      </c>
      <c r="AT89">
        <f>Table13[[#This Row],[duration'[1']]]*Table13[[#This Row],[intensity'[1']]]</f>
        <v>0</v>
      </c>
      <c r="AU89">
        <f>MOD(Table13[[#This Row],[ZMW num]]+1, 4)</f>
        <v>1</v>
      </c>
      <c r="AV89">
        <v>0</v>
      </c>
      <c r="AW89">
        <f>MAX($D$2, Table13[[#This Row],[t1'[2']]])</f>
        <v>0</v>
      </c>
      <c r="AX89">
        <v>0</v>
      </c>
      <c r="AY89">
        <f>Table13[[#This Row],[t1'[2']]]+Table13[[#This Row],[dt'[2']]]</f>
        <v>0</v>
      </c>
      <c r="AZ89">
        <f>MIN($C$2, Table13[[#This Row],[tf'[2']]])</f>
        <v>0</v>
      </c>
      <c r="BA89">
        <f>Table13[[#This Row],[time2'[2']]]-Table13[[#This Row],[time1'[2']]]</f>
        <v>0</v>
      </c>
      <c r="BB89">
        <v>0</v>
      </c>
      <c r="BC89">
        <f xml:space="preserve"> INDEX(Table3[[#All],[Intensity]], Table13[[#This Row],[int'[2']]]+2)</f>
        <v>0</v>
      </c>
      <c r="BD89">
        <f>Table13[[#This Row],[duration'[2']]]*Table13[[#This Row],[intensity'[2']]]</f>
        <v>0</v>
      </c>
      <c r="BE89">
        <f>MOD(Table13[[#This Row],[ZMW num]]+2, 4)</f>
        <v>2</v>
      </c>
      <c r="BF89" s="2" t="str">
        <f>Single2String(Table13[[#This Row],[t1'[0']]])</f>
        <v>00000000</v>
      </c>
      <c r="BG89" s="1" t="str">
        <f>Single2String(Table13[[#This Row],[dt'[0']]])</f>
        <v>00000000</v>
      </c>
      <c r="BH89" s="1" t="str">
        <f>Single2String(Table13[[#This Row],[t1'[1']]])</f>
        <v>00000000</v>
      </c>
      <c r="BI89" s="1" t="str">
        <f>Single2String(Table13[[#This Row],[dt'[1']]])</f>
        <v>00000000</v>
      </c>
      <c r="BJ89" s="1" t="str">
        <f>Single2String(Table13[[#This Row],[t1'[2']]])</f>
        <v>00000000</v>
      </c>
      <c r="BK89" s="1" t="str">
        <f>Single2String(Table13[[#This Row],[dt'[2']]])</f>
        <v>00000000</v>
      </c>
      <c r="BL89" s="1" t="str">
        <f>DEC2HEX(Table13[[#This Row],[ZMW num]], 6)</f>
        <v>000054</v>
      </c>
      <c r="BM89" s="1">
        <f>LEN(Table13[[#This Row],[DRAM data]])</f>
        <v>64</v>
      </c>
      <c r="BN8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0000000000000000000000000000000000000000000000000010200000005400</v>
      </c>
      <c r="CU89"/>
    </row>
    <row r="90" spans="1:99" x14ac:dyDescent="0.25">
      <c r="A90" t="str">
        <f>Single2String(Table13[[#This Row],[duration'[0']]])</f>
        <v>00000000</v>
      </c>
      <c r="B90" t="str">
        <f>Single2String(Table13[[#This Row],[duration'[1']]])</f>
        <v>00000000</v>
      </c>
      <c r="C90" t="str">
        <f>Single2String(Table13[[#This Row],[duration'[2']]])</f>
        <v>00000000</v>
      </c>
      <c r="D90" t="str">
        <f>INDEX(Table3[Hex], Table13[[#This Row],[int'[0']]]+1)</f>
        <v>00000000</v>
      </c>
      <c r="E90" t="str">
        <f>INDEX(Table3[Hex], Table13[[#This Row],[int'[1']]]+1)</f>
        <v>00000000</v>
      </c>
      <c r="F90" t="str">
        <f>INDEX(Table3[Hex], Table13[[#This Row],[int'[1']]]+1)</f>
        <v>00000000</v>
      </c>
      <c r="G90" t="str">
        <f>Single2String(Table13[[#This Row],[c ktrace]])</f>
        <v>00000000</v>
      </c>
      <c r="H90" t="str">
        <f>Single2String(Table13[[#This Row],[a ktrace]])</f>
        <v>00000000</v>
      </c>
      <c r="I90" t="str">
        <f>Single2String(Table13[[#This Row],[g ktrace]])</f>
        <v>00000000</v>
      </c>
      <c r="J90" t="str">
        <f>Single2String(Table13[[#This Row],[t ktrace]])</f>
        <v>00000000</v>
      </c>
      <c r="K90" s="3">
        <v>85</v>
      </c>
      <c r="L90">
        <f>SUM(Table13[[#This Row],[c ktrace'[2']]:[c ktrace'[0']]])</f>
        <v>0</v>
      </c>
      <c r="M90">
        <f>SUM(Table13[[#This Row],[a ktrace'[2']]:[a ktrace'[0']]])</f>
        <v>0</v>
      </c>
      <c r="N90">
        <f>SUM(Table13[[#This Row],[g ktrace'[2']]:[g ktrace'[0']]])</f>
        <v>0</v>
      </c>
      <c r="O90">
        <f>SUM(Table13[[#This Row],[t ktrace'[2']]:[t ktrace'[0']]])</f>
        <v>0</v>
      </c>
      <c r="P90">
        <f xml:space="preserve"> IF(Table13[[#This Row],[dye'[2']]]=3, Table13[[#This Row],[strength'[2']]], 0)</f>
        <v>0</v>
      </c>
      <c r="Q90">
        <f xml:space="preserve"> IF(Table13[[#This Row],[dye'[1']]]=3, Table13[[#This Row],[strength'[1']]], 0)</f>
        <v>0</v>
      </c>
      <c r="R90">
        <f xml:space="preserve"> IF(Table13[[#This Row],[dye'[0']]]=3, Table13[[#This Row],[strength'[0']]], 0)</f>
        <v>0</v>
      </c>
      <c r="S90">
        <f xml:space="preserve"> IF(Table13[[#This Row],[dye'[2']]]=2, Table13[[#This Row],[strength'[2']]], 0)</f>
        <v>0</v>
      </c>
      <c r="T90">
        <f xml:space="preserve"> IF(Table13[[#This Row],[dye'[1']]]=2, Table13[[#This Row],[strength'[1']]], 0)</f>
        <v>0</v>
      </c>
      <c r="U90">
        <f xml:space="preserve"> IF(Table13[[#This Row],[dye'[0']]]=2, Table13[[#This Row],[strength'[0']]], 0)</f>
        <v>0</v>
      </c>
      <c r="V90">
        <f xml:space="preserve"> IF(Table13[[#This Row],[dye'[2']]]=1, Table13[[#This Row],[strength'[2']]], 0)</f>
        <v>0</v>
      </c>
      <c r="W90">
        <f xml:space="preserve"> IF(Table13[[#This Row],[dye'[1']]]=1, Table13[[#This Row],[strength'[1']]], 0)</f>
        <v>0</v>
      </c>
      <c r="X90">
        <f xml:space="preserve"> IF(Table13[[#This Row],[dye'[0']]]=1, Table13[[#This Row],[strength'[0']]], 0)</f>
        <v>0</v>
      </c>
      <c r="Y90">
        <f xml:space="preserve"> IF(Table13[[#This Row],[dye'[2']]]=0, Table13[[#This Row],[strength'[2']]], 0)</f>
        <v>0</v>
      </c>
      <c r="Z90">
        <f xml:space="preserve"> IF(Table13[[#This Row],[dye'[1']]]=0, Table13[[#This Row],[strength'[1']]], 0)</f>
        <v>0</v>
      </c>
      <c r="AA90">
        <f xml:space="preserve"> IF(Table13[[#This Row],[dye'[0']]]=0, Table13[[#This Row],[strength'[0']]], 0)</f>
        <v>0</v>
      </c>
      <c r="AB90">
        <v>0</v>
      </c>
      <c r="AC90">
        <f>MAX($D$2, Table13[[#This Row],[t1'[0']]])</f>
        <v>0</v>
      </c>
      <c r="AD90">
        <v>0</v>
      </c>
      <c r="AE90">
        <f>Table13[[#This Row],[t1'[0']]]+Table13[[#This Row],[dt'[0']]]</f>
        <v>0</v>
      </c>
      <c r="AF90">
        <f>MIN($C$2, Table13[[#This Row],[tf'[0']]])</f>
        <v>0</v>
      </c>
      <c r="AG90">
        <f>Table13[[#This Row],[time2'[0']]]-Table13[[#This Row],[time1'[0']]]</f>
        <v>0</v>
      </c>
      <c r="AH90">
        <v>0</v>
      </c>
      <c r="AI90">
        <f xml:space="preserve"> INDEX(Table3[[#All],[Intensity]], Table13[[#This Row],[int'[0']]]+2)</f>
        <v>0</v>
      </c>
      <c r="AJ90">
        <f>Table13[[#This Row],[duration'[0']]]*Table13[[#This Row],[intensity'[0']]]</f>
        <v>0</v>
      </c>
      <c r="AK90">
        <f>MOD(Table13[[#This Row],[ZMW num]], 4)</f>
        <v>1</v>
      </c>
      <c r="AL90">
        <v>0</v>
      </c>
      <c r="AM90">
        <f>MAX($D$2, Table13[[#This Row],[t1'[1']]])</f>
        <v>0</v>
      </c>
      <c r="AN90">
        <v>0</v>
      </c>
      <c r="AO90">
        <f>Table13[[#This Row],[t1'[1']]]+Table13[[#This Row],[dt'[1']]]</f>
        <v>0</v>
      </c>
      <c r="AP90">
        <f>MIN($C$2, Table13[[#This Row],[tf'[1']]])</f>
        <v>0</v>
      </c>
      <c r="AQ90">
        <f>Table13[[#This Row],[time2'[1']]]-Table13[[#This Row],[time1'[1']]]</f>
        <v>0</v>
      </c>
      <c r="AR90">
        <v>0</v>
      </c>
      <c r="AS90">
        <f xml:space="preserve"> INDEX(Table3[[#All],[Intensity]], Table13[[#This Row],[int'[1']]]+2)</f>
        <v>0</v>
      </c>
      <c r="AT90">
        <f>Table13[[#This Row],[duration'[1']]]*Table13[[#This Row],[intensity'[1']]]</f>
        <v>0</v>
      </c>
      <c r="AU90">
        <f>MOD(Table13[[#This Row],[ZMW num]]+1, 4)</f>
        <v>2</v>
      </c>
      <c r="AV90">
        <v>0</v>
      </c>
      <c r="AW90">
        <f>MAX($D$2, Table13[[#This Row],[t1'[2']]])</f>
        <v>0</v>
      </c>
      <c r="AX90">
        <v>0</v>
      </c>
      <c r="AY90">
        <f>Table13[[#This Row],[t1'[2']]]+Table13[[#This Row],[dt'[2']]]</f>
        <v>0</v>
      </c>
      <c r="AZ90">
        <f>MIN($C$2, Table13[[#This Row],[tf'[2']]])</f>
        <v>0</v>
      </c>
      <c r="BA90">
        <f>Table13[[#This Row],[time2'[2']]]-Table13[[#This Row],[time1'[2']]]</f>
        <v>0</v>
      </c>
      <c r="BB90">
        <v>0</v>
      </c>
      <c r="BC90">
        <f xml:space="preserve"> INDEX(Table3[[#All],[Intensity]], Table13[[#This Row],[int'[2']]]+2)</f>
        <v>0</v>
      </c>
      <c r="BD90">
        <f>Table13[[#This Row],[duration'[2']]]*Table13[[#This Row],[intensity'[2']]]</f>
        <v>0</v>
      </c>
      <c r="BE90">
        <f>MOD(Table13[[#This Row],[ZMW num]]+2, 4)</f>
        <v>3</v>
      </c>
      <c r="BF90" s="2" t="str">
        <f>Single2String(Table13[[#This Row],[t1'[0']]])</f>
        <v>00000000</v>
      </c>
      <c r="BG90" s="1" t="str">
        <f>Single2String(Table13[[#This Row],[dt'[0']]])</f>
        <v>00000000</v>
      </c>
      <c r="BH90" s="1" t="str">
        <f>Single2String(Table13[[#This Row],[t1'[1']]])</f>
        <v>00000000</v>
      </c>
      <c r="BI90" s="1" t="str">
        <f>Single2String(Table13[[#This Row],[dt'[1']]])</f>
        <v>00000000</v>
      </c>
      <c r="BJ90" s="1" t="str">
        <f>Single2String(Table13[[#This Row],[t1'[2']]])</f>
        <v>00000000</v>
      </c>
      <c r="BK90" s="1" t="str">
        <f>Single2String(Table13[[#This Row],[dt'[2']]])</f>
        <v>00000000</v>
      </c>
      <c r="BL90" s="1" t="str">
        <f>DEC2HEX(Table13[[#This Row],[ZMW num]], 6)</f>
        <v>000055</v>
      </c>
      <c r="BM90" s="1">
        <f>LEN(Table13[[#This Row],[DRAM data]])</f>
        <v>64</v>
      </c>
      <c r="BN9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0000000000000000000000000000000000000000000000001020300000005500</v>
      </c>
      <c r="CU90"/>
    </row>
    <row r="91" spans="1:99" x14ac:dyDescent="0.25">
      <c r="A91" t="str">
        <f>Single2String(Table13[[#This Row],[duration'[0']]])</f>
        <v>00000000</v>
      </c>
      <c r="B91" t="str">
        <f>Single2String(Table13[[#This Row],[duration'[1']]])</f>
        <v>00000000</v>
      </c>
      <c r="C91" t="str">
        <f>Single2String(Table13[[#This Row],[duration'[2']]])</f>
        <v>00000000</v>
      </c>
      <c r="D91" t="str">
        <f>INDEX(Table3[Hex], Table13[[#This Row],[int'[0']]]+1)</f>
        <v>00000000</v>
      </c>
      <c r="E91" t="str">
        <f>INDEX(Table3[Hex], Table13[[#This Row],[int'[1']]]+1)</f>
        <v>00000000</v>
      </c>
      <c r="F91" t="str">
        <f>INDEX(Table3[Hex], Table13[[#This Row],[int'[1']]]+1)</f>
        <v>00000000</v>
      </c>
      <c r="G91" t="str">
        <f>Single2String(Table13[[#This Row],[c ktrace]])</f>
        <v>00000000</v>
      </c>
      <c r="H91" t="str">
        <f>Single2String(Table13[[#This Row],[a ktrace]])</f>
        <v>00000000</v>
      </c>
      <c r="I91" t="str">
        <f>Single2String(Table13[[#This Row],[g ktrace]])</f>
        <v>00000000</v>
      </c>
      <c r="J91" t="str">
        <f>Single2String(Table13[[#This Row],[t ktrace]])</f>
        <v>00000000</v>
      </c>
      <c r="K91" s="3">
        <v>86</v>
      </c>
      <c r="L91">
        <f>SUM(Table13[[#This Row],[c ktrace'[2']]:[c ktrace'[0']]])</f>
        <v>0</v>
      </c>
      <c r="M91">
        <f>SUM(Table13[[#This Row],[a ktrace'[2']]:[a ktrace'[0']]])</f>
        <v>0</v>
      </c>
      <c r="N91">
        <f>SUM(Table13[[#This Row],[g ktrace'[2']]:[g ktrace'[0']]])</f>
        <v>0</v>
      </c>
      <c r="O91">
        <f>SUM(Table13[[#This Row],[t ktrace'[2']]:[t ktrace'[0']]])</f>
        <v>0</v>
      </c>
      <c r="P91">
        <f xml:space="preserve"> IF(Table13[[#This Row],[dye'[2']]]=3, Table13[[#This Row],[strength'[2']]], 0)</f>
        <v>0</v>
      </c>
      <c r="Q91">
        <f xml:space="preserve"> IF(Table13[[#This Row],[dye'[1']]]=3, Table13[[#This Row],[strength'[1']]], 0)</f>
        <v>0</v>
      </c>
      <c r="R91">
        <f xml:space="preserve"> IF(Table13[[#This Row],[dye'[0']]]=3, Table13[[#This Row],[strength'[0']]], 0)</f>
        <v>0</v>
      </c>
      <c r="S91">
        <f xml:space="preserve"> IF(Table13[[#This Row],[dye'[2']]]=2, Table13[[#This Row],[strength'[2']]], 0)</f>
        <v>0</v>
      </c>
      <c r="T91">
        <f xml:space="preserve"> IF(Table13[[#This Row],[dye'[1']]]=2, Table13[[#This Row],[strength'[1']]], 0)</f>
        <v>0</v>
      </c>
      <c r="U91">
        <f xml:space="preserve"> IF(Table13[[#This Row],[dye'[0']]]=2, Table13[[#This Row],[strength'[0']]], 0)</f>
        <v>0</v>
      </c>
      <c r="V91">
        <f xml:space="preserve"> IF(Table13[[#This Row],[dye'[2']]]=1, Table13[[#This Row],[strength'[2']]], 0)</f>
        <v>0</v>
      </c>
      <c r="W91">
        <f xml:space="preserve"> IF(Table13[[#This Row],[dye'[1']]]=1, Table13[[#This Row],[strength'[1']]], 0)</f>
        <v>0</v>
      </c>
      <c r="X91">
        <f xml:space="preserve"> IF(Table13[[#This Row],[dye'[0']]]=1, Table13[[#This Row],[strength'[0']]], 0)</f>
        <v>0</v>
      </c>
      <c r="Y91">
        <f xml:space="preserve"> IF(Table13[[#This Row],[dye'[2']]]=0, Table13[[#This Row],[strength'[2']]], 0)</f>
        <v>0</v>
      </c>
      <c r="Z91">
        <f xml:space="preserve"> IF(Table13[[#This Row],[dye'[1']]]=0, Table13[[#This Row],[strength'[1']]], 0)</f>
        <v>0</v>
      </c>
      <c r="AA91">
        <f xml:space="preserve"> IF(Table13[[#This Row],[dye'[0']]]=0, Table13[[#This Row],[strength'[0']]], 0)</f>
        <v>0</v>
      </c>
      <c r="AB91">
        <v>0</v>
      </c>
      <c r="AC91">
        <f>MAX($D$2, Table13[[#This Row],[t1'[0']]])</f>
        <v>0</v>
      </c>
      <c r="AD91">
        <v>0</v>
      </c>
      <c r="AE91">
        <f>Table13[[#This Row],[t1'[0']]]+Table13[[#This Row],[dt'[0']]]</f>
        <v>0</v>
      </c>
      <c r="AF91">
        <f>MIN($C$2, Table13[[#This Row],[tf'[0']]])</f>
        <v>0</v>
      </c>
      <c r="AG91">
        <f>Table13[[#This Row],[time2'[0']]]-Table13[[#This Row],[time1'[0']]]</f>
        <v>0</v>
      </c>
      <c r="AH91">
        <v>0</v>
      </c>
      <c r="AI91">
        <f xml:space="preserve"> INDEX(Table3[[#All],[Intensity]], Table13[[#This Row],[int'[0']]]+2)</f>
        <v>0</v>
      </c>
      <c r="AJ91">
        <f>Table13[[#This Row],[duration'[0']]]*Table13[[#This Row],[intensity'[0']]]</f>
        <v>0</v>
      </c>
      <c r="AK91">
        <f>MOD(Table13[[#This Row],[ZMW num]], 4)</f>
        <v>2</v>
      </c>
      <c r="AL91">
        <v>0</v>
      </c>
      <c r="AM91">
        <f>MAX($D$2, Table13[[#This Row],[t1'[1']]])</f>
        <v>0</v>
      </c>
      <c r="AN91">
        <v>0</v>
      </c>
      <c r="AO91">
        <f>Table13[[#This Row],[t1'[1']]]+Table13[[#This Row],[dt'[1']]]</f>
        <v>0</v>
      </c>
      <c r="AP91">
        <f>MIN($C$2, Table13[[#This Row],[tf'[1']]])</f>
        <v>0</v>
      </c>
      <c r="AQ91">
        <f>Table13[[#This Row],[time2'[1']]]-Table13[[#This Row],[time1'[1']]]</f>
        <v>0</v>
      </c>
      <c r="AR91">
        <v>0</v>
      </c>
      <c r="AS91">
        <f xml:space="preserve"> INDEX(Table3[[#All],[Intensity]], Table13[[#This Row],[int'[1']]]+2)</f>
        <v>0</v>
      </c>
      <c r="AT91">
        <f>Table13[[#This Row],[duration'[1']]]*Table13[[#This Row],[intensity'[1']]]</f>
        <v>0</v>
      </c>
      <c r="AU91">
        <f>MOD(Table13[[#This Row],[ZMW num]]+1, 4)</f>
        <v>3</v>
      </c>
      <c r="AV91">
        <v>0</v>
      </c>
      <c r="AW91">
        <f>MAX($D$2, Table13[[#This Row],[t1'[2']]])</f>
        <v>0</v>
      </c>
      <c r="AX91">
        <v>0</v>
      </c>
      <c r="AY91">
        <f>Table13[[#This Row],[t1'[2']]]+Table13[[#This Row],[dt'[2']]]</f>
        <v>0</v>
      </c>
      <c r="AZ91">
        <f>MIN($C$2, Table13[[#This Row],[tf'[2']]])</f>
        <v>0</v>
      </c>
      <c r="BA91">
        <f>Table13[[#This Row],[time2'[2']]]-Table13[[#This Row],[time1'[2']]]</f>
        <v>0</v>
      </c>
      <c r="BB91">
        <v>0</v>
      </c>
      <c r="BC91">
        <f xml:space="preserve"> INDEX(Table3[[#All],[Intensity]], Table13[[#This Row],[int'[2']]]+2)</f>
        <v>0</v>
      </c>
      <c r="BD91">
        <f>Table13[[#This Row],[duration'[2']]]*Table13[[#This Row],[intensity'[2']]]</f>
        <v>0</v>
      </c>
      <c r="BE91">
        <f>MOD(Table13[[#This Row],[ZMW num]]+2, 4)</f>
        <v>0</v>
      </c>
      <c r="BF91" s="2" t="str">
        <f>Single2String(Table13[[#This Row],[t1'[0']]])</f>
        <v>00000000</v>
      </c>
      <c r="BG91" s="1" t="str">
        <f>Single2String(Table13[[#This Row],[dt'[0']]])</f>
        <v>00000000</v>
      </c>
      <c r="BH91" s="1" t="str">
        <f>Single2String(Table13[[#This Row],[t1'[1']]])</f>
        <v>00000000</v>
      </c>
      <c r="BI91" s="1" t="str">
        <f>Single2String(Table13[[#This Row],[dt'[1']]])</f>
        <v>00000000</v>
      </c>
      <c r="BJ91" s="1" t="str">
        <f>Single2String(Table13[[#This Row],[t1'[2']]])</f>
        <v>00000000</v>
      </c>
      <c r="BK91" s="1" t="str">
        <f>Single2String(Table13[[#This Row],[dt'[2']]])</f>
        <v>00000000</v>
      </c>
      <c r="BL91" s="1" t="str">
        <f>DEC2HEX(Table13[[#This Row],[ZMW num]], 6)</f>
        <v>000056</v>
      </c>
      <c r="BM91" s="1">
        <f>LEN(Table13[[#This Row],[DRAM data]])</f>
        <v>64</v>
      </c>
      <c r="BN9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0000000000000000000000000000000000000000000000002030000000005600</v>
      </c>
      <c r="CU91"/>
    </row>
    <row r="92" spans="1:99" x14ac:dyDescent="0.25">
      <c r="A92" t="str">
        <f>Single2String(Table13[[#This Row],[duration'[0']]])</f>
        <v>00000000</v>
      </c>
      <c r="B92" t="str">
        <f>Single2String(Table13[[#This Row],[duration'[1']]])</f>
        <v>00000000</v>
      </c>
      <c r="C92" t="str">
        <f>Single2String(Table13[[#This Row],[duration'[2']]])</f>
        <v>00000000</v>
      </c>
      <c r="D92" t="str">
        <f>INDEX(Table3[Hex], Table13[[#This Row],[int'[0']]]+1)</f>
        <v>00000000</v>
      </c>
      <c r="E92" t="str">
        <f>INDEX(Table3[Hex], Table13[[#This Row],[int'[1']]]+1)</f>
        <v>00000000</v>
      </c>
      <c r="F92" t="str">
        <f>INDEX(Table3[Hex], Table13[[#This Row],[int'[1']]]+1)</f>
        <v>00000000</v>
      </c>
      <c r="G92" t="str">
        <f>Single2String(Table13[[#This Row],[c ktrace]])</f>
        <v>00000000</v>
      </c>
      <c r="H92" t="str">
        <f>Single2String(Table13[[#This Row],[a ktrace]])</f>
        <v>00000000</v>
      </c>
      <c r="I92" t="str">
        <f>Single2String(Table13[[#This Row],[g ktrace]])</f>
        <v>00000000</v>
      </c>
      <c r="J92" t="str">
        <f>Single2String(Table13[[#This Row],[t ktrace]])</f>
        <v>00000000</v>
      </c>
      <c r="K92" s="3">
        <v>87</v>
      </c>
      <c r="L92">
        <f>SUM(Table13[[#This Row],[c ktrace'[2']]:[c ktrace'[0']]])</f>
        <v>0</v>
      </c>
      <c r="M92">
        <f>SUM(Table13[[#This Row],[a ktrace'[2']]:[a ktrace'[0']]])</f>
        <v>0</v>
      </c>
      <c r="N92">
        <f>SUM(Table13[[#This Row],[g ktrace'[2']]:[g ktrace'[0']]])</f>
        <v>0</v>
      </c>
      <c r="O92">
        <f>SUM(Table13[[#This Row],[t ktrace'[2']]:[t ktrace'[0']]])</f>
        <v>0</v>
      </c>
      <c r="P92">
        <f xml:space="preserve"> IF(Table13[[#This Row],[dye'[2']]]=3, Table13[[#This Row],[strength'[2']]], 0)</f>
        <v>0</v>
      </c>
      <c r="Q92">
        <f xml:space="preserve"> IF(Table13[[#This Row],[dye'[1']]]=3, Table13[[#This Row],[strength'[1']]], 0)</f>
        <v>0</v>
      </c>
      <c r="R92">
        <f xml:space="preserve"> IF(Table13[[#This Row],[dye'[0']]]=3, Table13[[#This Row],[strength'[0']]], 0)</f>
        <v>0</v>
      </c>
      <c r="S92">
        <f xml:space="preserve"> IF(Table13[[#This Row],[dye'[2']]]=2, Table13[[#This Row],[strength'[2']]], 0)</f>
        <v>0</v>
      </c>
      <c r="T92">
        <f xml:space="preserve"> IF(Table13[[#This Row],[dye'[1']]]=2, Table13[[#This Row],[strength'[1']]], 0)</f>
        <v>0</v>
      </c>
      <c r="U92">
        <f xml:space="preserve"> IF(Table13[[#This Row],[dye'[0']]]=2, Table13[[#This Row],[strength'[0']]], 0)</f>
        <v>0</v>
      </c>
      <c r="V92">
        <f xml:space="preserve"> IF(Table13[[#This Row],[dye'[2']]]=1, Table13[[#This Row],[strength'[2']]], 0)</f>
        <v>0</v>
      </c>
      <c r="W92">
        <f xml:space="preserve"> IF(Table13[[#This Row],[dye'[1']]]=1, Table13[[#This Row],[strength'[1']]], 0)</f>
        <v>0</v>
      </c>
      <c r="X92">
        <f xml:space="preserve"> IF(Table13[[#This Row],[dye'[0']]]=1, Table13[[#This Row],[strength'[0']]], 0)</f>
        <v>0</v>
      </c>
      <c r="Y92">
        <f xml:space="preserve"> IF(Table13[[#This Row],[dye'[2']]]=0, Table13[[#This Row],[strength'[2']]], 0)</f>
        <v>0</v>
      </c>
      <c r="Z92">
        <f xml:space="preserve"> IF(Table13[[#This Row],[dye'[1']]]=0, Table13[[#This Row],[strength'[1']]], 0)</f>
        <v>0</v>
      </c>
      <c r="AA92">
        <f xml:space="preserve"> IF(Table13[[#This Row],[dye'[0']]]=0, Table13[[#This Row],[strength'[0']]], 0)</f>
        <v>0</v>
      </c>
      <c r="AB92">
        <v>0</v>
      </c>
      <c r="AC92">
        <f>MAX($D$2, Table13[[#This Row],[t1'[0']]])</f>
        <v>0</v>
      </c>
      <c r="AD92">
        <v>0</v>
      </c>
      <c r="AE92">
        <f>Table13[[#This Row],[t1'[0']]]+Table13[[#This Row],[dt'[0']]]</f>
        <v>0</v>
      </c>
      <c r="AF92">
        <f>MIN($C$2, Table13[[#This Row],[tf'[0']]])</f>
        <v>0</v>
      </c>
      <c r="AG92">
        <f>Table13[[#This Row],[time2'[0']]]-Table13[[#This Row],[time1'[0']]]</f>
        <v>0</v>
      </c>
      <c r="AH92">
        <v>0</v>
      </c>
      <c r="AI92">
        <f xml:space="preserve"> INDEX(Table3[[#All],[Intensity]], Table13[[#This Row],[int'[0']]]+2)</f>
        <v>0</v>
      </c>
      <c r="AJ92">
        <f>Table13[[#This Row],[duration'[0']]]*Table13[[#This Row],[intensity'[0']]]</f>
        <v>0</v>
      </c>
      <c r="AK92">
        <f>MOD(Table13[[#This Row],[ZMW num]], 4)</f>
        <v>3</v>
      </c>
      <c r="AL92">
        <v>0</v>
      </c>
      <c r="AM92">
        <f>MAX($D$2, Table13[[#This Row],[t1'[1']]])</f>
        <v>0</v>
      </c>
      <c r="AN92">
        <v>0</v>
      </c>
      <c r="AO92">
        <f>Table13[[#This Row],[t1'[1']]]+Table13[[#This Row],[dt'[1']]]</f>
        <v>0</v>
      </c>
      <c r="AP92">
        <f>MIN($C$2, Table13[[#This Row],[tf'[1']]])</f>
        <v>0</v>
      </c>
      <c r="AQ92">
        <f>Table13[[#This Row],[time2'[1']]]-Table13[[#This Row],[time1'[1']]]</f>
        <v>0</v>
      </c>
      <c r="AR92">
        <v>0</v>
      </c>
      <c r="AS92">
        <f xml:space="preserve"> INDEX(Table3[[#All],[Intensity]], Table13[[#This Row],[int'[1']]]+2)</f>
        <v>0</v>
      </c>
      <c r="AT92">
        <f>Table13[[#This Row],[duration'[1']]]*Table13[[#This Row],[intensity'[1']]]</f>
        <v>0</v>
      </c>
      <c r="AU92">
        <f>MOD(Table13[[#This Row],[ZMW num]]+1, 4)</f>
        <v>0</v>
      </c>
      <c r="AV92">
        <v>0</v>
      </c>
      <c r="AW92">
        <f>MAX($D$2, Table13[[#This Row],[t1'[2']]])</f>
        <v>0</v>
      </c>
      <c r="AX92">
        <v>0</v>
      </c>
      <c r="AY92">
        <f>Table13[[#This Row],[t1'[2']]]+Table13[[#This Row],[dt'[2']]]</f>
        <v>0</v>
      </c>
      <c r="AZ92">
        <f>MIN($C$2, Table13[[#This Row],[tf'[2']]])</f>
        <v>0</v>
      </c>
      <c r="BA92">
        <f>Table13[[#This Row],[time2'[2']]]-Table13[[#This Row],[time1'[2']]]</f>
        <v>0</v>
      </c>
      <c r="BB92">
        <v>0</v>
      </c>
      <c r="BC92">
        <f xml:space="preserve"> INDEX(Table3[[#All],[Intensity]], Table13[[#This Row],[int'[2']]]+2)</f>
        <v>0</v>
      </c>
      <c r="BD92">
        <f>Table13[[#This Row],[duration'[2']]]*Table13[[#This Row],[intensity'[2']]]</f>
        <v>0</v>
      </c>
      <c r="BE92">
        <f>MOD(Table13[[#This Row],[ZMW num]]+2, 4)</f>
        <v>1</v>
      </c>
      <c r="BF92" s="2" t="str">
        <f>Single2String(Table13[[#This Row],[t1'[0']]])</f>
        <v>00000000</v>
      </c>
      <c r="BG92" s="1" t="str">
        <f>Single2String(Table13[[#This Row],[dt'[0']]])</f>
        <v>00000000</v>
      </c>
      <c r="BH92" s="1" t="str">
        <f>Single2String(Table13[[#This Row],[t1'[1']]])</f>
        <v>00000000</v>
      </c>
      <c r="BI92" s="1" t="str">
        <f>Single2String(Table13[[#This Row],[dt'[1']]])</f>
        <v>00000000</v>
      </c>
      <c r="BJ92" s="1" t="str">
        <f>Single2String(Table13[[#This Row],[t1'[2']]])</f>
        <v>00000000</v>
      </c>
      <c r="BK92" s="1" t="str">
        <f>Single2String(Table13[[#This Row],[dt'[2']]])</f>
        <v>00000000</v>
      </c>
      <c r="BL92" s="1" t="str">
        <f>DEC2HEX(Table13[[#This Row],[ZMW num]], 6)</f>
        <v>000057</v>
      </c>
      <c r="BM92" s="1">
        <f>LEN(Table13[[#This Row],[DRAM data]])</f>
        <v>64</v>
      </c>
      <c r="BN9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0000000000000000000000000000000000000000000000003000100000005700</v>
      </c>
      <c r="CU92"/>
    </row>
    <row r="93" spans="1:99" x14ac:dyDescent="0.25">
      <c r="A93" t="str">
        <f>Single2String(Table13[[#This Row],[duration'[0']]])</f>
        <v>00000000</v>
      </c>
      <c r="B93" t="str">
        <f>Single2String(Table13[[#This Row],[duration'[1']]])</f>
        <v>00000000</v>
      </c>
      <c r="C93" t="str">
        <f>Single2String(Table13[[#This Row],[duration'[2']]])</f>
        <v>00000000</v>
      </c>
      <c r="D93" t="str">
        <f>INDEX(Table3[Hex], Table13[[#This Row],[int'[0']]]+1)</f>
        <v>00000000</v>
      </c>
      <c r="E93" t="str">
        <f>INDEX(Table3[Hex], Table13[[#This Row],[int'[1']]]+1)</f>
        <v>00000000</v>
      </c>
      <c r="F93" t="str">
        <f>INDEX(Table3[Hex], Table13[[#This Row],[int'[1']]]+1)</f>
        <v>00000000</v>
      </c>
      <c r="G93" t="str">
        <f>Single2String(Table13[[#This Row],[c ktrace]])</f>
        <v>00000000</v>
      </c>
      <c r="H93" t="str">
        <f>Single2String(Table13[[#This Row],[a ktrace]])</f>
        <v>00000000</v>
      </c>
      <c r="I93" t="str">
        <f>Single2String(Table13[[#This Row],[g ktrace]])</f>
        <v>00000000</v>
      </c>
      <c r="J93" t="str">
        <f>Single2String(Table13[[#This Row],[t ktrace]])</f>
        <v>00000000</v>
      </c>
      <c r="K93" s="3">
        <v>88</v>
      </c>
      <c r="L93">
        <f>SUM(Table13[[#This Row],[c ktrace'[2']]:[c ktrace'[0']]])</f>
        <v>0</v>
      </c>
      <c r="M93">
        <f>SUM(Table13[[#This Row],[a ktrace'[2']]:[a ktrace'[0']]])</f>
        <v>0</v>
      </c>
      <c r="N93">
        <f>SUM(Table13[[#This Row],[g ktrace'[2']]:[g ktrace'[0']]])</f>
        <v>0</v>
      </c>
      <c r="O93">
        <f>SUM(Table13[[#This Row],[t ktrace'[2']]:[t ktrace'[0']]])</f>
        <v>0</v>
      </c>
      <c r="P93">
        <f xml:space="preserve"> IF(Table13[[#This Row],[dye'[2']]]=3, Table13[[#This Row],[strength'[2']]], 0)</f>
        <v>0</v>
      </c>
      <c r="Q93">
        <f xml:space="preserve"> IF(Table13[[#This Row],[dye'[1']]]=3, Table13[[#This Row],[strength'[1']]], 0)</f>
        <v>0</v>
      </c>
      <c r="R93">
        <f xml:space="preserve"> IF(Table13[[#This Row],[dye'[0']]]=3, Table13[[#This Row],[strength'[0']]], 0)</f>
        <v>0</v>
      </c>
      <c r="S93">
        <f xml:space="preserve"> IF(Table13[[#This Row],[dye'[2']]]=2, Table13[[#This Row],[strength'[2']]], 0)</f>
        <v>0</v>
      </c>
      <c r="T93">
        <f xml:space="preserve"> IF(Table13[[#This Row],[dye'[1']]]=2, Table13[[#This Row],[strength'[1']]], 0)</f>
        <v>0</v>
      </c>
      <c r="U93">
        <f xml:space="preserve"> IF(Table13[[#This Row],[dye'[0']]]=2, Table13[[#This Row],[strength'[0']]], 0)</f>
        <v>0</v>
      </c>
      <c r="V93">
        <f xml:space="preserve"> IF(Table13[[#This Row],[dye'[2']]]=1, Table13[[#This Row],[strength'[2']]], 0)</f>
        <v>0</v>
      </c>
      <c r="W93">
        <f xml:space="preserve"> IF(Table13[[#This Row],[dye'[1']]]=1, Table13[[#This Row],[strength'[1']]], 0)</f>
        <v>0</v>
      </c>
      <c r="X93">
        <f xml:space="preserve"> IF(Table13[[#This Row],[dye'[0']]]=1, Table13[[#This Row],[strength'[0']]], 0)</f>
        <v>0</v>
      </c>
      <c r="Y93">
        <f xml:space="preserve"> IF(Table13[[#This Row],[dye'[2']]]=0, Table13[[#This Row],[strength'[2']]], 0)</f>
        <v>0</v>
      </c>
      <c r="Z93">
        <f xml:space="preserve"> IF(Table13[[#This Row],[dye'[1']]]=0, Table13[[#This Row],[strength'[1']]], 0)</f>
        <v>0</v>
      </c>
      <c r="AA93">
        <f xml:space="preserve"> IF(Table13[[#This Row],[dye'[0']]]=0, Table13[[#This Row],[strength'[0']]], 0)</f>
        <v>0</v>
      </c>
      <c r="AB93">
        <v>0</v>
      </c>
      <c r="AC93">
        <f>MAX($D$2, Table13[[#This Row],[t1'[0']]])</f>
        <v>0</v>
      </c>
      <c r="AD93">
        <v>0</v>
      </c>
      <c r="AE93">
        <f>Table13[[#This Row],[t1'[0']]]+Table13[[#This Row],[dt'[0']]]</f>
        <v>0</v>
      </c>
      <c r="AF93">
        <f>MIN($C$2, Table13[[#This Row],[tf'[0']]])</f>
        <v>0</v>
      </c>
      <c r="AG93">
        <f>Table13[[#This Row],[time2'[0']]]-Table13[[#This Row],[time1'[0']]]</f>
        <v>0</v>
      </c>
      <c r="AH93">
        <v>0</v>
      </c>
      <c r="AI93">
        <f xml:space="preserve"> INDEX(Table3[[#All],[Intensity]], Table13[[#This Row],[int'[0']]]+2)</f>
        <v>0</v>
      </c>
      <c r="AJ93">
        <f>Table13[[#This Row],[duration'[0']]]*Table13[[#This Row],[intensity'[0']]]</f>
        <v>0</v>
      </c>
      <c r="AK93">
        <f>MOD(Table13[[#This Row],[ZMW num]], 4)</f>
        <v>0</v>
      </c>
      <c r="AL93">
        <v>0</v>
      </c>
      <c r="AM93">
        <f>MAX($D$2, Table13[[#This Row],[t1'[1']]])</f>
        <v>0</v>
      </c>
      <c r="AN93">
        <v>0</v>
      </c>
      <c r="AO93">
        <f>Table13[[#This Row],[t1'[1']]]+Table13[[#This Row],[dt'[1']]]</f>
        <v>0</v>
      </c>
      <c r="AP93">
        <f>MIN($C$2, Table13[[#This Row],[tf'[1']]])</f>
        <v>0</v>
      </c>
      <c r="AQ93">
        <f>Table13[[#This Row],[time2'[1']]]-Table13[[#This Row],[time1'[1']]]</f>
        <v>0</v>
      </c>
      <c r="AR93">
        <v>0</v>
      </c>
      <c r="AS93">
        <f xml:space="preserve"> INDEX(Table3[[#All],[Intensity]], Table13[[#This Row],[int'[1']]]+2)</f>
        <v>0</v>
      </c>
      <c r="AT93">
        <f>Table13[[#This Row],[duration'[1']]]*Table13[[#This Row],[intensity'[1']]]</f>
        <v>0</v>
      </c>
      <c r="AU93">
        <f>MOD(Table13[[#This Row],[ZMW num]]+1, 4)</f>
        <v>1</v>
      </c>
      <c r="AV93">
        <v>0</v>
      </c>
      <c r="AW93">
        <f>MAX($D$2, Table13[[#This Row],[t1'[2']]])</f>
        <v>0</v>
      </c>
      <c r="AX93">
        <v>0</v>
      </c>
      <c r="AY93">
        <f>Table13[[#This Row],[t1'[2']]]+Table13[[#This Row],[dt'[2']]]</f>
        <v>0</v>
      </c>
      <c r="AZ93">
        <f>MIN($C$2, Table13[[#This Row],[tf'[2']]])</f>
        <v>0</v>
      </c>
      <c r="BA93">
        <f>Table13[[#This Row],[time2'[2']]]-Table13[[#This Row],[time1'[2']]]</f>
        <v>0</v>
      </c>
      <c r="BB93">
        <v>0</v>
      </c>
      <c r="BC93">
        <f xml:space="preserve"> INDEX(Table3[[#All],[Intensity]], Table13[[#This Row],[int'[2']]]+2)</f>
        <v>0</v>
      </c>
      <c r="BD93">
        <f>Table13[[#This Row],[duration'[2']]]*Table13[[#This Row],[intensity'[2']]]</f>
        <v>0</v>
      </c>
      <c r="BE93">
        <f>MOD(Table13[[#This Row],[ZMW num]]+2, 4)</f>
        <v>2</v>
      </c>
      <c r="BF93" s="2" t="str">
        <f>Single2String(Table13[[#This Row],[t1'[0']]])</f>
        <v>00000000</v>
      </c>
      <c r="BG93" s="1" t="str">
        <f>Single2String(Table13[[#This Row],[dt'[0']]])</f>
        <v>00000000</v>
      </c>
      <c r="BH93" s="1" t="str">
        <f>Single2String(Table13[[#This Row],[t1'[1']]])</f>
        <v>00000000</v>
      </c>
      <c r="BI93" s="1" t="str">
        <f>Single2String(Table13[[#This Row],[dt'[1']]])</f>
        <v>00000000</v>
      </c>
      <c r="BJ93" s="1" t="str">
        <f>Single2String(Table13[[#This Row],[t1'[2']]])</f>
        <v>00000000</v>
      </c>
      <c r="BK93" s="1" t="str">
        <f>Single2String(Table13[[#This Row],[dt'[2']]])</f>
        <v>00000000</v>
      </c>
      <c r="BL93" s="1" t="str">
        <f>DEC2HEX(Table13[[#This Row],[ZMW num]], 6)</f>
        <v>000058</v>
      </c>
      <c r="BM93" s="1">
        <f>LEN(Table13[[#This Row],[DRAM data]])</f>
        <v>64</v>
      </c>
      <c r="BN9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0000000000000000000000000000000000000000000000000010200000005800</v>
      </c>
      <c r="CU93"/>
    </row>
    <row r="94" spans="1:99" x14ac:dyDescent="0.25">
      <c r="A94" t="str">
        <f>Single2String(Table13[[#This Row],[duration'[0']]])</f>
        <v>00000000</v>
      </c>
      <c r="B94" t="str">
        <f>Single2String(Table13[[#This Row],[duration'[1']]])</f>
        <v>00000000</v>
      </c>
      <c r="C94" t="str">
        <f>Single2String(Table13[[#This Row],[duration'[2']]])</f>
        <v>00000000</v>
      </c>
      <c r="D94" t="str">
        <f>INDEX(Table3[Hex], Table13[[#This Row],[int'[0']]]+1)</f>
        <v>00000000</v>
      </c>
      <c r="E94" t="str">
        <f>INDEX(Table3[Hex], Table13[[#This Row],[int'[1']]]+1)</f>
        <v>00000000</v>
      </c>
      <c r="F94" t="str">
        <f>INDEX(Table3[Hex], Table13[[#This Row],[int'[1']]]+1)</f>
        <v>00000000</v>
      </c>
      <c r="G94" t="str">
        <f>Single2String(Table13[[#This Row],[c ktrace]])</f>
        <v>00000000</v>
      </c>
      <c r="H94" t="str">
        <f>Single2String(Table13[[#This Row],[a ktrace]])</f>
        <v>00000000</v>
      </c>
      <c r="I94" t="str">
        <f>Single2String(Table13[[#This Row],[g ktrace]])</f>
        <v>00000000</v>
      </c>
      <c r="J94" t="str">
        <f>Single2String(Table13[[#This Row],[t ktrace]])</f>
        <v>00000000</v>
      </c>
      <c r="K94" s="3">
        <v>89</v>
      </c>
      <c r="L94">
        <f>SUM(Table13[[#This Row],[c ktrace'[2']]:[c ktrace'[0']]])</f>
        <v>0</v>
      </c>
      <c r="M94">
        <f>SUM(Table13[[#This Row],[a ktrace'[2']]:[a ktrace'[0']]])</f>
        <v>0</v>
      </c>
      <c r="N94">
        <f>SUM(Table13[[#This Row],[g ktrace'[2']]:[g ktrace'[0']]])</f>
        <v>0</v>
      </c>
      <c r="O94">
        <f>SUM(Table13[[#This Row],[t ktrace'[2']]:[t ktrace'[0']]])</f>
        <v>0</v>
      </c>
      <c r="P94">
        <f xml:space="preserve"> IF(Table13[[#This Row],[dye'[2']]]=3, Table13[[#This Row],[strength'[2']]], 0)</f>
        <v>0</v>
      </c>
      <c r="Q94">
        <f xml:space="preserve"> IF(Table13[[#This Row],[dye'[1']]]=3, Table13[[#This Row],[strength'[1']]], 0)</f>
        <v>0</v>
      </c>
      <c r="R94">
        <f xml:space="preserve"> IF(Table13[[#This Row],[dye'[0']]]=3, Table13[[#This Row],[strength'[0']]], 0)</f>
        <v>0</v>
      </c>
      <c r="S94">
        <f xml:space="preserve"> IF(Table13[[#This Row],[dye'[2']]]=2, Table13[[#This Row],[strength'[2']]], 0)</f>
        <v>0</v>
      </c>
      <c r="T94">
        <f xml:space="preserve"> IF(Table13[[#This Row],[dye'[1']]]=2, Table13[[#This Row],[strength'[1']]], 0)</f>
        <v>0</v>
      </c>
      <c r="U94">
        <f xml:space="preserve"> IF(Table13[[#This Row],[dye'[0']]]=2, Table13[[#This Row],[strength'[0']]], 0)</f>
        <v>0</v>
      </c>
      <c r="V94">
        <f xml:space="preserve"> IF(Table13[[#This Row],[dye'[2']]]=1, Table13[[#This Row],[strength'[2']]], 0)</f>
        <v>0</v>
      </c>
      <c r="W94">
        <f xml:space="preserve"> IF(Table13[[#This Row],[dye'[1']]]=1, Table13[[#This Row],[strength'[1']]], 0)</f>
        <v>0</v>
      </c>
      <c r="X94">
        <f xml:space="preserve"> IF(Table13[[#This Row],[dye'[0']]]=1, Table13[[#This Row],[strength'[0']]], 0)</f>
        <v>0</v>
      </c>
      <c r="Y94">
        <f xml:space="preserve"> IF(Table13[[#This Row],[dye'[2']]]=0, Table13[[#This Row],[strength'[2']]], 0)</f>
        <v>0</v>
      </c>
      <c r="Z94">
        <f xml:space="preserve"> IF(Table13[[#This Row],[dye'[1']]]=0, Table13[[#This Row],[strength'[1']]], 0)</f>
        <v>0</v>
      </c>
      <c r="AA94">
        <f xml:space="preserve"> IF(Table13[[#This Row],[dye'[0']]]=0, Table13[[#This Row],[strength'[0']]], 0)</f>
        <v>0</v>
      </c>
      <c r="AB94">
        <v>0</v>
      </c>
      <c r="AC94">
        <f>MAX($D$2, Table13[[#This Row],[t1'[0']]])</f>
        <v>0</v>
      </c>
      <c r="AD94">
        <v>0</v>
      </c>
      <c r="AE94">
        <f>Table13[[#This Row],[t1'[0']]]+Table13[[#This Row],[dt'[0']]]</f>
        <v>0</v>
      </c>
      <c r="AF94">
        <f>MIN($C$2, Table13[[#This Row],[tf'[0']]])</f>
        <v>0</v>
      </c>
      <c r="AG94">
        <f>Table13[[#This Row],[time2'[0']]]-Table13[[#This Row],[time1'[0']]]</f>
        <v>0</v>
      </c>
      <c r="AH94">
        <v>0</v>
      </c>
      <c r="AI94">
        <f xml:space="preserve"> INDEX(Table3[[#All],[Intensity]], Table13[[#This Row],[int'[0']]]+2)</f>
        <v>0</v>
      </c>
      <c r="AJ94">
        <f>Table13[[#This Row],[duration'[0']]]*Table13[[#This Row],[intensity'[0']]]</f>
        <v>0</v>
      </c>
      <c r="AK94">
        <f>MOD(Table13[[#This Row],[ZMW num]], 4)</f>
        <v>1</v>
      </c>
      <c r="AL94">
        <v>0</v>
      </c>
      <c r="AM94">
        <f>MAX($D$2, Table13[[#This Row],[t1'[1']]])</f>
        <v>0</v>
      </c>
      <c r="AN94">
        <v>0</v>
      </c>
      <c r="AO94">
        <f>Table13[[#This Row],[t1'[1']]]+Table13[[#This Row],[dt'[1']]]</f>
        <v>0</v>
      </c>
      <c r="AP94">
        <f>MIN($C$2, Table13[[#This Row],[tf'[1']]])</f>
        <v>0</v>
      </c>
      <c r="AQ94">
        <f>Table13[[#This Row],[time2'[1']]]-Table13[[#This Row],[time1'[1']]]</f>
        <v>0</v>
      </c>
      <c r="AR94">
        <v>0</v>
      </c>
      <c r="AS94">
        <f xml:space="preserve"> INDEX(Table3[[#All],[Intensity]], Table13[[#This Row],[int'[1']]]+2)</f>
        <v>0</v>
      </c>
      <c r="AT94">
        <f>Table13[[#This Row],[duration'[1']]]*Table13[[#This Row],[intensity'[1']]]</f>
        <v>0</v>
      </c>
      <c r="AU94">
        <f>MOD(Table13[[#This Row],[ZMW num]]+1, 4)</f>
        <v>2</v>
      </c>
      <c r="AV94">
        <v>0</v>
      </c>
      <c r="AW94">
        <f>MAX($D$2, Table13[[#This Row],[t1'[2']]])</f>
        <v>0</v>
      </c>
      <c r="AX94">
        <v>0</v>
      </c>
      <c r="AY94">
        <f>Table13[[#This Row],[t1'[2']]]+Table13[[#This Row],[dt'[2']]]</f>
        <v>0</v>
      </c>
      <c r="AZ94">
        <f>MIN($C$2, Table13[[#This Row],[tf'[2']]])</f>
        <v>0</v>
      </c>
      <c r="BA94">
        <f>Table13[[#This Row],[time2'[2']]]-Table13[[#This Row],[time1'[2']]]</f>
        <v>0</v>
      </c>
      <c r="BB94">
        <v>0</v>
      </c>
      <c r="BC94">
        <f xml:space="preserve"> INDEX(Table3[[#All],[Intensity]], Table13[[#This Row],[int'[2']]]+2)</f>
        <v>0</v>
      </c>
      <c r="BD94">
        <f>Table13[[#This Row],[duration'[2']]]*Table13[[#This Row],[intensity'[2']]]</f>
        <v>0</v>
      </c>
      <c r="BE94">
        <f>MOD(Table13[[#This Row],[ZMW num]]+2, 4)</f>
        <v>3</v>
      </c>
      <c r="BF94" s="2" t="str">
        <f>Single2String(Table13[[#This Row],[t1'[0']]])</f>
        <v>00000000</v>
      </c>
      <c r="BG94" s="1" t="str">
        <f>Single2String(Table13[[#This Row],[dt'[0']]])</f>
        <v>00000000</v>
      </c>
      <c r="BH94" s="1" t="str">
        <f>Single2String(Table13[[#This Row],[t1'[1']]])</f>
        <v>00000000</v>
      </c>
      <c r="BI94" s="1" t="str">
        <f>Single2String(Table13[[#This Row],[dt'[1']]])</f>
        <v>00000000</v>
      </c>
      <c r="BJ94" s="1" t="str">
        <f>Single2String(Table13[[#This Row],[t1'[2']]])</f>
        <v>00000000</v>
      </c>
      <c r="BK94" s="1" t="str">
        <f>Single2String(Table13[[#This Row],[dt'[2']]])</f>
        <v>00000000</v>
      </c>
      <c r="BL94" s="1" t="str">
        <f>DEC2HEX(Table13[[#This Row],[ZMW num]], 6)</f>
        <v>000059</v>
      </c>
      <c r="BM94" s="1">
        <f>LEN(Table13[[#This Row],[DRAM data]])</f>
        <v>64</v>
      </c>
      <c r="BN9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0000000000000000000000000000000000000000000000001020300000005900</v>
      </c>
      <c r="CU94"/>
    </row>
    <row r="95" spans="1:99" x14ac:dyDescent="0.25">
      <c r="A95" t="str">
        <f>Single2String(Table13[[#This Row],[duration'[0']]])</f>
        <v>00000000</v>
      </c>
      <c r="B95" t="str">
        <f>Single2String(Table13[[#This Row],[duration'[1']]])</f>
        <v>00000000</v>
      </c>
      <c r="C95" t="str">
        <f>Single2String(Table13[[#This Row],[duration'[2']]])</f>
        <v>00000000</v>
      </c>
      <c r="D95" t="str">
        <f>INDEX(Table3[Hex], Table13[[#This Row],[int'[0']]]+1)</f>
        <v>00000000</v>
      </c>
      <c r="E95" t="str">
        <f>INDEX(Table3[Hex], Table13[[#This Row],[int'[1']]]+1)</f>
        <v>00000000</v>
      </c>
      <c r="F95" t="str">
        <f>INDEX(Table3[Hex], Table13[[#This Row],[int'[1']]]+1)</f>
        <v>00000000</v>
      </c>
      <c r="G95" t="str">
        <f>Single2String(Table13[[#This Row],[c ktrace]])</f>
        <v>00000000</v>
      </c>
      <c r="H95" t="str">
        <f>Single2String(Table13[[#This Row],[a ktrace]])</f>
        <v>00000000</v>
      </c>
      <c r="I95" t="str">
        <f>Single2String(Table13[[#This Row],[g ktrace]])</f>
        <v>00000000</v>
      </c>
      <c r="J95" t="str">
        <f>Single2String(Table13[[#This Row],[t ktrace]])</f>
        <v>00000000</v>
      </c>
      <c r="K95" s="3">
        <v>90</v>
      </c>
      <c r="L95">
        <f>SUM(Table13[[#This Row],[c ktrace'[2']]:[c ktrace'[0']]])</f>
        <v>0</v>
      </c>
      <c r="M95">
        <f>SUM(Table13[[#This Row],[a ktrace'[2']]:[a ktrace'[0']]])</f>
        <v>0</v>
      </c>
      <c r="N95">
        <f>SUM(Table13[[#This Row],[g ktrace'[2']]:[g ktrace'[0']]])</f>
        <v>0</v>
      </c>
      <c r="O95">
        <f>SUM(Table13[[#This Row],[t ktrace'[2']]:[t ktrace'[0']]])</f>
        <v>0</v>
      </c>
      <c r="P95">
        <f xml:space="preserve"> IF(Table13[[#This Row],[dye'[2']]]=3, Table13[[#This Row],[strength'[2']]], 0)</f>
        <v>0</v>
      </c>
      <c r="Q95">
        <f xml:space="preserve"> IF(Table13[[#This Row],[dye'[1']]]=3, Table13[[#This Row],[strength'[1']]], 0)</f>
        <v>0</v>
      </c>
      <c r="R95">
        <f xml:space="preserve"> IF(Table13[[#This Row],[dye'[0']]]=3, Table13[[#This Row],[strength'[0']]], 0)</f>
        <v>0</v>
      </c>
      <c r="S95">
        <f xml:space="preserve"> IF(Table13[[#This Row],[dye'[2']]]=2, Table13[[#This Row],[strength'[2']]], 0)</f>
        <v>0</v>
      </c>
      <c r="T95">
        <f xml:space="preserve"> IF(Table13[[#This Row],[dye'[1']]]=2, Table13[[#This Row],[strength'[1']]], 0)</f>
        <v>0</v>
      </c>
      <c r="U95">
        <f xml:space="preserve"> IF(Table13[[#This Row],[dye'[0']]]=2, Table13[[#This Row],[strength'[0']]], 0)</f>
        <v>0</v>
      </c>
      <c r="V95">
        <f xml:space="preserve"> IF(Table13[[#This Row],[dye'[2']]]=1, Table13[[#This Row],[strength'[2']]], 0)</f>
        <v>0</v>
      </c>
      <c r="W95">
        <f xml:space="preserve"> IF(Table13[[#This Row],[dye'[1']]]=1, Table13[[#This Row],[strength'[1']]], 0)</f>
        <v>0</v>
      </c>
      <c r="X95">
        <f xml:space="preserve"> IF(Table13[[#This Row],[dye'[0']]]=1, Table13[[#This Row],[strength'[0']]], 0)</f>
        <v>0</v>
      </c>
      <c r="Y95">
        <f xml:space="preserve"> IF(Table13[[#This Row],[dye'[2']]]=0, Table13[[#This Row],[strength'[2']]], 0)</f>
        <v>0</v>
      </c>
      <c r="Z95">
        <f xml:space="preserve"> IF(Table13[[#This Row],[dye'[1']]]=0, Table13[[#This Row],[strength'[1']]], 0)</f>
        <v>0</v>
      </c>
      <c r="AA95">
        <f xml:space="preserve"> IF(Table13[[#This Row],[dye'[0']]]=0, Table13[[#This Row],[strength'[0']]], 0)</f>
        <v>0</v>
      </c>
      <c r="AB95">
        <v>0</v>
      </c>
      <c r="AC95">
        <f>MAX($D$2, Table13[[#This Row],[t1'[0']]])</f>
        <v>0</v>
      </c>
      <c r="AD95">
        <v>0</v>
      </c>
      <c r="AE95">
        <f>Table13[[#This Row],[t1'[0']]]+Table13[[#This Row],[dt'[0']]]</f>
        <v>0</v>
      </c>
      <c r="AF95">
        <f>MIN($C$2, Table13[[#This Row],[tf'[0']]])</f>
        <v>0</v>
      </c>
      <c r="AG95">
        <f>Table13[[#This Row],[time2'[0']]]-Table13[[#This Row],[time1'[0']]]</f>
        <v>0</v>
      </c>
      <c r="AH95">
        <v>0</v>
      </c>
      <c r="AI95">
        <f xml:space="preserve"> INDEX(Table3[[#All],[Intensity]], Table13[[#This Row],[int'[0']]]+2)</f>
        <v>0</v>
      </c>
      <c r="AJ95">
        <f>Table13[[#This Row],[duration'[0']]]*Table13[[#This Row],[intensity'[0']]]</f>
        <v>0</v>
      </c>
      <c r="AK95">
        <f>MOD(Table13[[#This Row],[ZMW num]], 4)</f>
        <v>2</v>
      </c>
      <c r="AL95">
        <v>0</v>
      </c>
      <c r="AM95">
        <f>MAX($D$2, Table13[[#This Row],[t1'[1']]])</f>
        <v>0</v>
      </c>
      <c r="AN95">
        <v>0</v>
      </c>
      <c r="AO95">
        <f>Table13[[#This Row],[t1'[1']]]+Table13[[#This Row],[dt'[1']]]</f>
        <v>0</v>
      </c>
      <c r="AP95">
        <f>MIN($C$2, Table13[[#This Row],[tf'[1']]])</f>
        <v>0</v>
      </c>
      <c r="AQ95">
        <f>Table13[[#This Row],[time2'[1']]]-Table13[[#This Row],[time1'[1']]]</f>
        <v>0</v>
      </c>
      <c r="AR95">
        <v>0</v>
      </c>
      <c r="AS95">
        <f xml:space="preserve"> INDEX(Table3[[#All],[Intensity]], Table13[[#This Row],[int'[1']]]+2)</f>
        <v>0</v>
      </c>
      <c r="AT95">
        <f>Table13[[#This Row],[duration'[1']]]*Table13[[#This Row],[intensity'[1']]]</f>
        <v>0</v>
      </c>
      <c r="AU95">
        <f>MOD(Table13[[#This Row],[ZMW num]]+1, 4)</f>
        <v>3</v>
      </c>
      <c r="AV95">
        <v>0</v>
      </c>
      <c r="AW95">
        <f>MAX($D$2, Table13[[#This Row],[t1'[2']]])</f>
        <v>0</v>
      </c>
      <c r="AX95">
        <v>0</v>
      </c>
      <c r="AY95">
        <f>Table13[[#This Row],[t1'[2']]]+Table13[[#This Row],[dt'[2']]]</f>
        <v>0</v>
      </c>
      <c r="AZ95">
        <f>MIN($C$2, Table13[[#This Row],[tf'[2']]])</f>
        <v>0</v>
      </c>
      <c r="BA95">
        <f>Table13[[#This Row],[time2'[2']]]-Table13[[#This Row],[time1'[2']]]</f>
        <v>0</v>
      </c>
      <c r="BB95">
        <v>0</v>
      </c>
      <c r="BC95">
        <f xml:space="preserve"> INDEX(Table3[[#All],[Intensity]], Table13[[#This Row],[int'[2']]]+2)</f>
        <v>0</v>
      </c>
      <c r="BD95">
        <f>Table13[[#This Row],[duration'[2']]]*Table13[[#This Row],[intensity'[2']]]</f>
        <v>0</v>
      </c>
      <c r="BE95">
        <f>MOD(Table13[[#This Row],[ZMW num]]+2, 4)</f>
        <v>0</v>
      </c>
      <c r="BF95" s="2" t="str">
        <f>Single2String(Table13[[#This Row],[t1'[0']]])</f>
        <v>00000000</v>
      </c>
      <c r="BG95" s="1" t="str">
        <f>Single2String(Table13[[#This Row],[dt'[0']]])</f>
        <v>00000000</v>
      </c>
      <c r="BH95" s="1" t="str">
        <f>Single2String(Table13[[#This Row],[t1'[1']]])</f>
        <v>00000000</v>
      </c>
      <c r="BI95" s="1" t="str">
        <f>Single2String(Table13[[#This Row],[dt'[1']]])</f>
        <v>00000000</v>
      </c>
      <c r="BJ95" s="1" t="str">
        <f>Single2String(Table13[[#This Row],[t1'[2']]])</f>
        <v>00000000</v>
      </c>
      <c r="BK95" s="1" t="str">
        <f>Single2String(Table13[[#This Row],[dt'[2']]])</f>
        <v>00000000</v>
      </c>
      <c r="BL95" s="1" t="str">
        <f>DEC2HEX(Table13[[#This Row],[ZMW num]], 6)</f>
        <v>00005A</v>
      </c>
      <c r="BM95" s="1">
        <f>LEN(Table13[[#This Row],[DRAM data]])</f>
        <v>64</v>
      </c>
      <c r="BN9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0000000000000000000000000000000000000000000000002030000000005A00</v>
      </c>
      <c r="CU95"/>
    </row>
    <row r="96" spans="1:99" x14ac:dyDescent="0.25">
      <c r="A96" t="str">
        <f>Single2String(Table13[[#This Row],[duration'[0']]])</f>
        <v>00000000</v>
      </c>
      <c r="B96" t="str">
        <f>Single2String(Table13[[#This Row],[duration'[1']]])</f>
        <v>00000000</v>
      </c>
      <c r="C96" t="str">
        <f>Single2String(Table13[[#This Row],[duration'[2']]])</f>
        <v>00000000</v>
      </c>
      <c r="D96" t="str">
        <f>INDEX(Table3[Hex], Table13[[#This Row],[int'[0']]]+1)</f>
        <v>00000000</v>
      </c>
      <c r="E96" t="str">
        <f>INDEX(Table3[Hex], Table13[[#This Row],[int'[1']]]+1)</f>
        <v>00000000</v>
      </c>
      <c r="F96" t="str">
        <f>INDEX(Table3[Hex], Table13[[#This Row],[int'[1']]]+1)</f>
        <v>00000000</v>
      </c>
      <c r="G96" t="str">
        <f>Single2String(Table13[[#This Row],[c ktrace]])</f>
        <v>00000000</v>
      </c>
      <c r="H96" t="str">
        <f>Single2String(Table13[[#This Row],[a ktrace]])</f>
        <v>00000000</v>
      </c>
      <c r="I96" t="str">
        <f>Single2String(Table13[[#This Row],[g ktrace]])</f>
        <v>00000000</v>
      </c>
      <c r="J96" t="str">
        <f>Single2String(Table13[[#This Row],[t ktrace]])</f>
        <v>00000000</v>
      </c>
      <c r="K96" s="3">
        <v>91</v>
      </c>
      <c r="L96">
        <f>SUM(Table13[[#This Row],[c ktrace'[2']]:[c ktrace'[0']]])</f>
        <v>0</v>
      </c>
      <c r="M96">
        <f>SUM(Table13[[#This Row],[a ktrace'[2']]:[a ktrace'[0']]])</f>
        <v>0</v>
      </c>
      <c r="N96">
        <f>SUM(Table13[[#This Row],[g ktrace'[2']]:[g ktrace'[0']]])</f>
        <v>0</v>
      </c>
      <c r="O96">
        <f>SUM(Table13[[#This Row],[t ktrace'[2']]:[t ktrace'[0']]])</f>
        <v>0</v>
      </c>
      <c r="P96">
        <f xml:space="preserve"> IF(Table13[[#This Row],[dye'[2']]]=3, Table13[[#This Row],[strength'[2']]], 0)</f>
        <v>0</v>
      </c>
      <c r="Q96">
        <f xml:space="preserve"> IF(Table13[[#This Row],[dye'[1']]]=3, Table13[[#This Row],[strength'[1']]], 0)</f>
        <v>0</v>
      </c>
      <c r="R96">
        <f xml:space="preserve"> IF(Table13[[#This Row],[dye'[0']]]=3, Table13[[#This Row],[strength'[0']]], 0)</f>
        <v>0</v>
      </c>
      <c r="S96">
        <f xml:space="preserve"> IF(Table13[[#This Row],[dye'[2']]]=2, Table13[[#This Row],[strength'[2']]], 0)</f>
        <v>0</v>
      </c>
      <c r="T96">
        <f xml:space="preserve"> IF(Table13[[#This Row],[dye'[1']]]=2, Table13[[#This Row],[strength'[1']]], 0)</f>
        <v>0</v>
      </c>
      <c r="U96">
        <f xml:space="preserve"> IF(Table13[[#This Row],[dye'[0']]]=2, Table13[[#This Row],[strength'[0']]], 0)</f>
        <v>0</v>
      </c>
      <c r="V96">
        <f xml:space="preserve"> IF(Table13[[#This Row],[dye'[2']]]=1, Table13[[#This Row],[strength'[2']]], 0)</f>
        <v>0</v>
      </c>
      <c r="W96">
        <f xml:space="preserve"> IF(Table13[[#This Row],[dye'[1']]]=1, Table13[[#This Row],[strength'[1']]], 0)</f>
        <v>0</v>
      </c>
      <c r="X96">
        <f xml:space="preserve"> IF(Table13[[#This Row],[dye'[0']]]=1, Table13[[#This Row],[strength'[0']]], 0)</f>
        <v>0</v>
      </c>
      <c r="Y96">
        <f xml:space="preserve"> IF(Table13[[#This Row],[dye'[2']]]=0, Table13[[#This Row],[strength'[2']]], 0)</f>
        <v>0</v>
      </c>
      <c r="Z96">
        <f xml:space="preserve"> IF(Table13[[#This Row],[dye'[1']]]=0, Table13[[#This Row],[strength'[1']]], 0)</f>
        <v>0</v>
      </c>
      <c r="AA96">
        <f xml:space="preserve"> IF(Table13[[#This Row],[dye'[0']]]=0, Table13[[#This Row],[strength'[0']]], 0)</f>
        <v>0</v>
      </c>
      <c r="AB96">
        <v>0</v>
      </c>
      <c r="AC96">
        <f>MAX($D$2, Table13[[#This Row],[t1'[0']]])</f>
        <v>0</v>
      </c>
      <c r="AD96">
        <v>0</v>
      </c>
      <c r="AE96">
        <f>Table13[[#This Row],[t1'[0']]]+Table13[[#This Row],[dt'[0']]]</f>
        <v>0</v>
      </c>
      <c r="AF96">
        <f>MIN($C$2, Table13[[#This Row],[tf'[0']]])</f>
        <v>0</v>
      </c>
      <c r="AG96">
        <f>Table13[[#This Row],[time2'[0']]]-Table13[[#This Row],[time1'[0']]]</f>
        <v>0</v>
      </c>
      <c r="AH96">
        <v>0</v>
      </c>
      <c r="AI96">
        <f xml:space="preserve"> INDEX(Table3[[#All],[Intensity]], Table13[[#This Row],[int'[0']]]+2)</f>
        <v>0</v>
      </c>
      <c r="AJ96">
        <f>Table13[[#This Row],[duration'[0']]]*Table13[[#This Row],[intensity'[0']]]</f>
        <v>0</v>
      </c>
      <c r="AK96">
        <f>MOD(Table13[[#This Row],[ZMW num]], 4)</f>
        <v>3</v>
      </c>
      <c r="AL96">
        <v>0</v>
      </c>
      <c r="AM96">
        <f>MAX($D$2, Table13[[#This Row],[t1'[1']]])</f>
        <v>0</v>
      </c>
      <c r="AN96">
        <v>0</v>
      </c>
      <c r="AO96">
        <f>Table13[[#This Row],[t1'[1']]]+Table13[[#This Row],[dt'[1']]]</f>
        <v>0</v>
      </c>
      <c r="AP96">
        <f>MIN($C$2, Table13[[#This Row],[tf'[1']]])</f>
        <v>0</v>
      </c>
      <c r="AQ96">
        <f>Table13[[#This Row],[time2'[1']]]-Table13[[#This Row],[time1'[1']]]</f>
        <v>0</v>
      </c>
      <c r="AR96">
        <v>0</v>
      </c>
      <c r="AS96">
        <f xml:space="preserve"> INDEX(Table3[[#All],[Intensity]], Table13[[#This Row],[int'[1']]]+2)</f>
        <v>0</v>
      </c>
      <c r="AT96">
        <f>Table13[[#This Row],[duration'[1']]]*Table13[[#This Row],[intensity'[1']]]</f>
        <v>0</v>
      </c>
      <c r="AU96">
        <f>MOD(Table13[[#This Row],[ZMW num]]+1, 4)</f>
        <v>0</v>
      </c>
      <c r="AV96">
        <v>0</v>
      </c>
      <c r="AW96">
        <f>MAX($D$2, Table13[[#This Row],[t1'[2']]])</f>
        <v>0</v>
      </c>
      <c r="AX96">
        <v>0</v>
      </c>
      <c r="AY96">
        <f>Table13[[#This Row],[t1'[2']]]+Table13[[#This Row],[dt'[2']]]</f>
        <v>0</v>
      </c>
      <c r="AZ96">
        <f>MIN($C$2, Table13[[#This Row],[tf'[2']]])</f>
        <v>0</v>
      </c>
      <c r="BA96">
        <f>Table13[[#This Row],[time2'[2']]]-Table13[[#This Row],[time1'[2']]]</f>
        <v>0</v>
      </c>
      <c r="BB96">
        <v>0</v>
      </c>
      <c r="BC96">
        <f xml:space="preserve"> INDEX(Table3[[#All],[Intensity]], Table13[[#This Row],[int'[2']]]+2)</f>
        <v>0</v>
      </c>
      <c r="BD96">
        <f>Table13[[#This Row],[duration'[2']]]*Table13[[#This Row],[intensity'[2']]]</f>
        <v>0</v>
      </c>
      <c r="BE96">
        <f>MOD(Table13[[#This Row],[ZMW num]]+2, 4)</f>
        <v>1</v>
      </c>
      <c r="BF96" s="2" t="str">
        <f>Single2String(Table13[[#This Row],[t1'[0']]])</f>
        <v>00000000</v>
      </c>
      <c r="BG96" s="1" t="str">
        <f>Single2String(Table13[[#This Row],[dt'[0']]])</f>
        <v>00000000</v>
      </c>
      <c r="BH96" s="1" t="str">
        <f>Single2String(Table13[[#This Row],[t1'[1']]])</f>
        <v>00000000</v>
      </c>
      <c r="BI96" s="1" t="str">
        <f>Single2String(Table13[[#This Row],[dt'[1']]])</f>
        <v>00000000</v>
      </c>
      <c r="BJ96" s="1" t="str">
        <f>Single2String(Table13[[#This Row],[t1'[2']]])</f>
        <v>00000000</v>
      </c>
      <c r="BK96" s="1" t="str">
        <f>Single2String(Table13[[#This Row],[dt'[2']]])</f>
        <v>00000000</v>
      </c>
      <c r="BL96" s="1" t="str">
        <f>DEC2HEX(Table13[[#This Row],[ZMW num]], 6)</f>
        <v>00005B</v>
      </c>
      <c r="BM96" s="1">
        <f>LEN(Table13[[#This Row],[DRAM data]])</f>
        <v>64</v>
      </c>
      <c r="BN9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0000000000000000000000000000000000000000000000003000100000005B00</v>
      </c>
      <c r="CU96"/>
    </row>
    <row r="97" spans="1:99" x14ac:dyDescent="0.25">
      <c r="A97" t="str">
        <f>Single2String(Table13[[#This Row],[duration'[0']]])</f>
        <v>00000000</v>
      </c>
      <c r="B97" t="str">
        <f>Single2String(Table13[[#This Row],[duration'[1']]])</f>
        <v>00000000</v>
      </c>
      <c r="C97" t="str">
        <f>Single2String(Table13[[#This Row],[duration'[2']]])</f>
        <v>00000000</v>
      </c>
      <c r="D97" t="str">
        <f>INDEX(Table3[Hex], Table13[[#This Row],[int'[0']]]+1)</f>
        <v>00000000</v>
      </c>
      <c r="E97" t="str">
        <f>INDEX(Table3[Hex], Table13[[#This Row],[int'[1']]]+1)</f>
        <v>00000000</v>
      </c>
      <c r="F97" t="str">
        <f>INDEX(Table3[Hex], Table13[[#This Row],[int'[1']]]+1)</f>
        <v>00000000</v>
      </c>
      <c r="G97" t="str">
        <f>Single2String(Table13[[#This Row],[c ktrace]])</f>
        <v>00000000</v>
      </c>
      <c r="H97" t="str">
        <f>Single2String(Table13[[#This Row],[a ktrace]])</f>
        <v>00000000</v>
      </c>
      <c r="I97" t="str">
        <f>Single2String(Table13[[#This Row],[g ktrace]])</f>
        <v>00000000</v>
      </c>
      <c r="J97" t="str">
        <f>Single2String(Table13[[#This Row],[t ktrace]])</f>
        <v>00000000</v>
      </c>
      <c r="K97" s="3">
        <v>92</v>
      </c>
      <c r="L97">
        <f>SUM(Table13[[#This Row],[c ktrace'[2']]:[c ktrace'[0']]])</f>
        <v>0</v>
      </c>
      <c r="M97">
        <f>SUM(Table13[[#This Row],[a ktrace'[2']]:[a ktrace'[0']]])</f>
        <v>0</v>
      </c>
      <c r="N97">
        <f>SUM(Table13[[#This Row],[g ktrace'[2']]:[g ktrace'[0']]])</f>
        <v>0</v>
      </c>
      <c r="O97">
        <f>SUM(Table13[[#This Row],[t ktrace'[2']]:[t ktrace'[0']]])</f>
        <v>0</v>
      </c>
      <c r="P97">
        <f xml:space="preserve"> IF(Table13[[#This Row],[dye'[2']]]=3, Table13[[#This Row],[strength'[2']]], 0)</f>
        <v>0</v>
      </c>
      <c r="Q97">
        <f xml:space="preserve"> IF(Table13[[#This Row],[dye'[1']]]=3, Table13[[#This Row],[strength'[1']]], 0)</f>
        <v>0</v>
      </c>
      <c r="R97">
        <f xml:space="preserve"> IF(Table13[[#This Row],[dye'[0']]]=3, Table13[[#This Row],[strength'[0']]], 0)</f>
        <v>0</v>
      </c>
      <c r="S97">
        <f xml:space="preserve"> IF(Table13[[#This Row],[dye'[2']]]=2, Table13[[#This Row],[strength'[2']]], 0)</f>
        <v>0</v>
      </c>
      <c r="T97">
        <f xml:space="preserve"> IF(Table13[[#This Row],[dye'[1']]]=2, Table13[[#This Row],[strength'[1']]], 0)</f>
        <v>0</v>
      </c>
      <c r="U97">
        <f xml:space="preserve"> IF(Table13[[#This Row],[dye'[0']]]=2, Table13[[#This Row],[strength'[0']]], 0)</f>
        <v>0</v>
      </c>
      <c r="V97">
        <f xml:space="preserve"> IF(Table13[[#This Row],[dye'[2']]]=1, Table13[[#This Row],[strength'[2']]], 0)</f>
        <v>0</v>
      </c>
      <c r="W97">
        <f xml:space="preserve"> IF(Table13[[#This Row],[dye'[1']]]=1, Table13[[#This Row],[strength'[1']]], 0)</f>
        <v>0</v>
      </c>
      <c r="X97">
        <f xml:space="preserve"> IF(Table13[[#This Row],[dye'[0']]]=1, Table13[[#This Row],[strength'[0']]], 0)</f>
        <v>0</v>
      </c>
      <c r="Y97">
        <f xml:space="preserve"> IF(Table13[[#This Row],[dye'[2']]]=0, Table13[[#This Row],[strength'[2']]], 0)</f>
        <v>0</v>
      </c>
      <c r="Z97">
        <f xml:space="preserve"> IF(Table13[[#This Row],[dye'[1']]]=0, Table13[[#This Row],[strength'[1']]], 0)</f>
        <v>0</v>
      </c>
      <c r="AA97">
        <f xml:space="preserve"> IF(Table13[[#This Row],[dye'[0']]]=0, Table13[[#This Row],[strength'[0']]], 0)</f>
        <v>0</v>
      </c>
      <c r="AB97">
        <v>0</v>
      </c>
      <c r="AC97">
        <f>MAX($D$2, Table13[[#This Row],[t1'[0']]])</f>
        <v>0</v>
      </c>
      <c r="AD97">
        <v>0</v>
      </c>
      <c r="AE97">
        <f>Table13[[#This Row],[t1'[0']]]+Table13[[#This Row],[dt'[0']]]</f>
        <v>0</v>
      </c>
      <c r="AF97">
        <f>MIN($C$2, Table13[[#This Row],[tf'[0']]])</f>
        <v>0</v>
      </c>
      <c r="AG97">
        <f>Table13[[#This Row],[time2'[0']]]-Table13[[#This Row],[time1'[0']]]</f>
        <v>0</v>
      </c>
      <c r="AH97">
        <v>0</v>
      </c>
      <c r="AI97">
        <f xml:space="preserve"> INDEX(Table3[[#All],[Intensity]], Table13[[#This Row],[int'[0']]]+2)</f>
        <v>0</v>
      </c>
      <c r="AJ97">
        <f>Table13[[#This Row],[duration'[0']]]*Table13[[#This Row],[intensity'[0']]]</f>
        <v>0</v>
      </c>
      <c r="AK97">
        <f>MOD(Table13[[#This Row],[ZMW num]], 4)</f>
        <v>0</v>
      </c>
      <c r="AL97">
        <v>0</v>
      </c>
      <c r="AM97">
        <f>MAX($D$2, Table13[[#This Row],[t1'[1']]])</f>
        <v>0</v>
      </c>
      <c r="AN97">
        <v>0</v>
      </c>
      <c r="AO97">
        <f>Table13[[#This Row],[t1'[1']]]+Table13[[#This Row],[dt'[1']]]</f>
        <v>0</v>
      </c>
      <c r="AP97">
        <f>MIN($C$2, Table13[[#This Row],[tf'[1']]])</f>
        <v>0</v>
      </c>
      <c r="AQ97">
        <f>Table13[[#This Row],[time2'[1']]]-Table13[[#This Row],[time1'[1']]]</f>
        <v>0</v>
      </c>
      <c r="AR97">
        <v>0</v>
      </c>
      <c r="AS97">
        <f xml:space="preserve"> INDEX(Table3[[#All],[Intensity]], Table13[[#This Row],[int'[1']]]+2)</f>
        <v>0</v>
      </c>
      <c r="AT97">
        <f>Table13[[#This Row],[duration'[1']]]*Table13[[#This Row],[intensity'[1']]]</f>
        <v>0</v>
      </c>
      <c r="AU97">
        <f>MOD(Table13[[#This Row],[ZMW num]]+1, 4)</f>
        <v>1</v>
      </c>
      <c r="AV97">
        <v>0</v>
      </c>
      <c r="AW97">
        <f>MAX($D$2, Table13[[#This Row],[t1'[2']]])</f>
        <v>0</v>
      </c>
      <c r="AX97">
        <v>0</v>
      </c>
      <c r="AY97">
        <f>Table13[[#This Row],[t1'[2']]]+Table13[[#This Row],[dt'[2']]]</f>
        <v>0</v>
      </c>
      <c r="AZ97">
        <f>MIN($C$2, Table13[[#This Row],[tf'[2']]])</f>
        <v>0</v>
      </c>
      <c r="BA97">
        <f>Table13[[#This Row],[time2'[2']]]-Table13[[#This Row],[time1'[2']]]</f>
        <v>0</v>
      </c>
      <c r="BB97">
        <v>0</v>
      </c>
      <c r="BC97">
        <f xml:space="preserve"> INDEX(Table3[[#All],[Intensity]], Table13[[#This Row],[int'[2']]]+2)</f>
        <v>0</v>
      </c>
      <c r="BD97">
        <f>Table13[[#This Row],[duration'[2']]]*Table13[[#This Row],[intensity'[2']]]</f>
        <v>0</v>
      </c>
      <c r="BE97">
        <f>MOD(Table13[[#This Row],[ZMW num]]+2, 4)</f>
        <v>2</v>
      </c>
      <c r="BF97" s="2" t="str">
        <f>Single2String(Table13[[#This Row],[t1'[0']]])</f>
        <v>00000000</v>
      </c>
      <c r="BG97" s="1" t="str">
        <f>Single2String(Table13[[#This Row],[dt'[0']]])</f>
        <v>00000000</v>
      </c>
      <c r="BH97" s="1" t="str">
        <f>Single2String(Table13[[#This Row],[t1'[1']]])</f>
        <v>00000000</v>
      </c>
      <c r="BI97" s="1" t="str">
        <f>Single2String(Table13[[#This Row],[dt'[1']]])</f>
        <v>00000000</v>
      </c>
      <c r="BJ97" s="1" t="str">
        <f>Single2String(Table13[[#This Row],[t1'[2']]])</f>
        <v>00000000</v>
      </c>
      <c r="BK97" s="1" t="str">
        <f>Single2String(Table13[[#This Row],[dt'[2']]])</f>
        <v>00000000</v>
      </c>
      <c r="BL97" s="1" t="str">
        <f>DEC2HEX(Table13[[#This Row],[ZMW num]], 6)</f>
        <v>00005C</v>
      </c>
      <c r="BM97" s="1">
        <f>LEN(Table13[[#This Row],[DRAM data]])</f>
        <v>64</v>
      </c>
      <c r="BN9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0000000000000000000000000000000000000000000000000010200000005C00</v>
      </c>
      <c r="CU97"/>
    </row>
    <row r="98" spans="1:99" x14ac:dyDescent="0.25">
      <c r="A98" t="str">
        <f>Single2String(Table13[[#This Row],[duration'[0']]])</f>
        <v>00000000</v>
      </c>
      <c r="B98" t="str">
        <f>Single2String(Table13[[#This Row],[duration'[1']]])</f>
        <v>00000000</v>
      </c>
      <c r="C98" t="str">
        <f>Single2String(Table13[[#This Row],[duration'[2']]])</f>
        <v>00000000</v>
      </c>
      <c r="D98" t="str">
        <f>INDEX(Table3[Hex], Table13[[#This Row],[int'[0']]]+1)</f>
        <v>00000000</v>
      </c>
      <c r="E98" t="str">
        <f>INDEX(Table3[Hex], Table13[[#This Row],[int'[1']]]+1)</f>
        <v>00000000</v>
      </c>
      <c r="F98" t="str">
        <f>INDEX(Table3[Hex], Table13[[#This Row],[int'[1']]]+1)</f>
        <v>00000000</v>
      </c>
      <c r="G98" t="str">
        <f>Single2String(Table13[[#This Row],[c ktrace]])</f>
        <v>00000000</v>
      </c>
      <c r="H98" t="str">
        <f>Single2String(Table13[[#This Row],[a ktrace]])</f>
        <v>00000000</v>
      </c>
      <c r="I98" t="str">
        <f>Single2String(Table13[[#This Row],[g ktrace]])</f>
        <v>00000000</v>
      </c>
      <c r="J98" t="str">
        <f>Single2String(Table13[[#This Row],[t ktrace]])</f>
        <v>00000000</v>
      </c>
      <c r="K98" s="3">
        <v>93</v>
      </c>
      <c r="L98">
        <f>SUM(Table13[[#This Row],[c ktrace'[2']]:[c ktrace'[0']]])</f>
        <v>0</v>
      </c>
      <c r="M98">
        <f>SUM(Table13[[#This Row],[a ktrace'[2']]:[a ktrace'[0']]])</f>
        <v>0</v>
      </c>
      <c r="N98">
        <f>SUM(Table13[[#This Row],[g ktrace'[2']]:[g ktrace'[0']]])</f>
        <v>0</v>
      </c>
      <c r="O98">
        <f>SUM(Table13[[#This Row],[t ktrace'[2']]:[t ktrace'[0']]])</f>
        <v>0</v>
      </c>
      <c r="P98">
        <f xml:space="preserve"> IF(Table13[[#This Row],[dye'[2']]]=3, Table13[[#This Row],[strength'[2']]], 0)</f>
        <v>0</v>
      </c>
      <c r="Q98">
        <f xml:space="preserve"> IF(Table13[[#This Row],[dye'[1']]]=3, Table13[[#This Row],[strength'[1']]], 0)</f>
        <v>0</v>
      </c>
      <c r="R98">
        <f xml:space="preserve"> IF(Table13[[#This Row],[dye'[0']]]=3, Table13[[#This Row],[strength'[0']]], 0)</f>
        <v>0</v>
      </c>
      <c r="S98">
        <f xml:space="preserve"> IF(Table13[[#This Row],[dye'[2']]]=2, Table13[[#This Row],[strength'[2']]], 0)</f>
        <v>0</v>
      </c>
      <c r="T98">
        <f xml:space="preserve"> IF(Table13[[#This Row],[dye'[1']]]=2, Table13[[#This Row],[strength'[1']]], 0)</f>
        <v>0</v>
      </c>
      <c r="U98">
        <f xml:space="preserve"> IF(Table13[[#This Row],[dye'[0']]]=2, Table13[[#This Row],[strength'[0']]], 0)</f>
        <v>0</v>
      </c>
      <c r="V98">
        <f xml:space="preserve"> IF(Table13[[#This Row],[dye'[2']]]=1, Table13[[#This Row],[strength'[2']]], 0)</f>
        <v>0</v>
      </c>
      <c r="W98">
        <f xml:space="preserve"> IF(Table13[[#This Row],[dye'[1']]]=1, Table13[[#This Row],[strength'[1']]], 0)</f>
        <v>0</v>
      </c>
      <c r="X98">
        <f xml:space="preserve"> IF(Table13[[#This Row],[dye'[0']]]=1, Table13[[#This Row],[strength'[0']]], 0)</f>
        <v>0</v>
      </c>
      <c r="Y98">
        <f xml:space="preserve"> IF(Table13[[#This Row],[dye'[2']]]=0, Table13[[#This Row],[strength'[2']]], 0)</f>
        <v>0</v>
      </c>
      <c r="Z98">
        <f xml:space="preserve"> IF(Table13[[#This Row],[dye'[1']]]=0, Table13[[#This Row],[strength'[1']]], 0)</f>
        <v>0</v>
      </c>
      <c r="AA98">
        <f xml:space="preserve"> IF(Table13[[#This Row],[dye'[0']]]=0, Table13[[#This Row],[strength'[0']]], 0)</f>
        <v>0</v>
      </c>
      <c r="AB98">
        <v>0</v>
      </c>
      <c r="AC98">
        <f>MAX($D$2, Table13[[#This Row],[t1'[0']]])</f>
        <v>0</v>
      </c>
      <c r="AD98">
        <v>0</v>
      </c>
      <c r="AE98">
        <f>Table13[[#This Row],[t1'[0']]]+Table13[[#This Row],[dt'[0']]]</f>
        <v>0</v>
      </c>
      <c r="AF98">
        <f>MIN($C$2, Table13[[#This Row],[tf'[0']]])</f>
        <v>0</v>
      </c>
      <c r="AG98">
        <f>Table13[[#This Row],[time2'[0']]]-Table13[[#This Row],[time1'[0']]]</f>
        <v>0</v>
      </c>
      <c r="AH98">
        <v>0</v>
      </c>
      <c r="AI98">
        <f xml:space="preserve"> INDEX(Table3[[#All],[Intensity]], Table13[[#This Row],[int'[0']]]+2)</f>
        <v>0</v>
      </c>
      <c r="AJ98">
        <f>Table13[[#This Row],[duration'[0']]]*Table13[[#This Row],[intensity'[0']]]</f>
        <v>0</v>
      </c>
      <c r="AK98">
        <f>MOD(Table13[[#This Row],[ZMW num]], 4)</f>
        <v>1</v>
      </c>
      <c r="AL98">
        <v>0</v>
      </c>
      <c r="AM98">
        <f>MAX($D$2, Table13[[#This Row],[t1'[1']]])</f>
        <v>0</v>
      </c>
      <c r="AN98">
        <v>0</v>
      </c>
      <c r="AO98">
        <f>Table13[[#This Row],[t1'[1']]]+Table13[[#This Row],[dt'[1']]]</f>
        <v>0</v>
      </c>
      <c r="AP98">
        <f>MIN($C$2, Table13[[#This Row],[tf'[1']]])</f>
        <v>0</v>
      </c>
      <c r="AQ98">
        <f>Table13[[#This Row],[time2'[1']]]-Table13[[#This Row],[time1'[1']]]</f>
        <v>0</v>
      </c>
      <c r="AR98">
        <v>0</v>
      </c>
      <c r="AS98">
        <f xml:space="preserve"> INDEX(Table3[[#All],[Intensity]], Table13[[#This Row],[int'[1']]]+2)</f>
        <v>0</v>
      </c>
      <c r="AT98">
        <f>Table13[[#This Row],[duration'[1']]]*Table13[[#This Row],[intensity'[1']]]</f>
        <v>0</v>
      </c>
      <c r="AU98">
        <f>MOD(Table13[[#This Row],[ZMW num]]+1, 4)</f>
        <v>2</v>
      </c>
      <c r="AV98">
        <v>0</v>
      </c>
      <c r="AW98">
        <f>MAX($D$2, Table13[[#This Row],[t1'[2']]])</f>
        <v>0</v>
      </c>
      <c r="AX98">
        <v>0</v>
      </c>
      <c r="AY98">
        <f>Table13[[#This Row],[t1'[2']]]+Table13[[#This Row],[dt'[2']]]</f>
        <v>0</v>
      </c>
      <c r="AZ98">
        <f>MIN($C$2, Table13[[#This Row],[tf'[2']]])</f>
        <v>0</v>
      </c>
      <c r="BA98">
        <f>Table13[[#This Row],[time2'[2']]]-Table13[[#This Row],[time1'[2']]]</f>
        <v>0</v>
      </c>
      <c r="BB98">
        <v>0</v>
      </c>
      <c r="BC98">
        <f xml:space="preserve"> INDEX(Table3[[#All],[Intensity]], Table13[[#This Row],[int'[2']]]+2)</f>
        <v>0</v>
      </c>
      <c r="BD98">
        <f>Table13[[#This Row],[duration'[2']]]*Table13[[#This Row],[intensity'[2']]]</f>
        <v>0</v>
      </c>
      <c r="BE98">
        <f>MOD(Table13[[#This Row],[ZMW num]]+2, 4)</f>
        <v>3</v>
      </c>
      <c r="BF98" s="2" t="str">
        <f>Single2String(Table13[[#This Row],[t1'[0']]])</f>
        <v>00000000</v>
      </c>
      <c r="BG98" s="1" t="str">
        <f>Single2String(Table13[[#This Row],[dt'[0']]])</f>
        <v>00000000</v>
      </c>
      <c r="BH98" s="1" t="str">
        <f>Single2String(Table13[[#This Row],[t1'[1']]])</f>
        <v>00000000</v>
      </c>
      <c r="BI98" s="1" t="str">
        <f>Single2String(Table13[[#This Row],[dt'[1']]])</f>
        <v>00000000</v>
      </c>
      <c r="BJ98" s="1" t="str">
        <f>Single2String(Table13[[#This Row],[t1'[2']]])</f>
        <v>00000000</v>
      </c>
      <c r="BK98" s="1" t="str">
        <f>Single2String(Table13[[#This Row],[dt'[2']]])</f>
        <v>00000000</v>
      </c>
      <c r="BL98" s="1" t="str">
        <f>DEC2HEX(Table13[[#This Row],[ZMW num]], 6)</f>
        <v>00005D</v>
      </c>
      <c r="BM98" s="1">
        <f>LEN(Table13[[#This Row],[DRAM data]])</f>
        <v>64</v>
      </c>
      <c r="BN9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0000000000000000000000000000000000000000000000001020300000005D00</v>
      </c>
      <c r="CU98"/>
    </row>
    <row r="99" spans="1:99" x14ac:dyDescent="0.25">
      <c r="A99" t="str">
        <f>Single2String(Table13[[#This Row],[duration'[0']]])</f>
        <v>00000000</v>
      </c>
      <c r="B99" t="str">
        <f>Single2String(Table13[[#This Row],[duration'[1']]])</f>
        <v>00000000</v>
      </c>
      <c r="C99" t="str">
        <f>Single2String(Table13[[#This Row],[duration'[2']]])</f>
        <v>00000000</v>
      </c>
      <c r="D99" t="str">
        <f>INDEX(Table3[Hex], Table13[[#This Row],[int'[0']]]+1)</f>
        <v>00000000</v>
      </c>
      <c r="E99" t="str">
        <f>INDEX(Table3[Hex], Table13[[#This Row],[int'[1']]]+1)</f>
        <v>00000000</v>
      </c>
      <c r="F99" t="str">
        <f>INDEX(Table3[Hex], Table13[[#This Row],[int'[1']]]+1)</f>
        <v>00000000</v>
      </c>
      <c r="G99" t="str">
        <f>Single2String(Table13[[#This Row],[c ktrace]])</f>
        <v>00000000</v>
      </c>
      <c r="H99" t="str">
        <f>Single2String(Table13[[#This Row],[a ktrace]])</f>
        <v>00000000</v>
      </c>
      <c r="I99" t="str">
        <f>Single2String(Table13[[#This Row],[g ktrace]])</f>
        <v>00000000</v>
      </c>
      <c r="J99" t="str">
        <f>Single2String(Table13[[#This Row],[t ktrace]])</f>
        <v>00000000</v>
      </c>
      <c r="K99" s="3">
        <v>94</v>
      </c>
      <c r="L99">
        <f>SUM(Table13[[#This Row],[c ktrace'[2']]:[c ktrace'[0']]])</f>
        <v>0</v>
      </c>
      <c r="M99">
        <f>SUM(Table13[[#This Row],[a ktrace'[2']]:[a ktrace'[0']]])</f>
        <v>0</v>
      </c>
      <c r="N99">
        <f>SUM(Table13[[#This Row],[g ktrace'[2']]:[g ktrace'[0']]])</f>
        <v>0</v>
      </c>
      <c r="O99">
        <f>SUM(Table13[[#This Row],[t ktrace'[2']]:[t ktrace'[0']]])</f>
        <v>0</v>
      </c>
      <c r="P99">
        <f xml:space="preserve"> IF(Table13[[#This Row],[dye'[2']]]=3, Table13[[#This Row],[strength'[2']]], 0)</f>
        <v>0</v>
      </c>
      <c r="Q99">
        <f xml:space="preserve"> IF(Table13[[#This Row],[dye'[1']]]=3, Table13[[#This Row],[strength'[1']]], 0)</f>
        <v>0</v>
      </c>
      <c r="R99">
        <f xml:space="preserve"> IF(Table13[[#This Row],[dye'[0']]]=3, Table13[[#This Row],[strength'[0']]], 0)</f>
        <v>0</v>
      </c>
      <c r="S99">
        <f xml:space="preserve"> IF(Table13[[#This Row],[dye'[2']]]=2, Table13[[#This Row],[strength'[2']]], 0)</f>
        <v>0</v>
      </c>
      <c r="T99">
        <f xml:space="preserve"> IF(Table13[[#This Row],[dye'[1']]]=2, Table13[[#This Row],[strength'[1']]], 0)</f>
        <v>0</v>
      </c>
      <c r="U99">
        <f xml:space="preserve"> IF(Table13[[#This Row],[dye'[0']]]=2, Table13[[#This Row],[strength'[0']]], 0)</f>
        <v>0</v>
      </c>
      <c r="V99">
        <f xml:space="preserve"> IF(Table13[[#This Row],[dye'[2']]]=1, Table13[[#This Row],[strength'[2']]], 0)</f>
        <v>0</v>
      </c>
      <c r="W99">
        <f xml:space="preserve"> IF(Table13[[#This Row],[dye'[1']]]=1, Table13[[#This Row],[strength'[1']]], 0)</f>
        <v>0</v>
      </c>
      <c r="X99">
        <f xml:space="preserve"> IF(Table13[[#This Row],[dye'[0']]]=1, Table13[[#This Row],[strength'[0']]], 0)</f>
        <v>0</v>
      </c>
      <c r="Y99">
        <f xml:space="preserve"> IF(Table13[[#This Row],[dye'[2']]]=0, Table13[[#This Row],[strength'[2']]], 0)</f>
        <v>0</v>
      </c>
      <c r="Z99">
        <f xml:space="preserve"> IF(Table13[[#This Row],[dye'[1']]]=0, Table13[[#This Row],[strength'[1']]], 0)</f>
        <v>0</v>
      </c>
      <c r="AA99">
        <f xml:space="preserve"> IF(Table13[[#This Row],[dye'[0']]]=0, Table13[[#This Row],[strength'[0']]], 0)</f>
        <v>0</v>
      </c>
      <c r="AB99">
        <v>0</v>
      </c>
      <c r="AC99">
        <f>MAX($D$2, Table13[[#This Row],[t1'[0']]])</f>
        <v>0</v>
      </c>
      <c r="AD99">
        <v>0</v>
      </c>
      <c r="AE99">
        <f>Table13[[#This Row],[t1'[0']]]+Table13[[#This Row],[dt'[0']]]</f>
        <v>0</v>
      </c>
      <c r="AF99">
        <f>MIN($C$2, Table13[[#This Row],[tf'[0']]])</f>
        <v>0</v>
      </c>
      <c r="AG99">
        <f>Table13[[#This Row],[time2'[0']]]-Table13[[#This Row],[time1'[0']]]</f>
        <v>0</v>
      </c>
      <c r="AH99">
        <v>0</v>
      </c>
      <c r="AI99">
        <f xml:space="preserve"> INDEX(Table3[[#All],[Intensity]], Table13[[#This Row],[int'[0']]]+2)</f>
        <v>0</v>
      </c>
      <c r="AJ99">
        <f>Table13[[#This Row],[duration'[0']]]*Table13[[#This Row],[intensity'[0']]]</f>
        <v>0</v>
      </c>
      <c r="AK99">
        <f>MOD(Table13[[#This Row],[ZMW num]], 4)</f>
        <v>2</v>
      </c>
      <c r="AL99">
        <v>0</v>
      </c>
      <c r="AM99">
        <f>MAX($D$2, Table13[[#This Row],[t1'[1']]])</f>
        <v>0</v>
      </c>
      <c r="AN99">
        <v>0</v>
      </c>
      <c r="AO99">
        <f>Table13[[#This Row],[t1'[1']]]+Table13[[#This Row],[dt'[1']]]</f>
        <v>0</v>
      </c>
      <c r="AP99">
        <f>MIN($C$2, Table13[[#This Row],[tf'[1']]])</f>
        <v>0</v>
      </c>
      <c r="AQ99">
        <f>Table13[[#This Row],[time2'[1']]]-Table13[[#This Row],[time1'[1']]]</f>
        <v>0</v>
      </c>
      <c r="AR99">
        <v>0</v>
      </c>
      <c r="AS99">
        <f xml:space="preserve"> INDEX(Table3[[#All],[Intensity]], Table13[[#This Row],[int'[1']]]+2)</f>
        <v>0</v>
      </c>
      <c r="AT99">
        <f>Table13[[#This Row],[duration'[1']]]*Table13[[#This Row],[intensity'[1']]]</f>
        <v>0</v>
      </c>
      <c r="AU99">
        <f>MOD(Table13[[#This Row],[ZMW num]]+1, 4)</f>
        <v>3</v>
      </c>
      <c r="AV99">
        <v>0</v>
      </c>
      <c r="AW99">
        <f>MAX($D$2, Table13[[#This Row],[t1'[2']]])</f>
        <v>0</v>
      </c>
      <c r="AX99">
        <v>0</v>
      </c>
      <c r="AY99">
        <f>Table13[[#This Row],[t1'[2']]]+Table13[[#This Row],[dt'[2']]]</f>
        <v>0</v>
      </c>
      <c r="AZ99">
        <f>MIN($C$2, Table13[[#This Row],[tf'[2']]])</f>
        <v>0</v>
      </c>
      <c r="BA99">
        <f>Table13[[#This Row],[time2'[2']]]-Table13[[#This Row],[time1'[2']]]</f>
        <v>0</v>
      </c>
      <c r="BB99">
        <v>0</v>
      </c>
      <c r="BC99">
        <f xml:space="preserve"> INDEX(Table3[[#All],[Intensity]], Table13[[#This Row],[int'[2']]]+2)</f>
        <v>0</v>
      </c>
      <c r="BD99">
        <f>Table13[[#This Row],[duration'[2']]]*Table13[[#This Row],[intensity'[2']]]</f>
        <v>0</v>
      </c>
      <c r="BE99">
        <f>MOD(Table13[[#This Row],[ZMW num]]+2, 4)</f>
        <v>0</v>
      </c>
      <c r="BF99" s="2" t="str">
        <f>Single2String(Table13[[#This Row],[t1'[0']]])</f>
        <v>00000000</v>
      </c>
      <c r="BG99" s="1" t="str">
        <f>Single2String(Table13[[#This Row],[dt'[0']]])</f>
        <v>00000000</v>
      </c>
      <c r="BH99" s="1" t="str">
        <f>Single2String(Table13[[#This Row],[t1'[1']]])</f>
        <v>00000000</v>
      </c>
      <c r="BI99" s="1" t="str">
        <f>Single2String(Table13[[#This Row],[dt'[1']]])</f>
        <v>00000000</v>
      </c>
      <c r="BJ99" s="1" t="str">
        <f>Single2String(Table13[[#This Row],[t1'[2']]])</f>
        <v>00000000</v>
      </c>
      <c r="BK99" s="1" t="str">
        <f>Single2String(Table13[[#This Row],[dt'[2']]])</f>
        <v>00000000</v>
      </c>
      <c r="BL99" s="1" t="str">
        <f>DEC2HEX(Table13[[#This Row],[ZMW num]], 6)</f>
        <v>00005E</v>
      </c>
      <c r="BM99" s="1">
        <f>LEN(Table13[[#This Row],[DRAM data]])</f>
        <v>64</v>
      </c>
      <c r="BN9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0000000000000000000000000000000000000000000000002030000000005E00</v>
      </c>
      <c r="CU99"/>
    </row>
    <row r="100" spans="1:99" x14ac:dyDescent="0.25">
      <c r="A100" t="str">
        <f>Single2String(Table13[[#This Row],[duration'[0']]])</f>
        <v>00000000</v>
      </c>
      <c r="B100" t="str">
        <f>Single2String(Table13[[#This Row],[duration'[1']]])</f>
        <v>00000000</v>
      </c>
      <c r="C100" t="str">
        <f>Single2String(Table13[[#This Row],[duration'[2']]])</f>
        <v>00000000</v>
      </c>
      <c r="D100" t="str">
        <f>INDEX(Table3[Hex], Table13[[#This Row],[int'[0']]]+1)</f>
        <v>00000000</v>
      </c>
      <c r="E100" t="str">
        <f>INDEX(Table3[Hex], Table13[[#This Row],[int'[1']]]+1)</f>
        <v>00000000</v>
      </c>
      <c r="F100" t="str">
        <f>INDEX(Table3[Hex], Table13[[#This Row],[int'[1']]]+1)</f>
        <v>00000000</v>
      </c>
      <c r="G100" t="str">
        <f>Single2String(Table13[[#This Row],[c ktrace]])</f>
        <v>00000000</v>
      </c>
      <c r="H100" t="str">
        <f>Single2String(Table13[[#This Row],[a ktrace]])</f>
        <v>00000000</v>
      </c>
      <c r="I100" t="str">
        <f>Single2String(Table13[[#This Row],[g ktrace]])</f>
        <v>00000000</v>
      </c>
      <c r="J100" t="str">
        <f>Single2String(Table13[[#This Row],[t ktrace]])</f>
        <v>00000000</v>
      </c>
      <c r="K100" s="3">
        <v>95</v>
      </c>
      <c r="L100">
        <f>SUM(Table13[[#This Row],[c ktrace'[2']]:[c ktrace'[0']]])</f>
        <v>0</v>
      </c>
      <c r="M100">
        <f>SUM(Table13[[#This Row],[a ktrace'[2']]:[a ktrace'[0']]])</f>
        <v>0</v>
      </c>
      <c r="N100">
        <f>SUM(Table13[[#This Row],[g ktrace'[2']]:[g ktrace'[0']]])</f>
        <v>0</v>
      </c>
      <c r="O100">
        <f>SUM(Table13[[#This Row],[t ktrace'[2']]:[t ktrace'[0']]])</f>
        <v>0</v>
      </c>
      <c r="P100">
        <f xml:space="preserve"> IF(Table13[[#This Row],[dye'[2']]]=3, Table13[[#This Row],[strength'[2']]], 0)</f>
        <v>0</v>
      </c>
      <c r="Q100">
        <f xml:space="preserve"> IF(Table13[[#This Row],[dye'[1']]]=3, Table13[[#This Row],[strength'[1']]], 0)</f>
        <v>0</v>
      </c>
      <c r="R100">
        <f xml:space="preserve"> IF(Table13[[#This Row],[dye'[0']]]=3, Table13[[#This Row],[strength'[0']]], 0)</f>
        <v>0</v>
      </c>
      <c r="S100">
        <f xml:space="preserve"> IF(Table13[[#This Row],[dye'[2']]]=2, Table13[[#This Row],[strength'[2']]], 0)</f>
        <v>0</v>
      </c>
      <c r="T100">
        <f xml:space="preserve"> IF(Table13[[#This Row],[dye'[1']]]=2, Table13[[#This Row],[strength'[1']]], 0)</f>
        <v>0</v>
      </c>
      <c r="U100">
        <f xml:space="preserve"> IF(Table13[[#This Row],[dye'[0']]]=2, Table13[[#This Row],[strength'[0']]], 0)</f>
        <v>0</v>
      </c>
      <c r="V100">
        <f xml:space="preserve"> IF(Table13[[#This Row],[dye'[2']]]=1, Table13[[#This Row],[strength'[2']]], 0)</f>
        <v>0</v>
      </c>
      <c r="W100">
        <f xml:space="preserve"> IF(Table13[[#This Row],[dye'[1']]]=1, Table13[[#This Row],[strength'[1']]], 0)</f>
        <v>0</v>
      </c>
      <c r="X100">
        <f xml:space="preserve"> IF(Table13[[#This Row],[dye'[0']]]=1, Table13[[#This Row],[strength'[0']]], 0)</f>
        <v>0</v>
      </c>
      <c r="Y100">
        <f xml:space="preserve"> IF(Table13[[#This Row],[dye'[2']]]=0, Table13[[#This Row],[strength'[2']]], 0)</f>
        <v>0</v>
      </c>
      <c r="Z100">
        <f xml:space="preserve"> IF(Table13[[#This Row],[dye'[1']]]=0, Table13[[#This Row],[strength'[1']]], 0)</f>
        <v>0</v>
      </c>
      <c r="AA100">
        <f xml:space="preserve"> IF(Table13[[#This Row],[dye'[0']]]=0, Table13[[#This Row],[strength'[0']]], 0)</f>
        <v>0</v>
      </c>
      <c r="AB100">
        <v>0</v>
      </c>
      <c r="AC100">
        <f>MAX($D$2, Table13[[#This Row],[t1'[0']]])</f>
        <v>0</v>
      </c>
      <c r="AD100">
        <v>0</v>
      </c>
      <c r="AE100">
        <f>Table13[[#This Row],[t1'[0']]]+Table13[[#This Row],[dt'[0']]]</f>
        <v>0</v>
      </c>
      <c r="AF100">
        <f>MIN($C$2, Table13[[#This Row],[tf'[0']]])</f>
        <v>0</v>
      </c>
      <c r="AG100">
        <f>Table13[[#This Row],[time2'[0']]]-Table13[[#This Row],[time1'[0']]]</f>
        <v>0</v>
      </c>
      <c r="AH100">
        <v>0</v>
      </c>
      <c r="AI100">
        <f xml:space="preserve"> INDEX(Table3[[#All],[Intensity]], Table13[[#This Row],[int'[0']]]+2)</f>
        <v>0</v>
      </c>
      <c r="AJ100">
        <f>Table13[[#This Row],[duration'[0']]]*Table13[[#This Row],[intensity'[0']]]</f>
        <v>0</v>
      </c>
      <c r="AK100">
        <f>MOD(Table13[[#This Row],[ZMW num]], 4)</f>
        <v>3</v>
      </c>
      <c r="AL100">
        <v>0</v>
      </c>
      <c r="AM100">
        <f>MAX($D$2, Table13[[#This Row],[t1'[1']]])</f>
        <v>0</v>
      </c>
      <c r="AN100">
        <v>0</v>
      </c>
      <c r="AO100">
        <f>Table13[[#This Row],[t1'[1']]]+Table13[[#This Row],[dt'[1']]]</f>
        <v>0</v>
      </c>
      <c r="AP100">
        <f>MIN($C$2, Table13[[#This Row],[tf'[1']]])</f>
        <v>0</v>
      </c>
      <c r="AQ100">
        <f>Table13[[#This Row],[time2'[1']]]-Table13[[#This Row],[time1'[1']]]</f>
        <v>0</v>
      </c>
      <c r="AR100">
        <v>0</v>
      </c>
      <c r="AS100">
        <f xml:space="preserve"> INDEX(Table3[[#All],[Intensity]], Table13[[#This Row],[int'[1']]]+2)</f>
        <v>0</v>
      </c>
      <c r="AT100">
        <f>Table13[[#This Row],[duration'[1']]]*Table13[[#This Row],[intensity'[1']]]</f>
        <v>0</v>
      </c>
      <c r="AU100">
        <f>MOD(Table13[[#This Row],[ZMW num]]+1, 4)</f>
        <v>0</v>
      </c>
      <c r="AV100">
        <v>0</v>
      </c>
      <c r="AW100">
        <f>MAX($D$2, Table13[[#This Row],[t1'[2']]])</f>
        <v>0</v>
      </c>
      <c r="AX100">
        <v>0</v>
      </c>
      <c r="AY100">
        <f>Table13[[#This Row],[t1'[2']]]+Table13[[#This Row],[dt'[2']]]</f>
        <v>0</v>
      </c>
      <c r="AZ100">
        <f>MIN($C$2, Table13[[#This Row],[tf'[2']]])</f>
        <v>0</v>
      </c>
      <c r="BA100">
        <f>Table13[[#This Row],[time2'[2']]]-Table13[[#This Row],[time1'[2']]]</f>
        <v>0</v>
      </c>
      <c r="BB100">
        <v>0</v>
      </c>
      <c r="BC100">
        <f xml:space="preserve"> INDEX(Table3[[#All],[Intensity]], Table13[[#This Row],[int'[2']]]+2)</f>
        <v>0</v>
      </c>
      <c r="BD100">
        <f>Table13[[#This Row],[duration'[2']]]*Table13[[#This Row],[intensity'[2']]]</f>
        <v>0</v>
      </c>
      <c r="BE100">
        <f>MOD(Table13[[#This Row],[ZMW num]]+2, 4)</f>
        <v>1</v>
      </c>
      <c r="BF100" s="2" t="str">
        <f>Single2String(Table13[[#This Row],[t1'[0']]])</f>
        <v>00000000</v>
      </c>
      <c r="BG100" s="1" t="str">
        <f>Single2String(Table13[[#This Row],[dt'[0']]])</f>
        <v>00000000</v>
      </c>
      <c r="BH100" s="1" t="str">
        <f>Single2String(Table13[[#This Row],[t1'[1']]])</f>
        <v>00000000</v>
      </c>
      <c r="BI100" s="1" t="str">
        <f>Single2String(Table13[[#This Row],[dt'[1']]])</f>
        <v>00000000</v>
      </c>
      <c r="BJ100" s="1" t="str">
        <f>Single2String(Table13[[#This Row],[t1'[2']]])</f>
        <v>00000000</v>
      </c>
      <c r="BK100" s="1" t="str">
        <f>Single2String(Table13[[#This Row],[dt'[2']]])</f>
        <v>00000000</v>
      </c>
      <c r="BL100" s="1" t="str">
        <f>DEC2HEX(Table13[[#This Row],[ZMW num]], 6)</f>
        <v>00005F</v>
      </c>
      <c r="BM100" s="1">
        <f>LEN(Table13[[#This Row],[DRAM data]])</f>
        <v>64</v>
      </c>
      <c r="BN10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0000000000000000000000000000000000000000000000003000100000005F00</v>
      </c>
      <c r="CU100"/>
    </row>
    <row r="101" spans="1:99" x14ac:dyDescent="0.25">
      <c r="A101" t="str">
        <f>Single2String(Table13[[#This Row],[duration'[0']]])</f>
        <v>00000000</v>
      </c>
      <c r="B101" t="str">
        <f>Single2String(Table13[[#This Row],[duration'[1']]])</f>
        <v>00000000</v>
      </c>
      <c r="C101" t="str">
        <f>Single2String(Table13[[#This Row],[duration'[2']]])</f>
        <v>00000000</v>
      </c>
      <c r="D101" t="str">
        <f>INDEX(Table3[Hex], Table13[[#This Row],[int'[0']]]+1)</f>
        <v>00000000</v>
      </c>
      <c r="E101" t="str">
        <f>INDEX(Table3[Hex], Table13[[#This Row],[int'[1']]]+1)</f>
        <v>00000000</v>
      </c>
      <c r="F101" t="str">
        <f>INDEX(Table3[Hex], Table13[[#This Row],[int'[1']]]+1)</f>
        <v>00000000</v>
      </c>
      <c r="G101" t="str">
        <f>Single2String(Table13[[#This Row],[c ktrace]])</f>
        <v>00000000</v>
      </c>
      <c r="H101" t="str">
        <f>Single2String(Table13[[#This Row],[a ktrace]])</f>
        <v>00000000</v>
      </c>
      <c r="I101" t="str">
        <f>Single2String(Table13[[#This Row],[g ktrace]])</f>
        <v>00000000</v>
      </c>
      <c r="J101" t="str">
        <f>Single2String(Table13[[#This Row],[t ktrace]])</f>
        <v>00000000</v>
      </c>
      <c r="K101" s="3">
        <v>96</v>
      </c>
      <c r="L101">
        <f>SUM(Table13[[#This Row],[c ktrace'[2']]:[c ktrace'[0']]])</f>
        <v>0</v>
      </c>
      <c r="M101">
        <f>SUM(Table13[[#This Row],[a ktrace'[2']]:[a ktrace'[0']]])</f>
        <v>0</v>
      </c>
      <c r="N101">
        <f>SUM(Table13[[#This Row],[g ktrace'[2']]:[g ktrace'[0']]])</f>
        <v>0</v>
      </c>
      <c r="O101">
        <f>SUM(Table13[[#This Row],[t ktrace'[2']]:[t ktrace'[0']]])</f>
        <v>0</v>
      </c>
      <c r="P101">
        <f xml:space="preserve"> IF(Table13[[#This Row],[dye'[2']]]=3, Table13[[#This Row],[strength'[2']]], 0)</f>
        <v>0</v>
      </c>
      <c r="Q101">
        <f xml:space="preserve"> IF(Table13[[#This Row],[dye'[1']]]=3, Table13[[#This Row],[strength'[1']]], 0)</f>
        <v>0</v>
      </c>
      <c r="R101">
        <f xml:space="preserve"> IF(Table13[[#This Row],[dye'[0']]]=3, Table13[[#This Row],[strength'[0']]], 0)</f>
        <v>0</v>
      </c>
      <c r="S101">
        <f xml:space="preserve"> IF(Table13[[#This Row],[dye'[2']]]=2, Table13[[#This Row],[strength'[2']]], 0)</f>
        <v>0</v>
      </c>
      <c r="T101">
        <f xml:space="preserve"> IF(Table13[[#This Row],[dye'[1']]]=2, Table13[[#This Row],[strength'[1']]], 0)</f>
        <v>0</v>
      </c>
      <c r="U101">
        <f xml:space="preserve"> IF(Table13[[#This Row],[dye'[0']]]=2, Table13[[#This Row],[strength'[0']]], 0)</f>
        <v>0</v>
      </c>
      <c r="V101">
        <f xml:space="preserve"> IF(Table13[[#This Row],[dye'[2']]]=1, Table13[[#This Row],[strength'[2']]], 0)</f>
        <v>0</v>
      </c>
      <c r="W101">
        <f xml:space="preserve"> IF(Table13[[#This Row],[dye'[1']]]=1, Table13[[#This Row],[strength'[1']]], 0)</f>
        <v>0</v>
      </c>
      <c r="X101">
        <f xml:space="preserve"> IF(Table13[[#This Row],[dye'[0']]]=1, Table13[[#This Row],[strength'[0']]], 0)</f>
        <v>0</v>
      </c>
      <c r="Y101">
        <f xml:space="preserve"> IF(Table13[[#This Row],[dye'[2']]]=0, Table13[[#This Row],[strength'[2']]], 0)</f>
        <v>0</v>
      </c>
      <c r="Z101">
        <f xml:space="preserve"> IF(Table13[[#This Row],[dye'[1']]]=0, Table13[[#This Row],[strength'[1']]], 0)</f>
        <v>0</v>
      </c>
      <c r="AA101">
        <f xml:space="preserve"> IF(Table13[[#This Row],[dye'[0']]]=0, Table13[[#This Row],[strength'[0']]], 0)</f>
        <v>0</v>
      </c>
      <c r="AB101">
        <v>0</v>
      </c>
      <c r="AC101">
        <f>MAX($D$2, Table13[[#This Row],[t1'[0']]])</f>
        <v>0</v>
      </c>
      <c r="AD101">
        <v>0</v>
      </c>
      <c r="AE101">
        <f>Table13[[#This Row],[t1'[0']]]+Table13[[#This Row],[dt'[0']]]</f>
        <v>0</v>
      </c>
      <c r="AF101">
        <f>MIN($C$2, Table13[[#This Row],[tf'[0']]])</f>
        <v>0</v>
      </c>
      <c r="AG101">
        <f>Table13[[#This Row],[time2'[0']]]-Table13[[#This Row],[time1'[0']]]</f>
        <v>0</v>
      </c>
      <c r="AH101">
        <v>0</v>
      </c>
      <c r="AI101">
        <f xml:space="preserve"> INDEX(Table3[[#All],[Intensity]], Table13[[#This Row],[int'[0']]]+2)</f>
        <v>0</v>
      </c>
      <c r="AJ101">
        <f>Table13[[#This Row],[duration'[0']]]*Table13[[#This Row],[intensity'[0']]]</f>
        <v>0</v>
      </c>
      <c r="AK101">
        <f>MOD(Table13[[#This Row],[ZMW num]], 4)</f>
        <v>0</v>
      </c>
      <c r="AL101">
        <v>0</v>
      </c>
      <c r="AM101">
        <f>MAX($D$2, Table13[[#This Row],[t1'[1']]])</f>
        <v>0</v>
      </c>
      <c r="AN101">
        <v>0</v>
      </c>
      <c r="AO101">
        <f>Table13[[#This Row],[t1'[1']]]+Table13[[#This Row],[dt'[1']]]</f>
        <v>0</v>
      </c>
      <c r="AP101">
        <f>MIN($C$2, Table13[[#This Row],[tf'[1']]])</f>
        <v>0</v>
      </c>
      <c r="AQ101">
        <f>Table13[[#This Row],[time2'[1']]]-Table13[[#This Row],[time1'[1']]]</f>
        <v>0</v>
      </c>
      <c r="AR101">
        <v>0</v>
      </c>
      <c r="AS101">
        <f xml:space="preserve"> INDEX(Table3[[#All],[Intensity]], Table13[[#This Row],[int'[1']]]+2)</f>
        <v>0</v>
      </c>
      <c r="AT101">
        <f>Table13[[#This Row],[duration'[1']]]*Table13[[#This Row],[intensity'[1']]]</f>
        <v>0</v>
      </c>
      <c r="AU101">
        <f>MOD(Table13[[#This Row],[ZMW num]]+1, 4)</f>
        <v>1</v>
      </c>
      <c r="AV101">
        <v>0</v>
      </c>
      <c r="AW101">
        <f>MAX($D$2, Table13[[#This Row],[t1'[2']]])</f>
        <v>0</v>
      </c>
      <c r="AX101">
        <v>0</v>
      </c>
      <c r="AY101">
        <f>Table13[[#This Row],[t1'[2']]]+Table13[[#This Row],[dt'[2']]]</f>
        <v>0</v>
      </c>
      <c r="AZ101">
        <f>MIN($C$2, Table13[[#This Row],[tf'[2']]])</f>
        <v>0</v>
      </c>
      <c r="BA101">
        <f>Table13[[#This Row],[time2'[2']]]-Table13[[#This Row],[time1'[2']]]</f>
        <v>0</v>
      </c>
      <c r="BB101">
        <v>0</v>
      </c>
      <c r="BC101">
        <f xml:space="preserve"> INDEX(Table3[[#All],[Intensity]], Table13[[#This Row],[int'[2']]]+2)</f>
        <v>0</v>
      </c>
      <c r="BD101">
        <f>Table13[[#This Row],[duration'[2']]]*Table13[[#This Row],[intensity'[2']]]</f>
        <v>0</v>
      </c>
      <c r="BE101">
        <f>MOD(Table13[[#This Row],[ZMW num]]+2, 4)</f>
        <v>2</v>
      </c>
      <c r="BF101" s="2" t="str">
        <f>Single2String(Table13[[#This Row],[t1'[0']]])</f>
        <v>00000000</v>
      </c>
      <c r="BG101" s="1" t="str">
        <f>Single2String(Table13[[#This Row],[dt'[0']]])</f>
        <v>00000000</v>
      </c>
      <c r="BH101" s="1" t="str">
        <f>Single2String(Table13[[#This Row],[t1'[1']]])</f>
        <v>00000000</v>
      </c>
      <c r="BI101" s="1" t="str">
        <f>Single2String(Table13[[#This Row],[dt'[1']]])</f>
        <v>00000000</v>
      </c>
      <c r="BJ101" s="1" t="str">
        <f>Single2String(Table13[[#This Row],[t1'[2']]])</f>
        <v>00000000</v>
      </c>
      <c r="BK101" s="1" t="str">
        <f>Single2String(Table13[[#This Row],[dt'[2']]])</f>
        <v>00000000</v>
      </c>
      <c r="BL101" s="1" t="str">
        <f>DEC2HEX(Table13[[#This Row],[ZMW num]], 6)</f>
        <v>000060</v>
      </c>
      <c r="BM101" s="1">
        <f>LEN(Table13[[#This Row],[DRAM data]])</f>
        <v>64</v>
      </c>
      <c r="BN10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0000000000000000000000000000000000000000000000000010200000006000</v>
      </c>
      <c r="CU101"/>
    </row>
    <row r="102" spans="1:99" x14ac:dyDescent="0.25">
      <c r="A102" t="str">
        <f>Single2String(Table13[[#This Row],[duration'[0']]])</f>
        <v>00000000</v>
      </c>
      <c r="B102" t="str">
        <f>Single2String(Table13[[#This Row],[duration'[1']]])</f>
        <v>00000000</v>
      </c>
      <c r="C102" t="str">
        <f>Single2String(Table13[[#This Row],[duration'[2']]])</f>
        <v>00000000</v>
      </c>
      <c r="D102" t="str">
        <f>INDEX(Table3[Hex], Table13[[#This Row],[int'[0']]]+1)</f>
        <v>00000000</v>
      </c>
      <c r="E102" t="str">
        <f>INDEX(Table3[Hex], Table13[[#This Row],[int'[1']]]+1)</f>
        <v>00000000</v>
      </c>
      <c r="F102" t="str">
        <f>INDEX(Table3[Hex], Table13[[#This Row],[int'[1']]]+1)</f>
        <v>00000000</v>
      </c>
      <c r="G102" t="str">
        <f>Single2String(Table13[[#This Row],[c ktrace]])</f>
        <v>00000000</v>
      </c>
      <c r="H102" t="str">
        <f>Single2String(Table13[[#This Row],[a ktrace]])</f>
        <v>00000000</v>
      </c>
      <c r="I102" t="str">
        <f>Single2String(Table13[[#This Row],[g ktrace]])</f>
        <v>00000000</v>
      </c>
      <c r="J102" t="str">
        <f>Single2String(Table13[[#This Row],[t ktrace]])</f>
        <v>00000000</v>
      </c>
      <c r="K102" s="3">
        <v>97</v>
      </c>
      <c r="L102">
        <f>SUM(Table13[[#This Row],[c ktrace'[2']]:[c ktrace'[0']]])</f>
        <v>0</v>
      </c>
      <c r="M102">
        <f>SUM(Table13[[#This Row],[a ktrace'[2']]:[a ktrace'[0']]])</f>
        <v>0</v>
      </c>
      <c r="N102">
        <f>SUM(Table13[[#This Row],[g ktrace'[2']]:[g ktrace'[0']]])</f>
        <v>0</v>
      </c>
      <c r="O102">
        <f>SUM(Table13[[#This Row],[t ktrace'[2']]:[t ktrace'[0']]])</f>
        <v>0</v>
      </c>
      <c r="P102">
        <f xml:space="preserve"> IF(Table13[[#This Row],[dye'[2']]]=3, Table13[[#This Row],[strength'[2']]], 0)</f>
        <v>0</v>
      </c>
      <c r="Q102">
        <f xml:space="preserve"> IF(Table13[[#This Row],[dye'[1']]]=3, Table13[[#This Row],[strength'[1']]], 0)</f>
        <v>0</v>
      </c>
      <c r="R102">
        <f xml:space="preserve"> IF(Table13[[#This Row],[dye'[0']]]=3, Table13[[#This Row],[strength'[0']]], 0)</f>
        <v>0</v>
      </c>
      <c r="S102">
        <f xml:space="preserve"> IF(Table13[[#This Row],[dye'[2']]]=2, Table13[[#This Row],[strength'[2']]], 0)</f>
        <v>0</v>
      </c>
      <c r="T102">
        <f xml:space="preserve"> IF(Table13[[#This Row],[dye'[1']]]=2, Table13[[#This Row],[strength'[1']]], 0)</f>
        <v>0</v>
      </c>
      <c r="U102">
        <f xml:space="preserve"> IF(Table13[[#This Row],[dye'[0']]]=2, Table13[[#This Row],[strength'[0']]], 0)</f>
        <v>0</v>
      </c>
      <c r="V102">
        <f xml:space="preserve"> IF(Table13[[#This Row],[dye'[2']]]=1, Table13[[#This Row],[strength'[2']]], 0)</f>
        <v>0</v>
      </c>
      <c r="W102">
        <f xml:space="preserve"> IF(Table13[[#This Row],[dye'[1']]]=1, Table13[[#This Row],[strength'[1']]], 0)</f>
        <v>0</v>
      </c>
      <c r="X102">
        <f xml:space="preserve"> IF(Table13[[#This Row],[dye'[0']]]=1, Table13[[#This Row],[strength'[0']]], 0)</f>
        <v>0</v>
      </c>
      <c r="Y102">
        <f xml:space="preserve"> IF(Table13[[#This Row],[dye'[2']]]=0, Table13[[#This Row],[strength'[2']]], 0)</f>
        <v>0</v>
      </c>
      <c r="Z102">
        <f xml:space="preserve"> IF(Table13[[#This Row],[dye'[1']]]=0, Table13[[#This Row],[strength'[1']]], 0)</f>
        <v>0</v>
      </c>
      <c r="AA102">
        <f xml:space="preserve"> IF(Table13[[#This Row],[dye'[0']]]=0, Table13[[#This Row],[strength'[0']]], 0)</f>
        <v>0</v>
      </c>
      <c r="AB102">
        <v>0</v>
      </c>
      <c r="AC102">
        <f>MAX($D$2, Table13[[#This Row],[t1'[0']]])</f>
        <v>0</v>
      </c>
      <c r="AD102">
        <v>0</v>
      </c>
      <c r="AE102">
        <f>Table13[[#This Row],[t1'[0']]]+Table13[[#This Row],[dt'[0']]]</f>
        <v>0</v>
      </c>
      <c r="AF102">
        <f>MIN($C$2, Table13[[#This Row],[tf'[0']]])</f>
        <v>0</v>
      </c>
      <c r="AG102">
        <f>Table13[[#This Row],[time2'[0']]]-Table13[[#This Row],[time1'[0']]]</f>
        <v>0</v>
      </c>
      <c r="AH102">
        <v>0</v>
      </c>
      <c r="AI102">
        <f xml:space="preserve"> INDEX(Table3[[#All],[Intensity]], Table13[[#This Row],[int'[0']]]+2)</f>
        <v>0</v>
      </c>
      <c r="AJ102">
        <f>Table13[[#This Row],[duration'[0']]]*Table13[[#This Row],[intensity'[0']]]</f>
        <v>0</v>
      </c>
      <c r="AK102">
        <f>MOD(Table13[[#This Row],[ZMW num]], 4)</f>
        <v>1</v>
      </c>
      <c r="AL102">
        <v>0</v>
      </c>
      <c r="AM102">
        <f>MAX($D$2, Table13[[#This Row],[t1'[1']]])</f>
        <v>0</v>
      </c>
      <c r="AN102">
        <v>0</v>
      </c>
      <c r="AO102">
        <f>Table13[[#This Row],[t1'[1']]]+Table13[[#This Row],[dt'[1']]]</f>
        <v>0</v>
      </c>
      <c r="AP102">
        <f>MIN($C$2, Table13[[#This Row],[tf'[1']]])</f>
        <v>0</v>
      </c>
      <c r="AQ102">
        <f>Table13[[#This Row],[time2'[1']]]-Table13[[#This Row],[time1'[1']]]</f>
        <v>0</v>
      </c>
      <c r="AR102">
        <v>0</v>
      </c>
      <c r="AS102">
        <f xml:space="preserve"> INDEX(Table3[[#All],[Intensity]], Table13[[#This Row],[int'[1']]]+2)</f>
        <v>0</v>
      </c>
      <c r="AT102">
        <f>Table13[[#This Row],[duration'[1']]]*Table13[[#This Row],[intensity'[1']]]</f>
        <v>0</v>
      </c>
      <c r="AU102">
        <f>MOD(Table13[[#This Row],[ZMW num]]+1, 4)</f>
        <v>2</v>
      </c>
      <c r="AV102">
        <v>0</v>
      </c>
      <c r="AW102">
        <f>MAX($D$2, Table13[[#This Row],[t1'[2']]])</f>
        <v>0</v>
      </c>
      <c r="AX102">
        <v>0</v>
      </c>
      <c r="AY102">
        <f>Table13[[#This Row],[t1'[2']]]+Table13[[#This Row],[dt'[2']]]</f>
        <v>0</v>
      </c>
      <c r="AZ102">
        <f>MIN($C$2, Table13[[#This Row],[tf'[2']]])</f>
        <v>0</v>
      </c>
      <c r="BA102">
        <f>Table13[[#This Row],[time2'[2']]]-Table13[[#This Row],[time1'[2']]]</f>
        <v>0</v>
      </c>
      <c r="BB102">
        <v>0</v>
      </c>
      <c r="BC102">
        <f xml:space="preserve"> INDEX(Table3[[#All],[Intensity]], Table13[[#This Row],[int'[2']]]+2)</f>
        <v>0</v>
      </c>
      <c r="BD102">
        <f>Table13[[#This Row],[duration'[2']]]*Table13[[#This Row],[intensity'[2']]]</f>
        <v>0</v>
      </c>
      <c r="BE102">
        <f>MOD(Table13[[#This Row],[ZMW num]]+2, 4)</f>
        <v>3</v>
      </c>
      <c r="BF102" s="2" t="str">
        <f>Single2String(Table13[[#This Row],[t1'[0']]])</f>
        <v>00000000</v>
      </c>
      <c r="BG102" s="1" t="str">
        <f>Single2String(Table13[[#This Row],[dt'[0']]])</f>
        <v>00000000</v>
      </c>
      <c r="BH102" s="1" t="str">
        <f>Single2String(Table13[[#This Row],[t1'[1']]])</f>
        <v>00000000</v>
      </c>
      <c r="BI102" s="1" t="str">
        <f>Single2String(Table13[[#This Row],[dt'[1']]])</f>
        <v>00000000</v>
      </c>
      <c r="BJ102" s="1" t="str">
        <f>Single2String(Table13[[#This Row],[t1'[2']]])</f>
        <v>00000000</v>
      </c>
      <c r="BK102" s="1" t="str">
        <f>Single2String(Table13[[#This Row],[dt'[2']]])</f>
        <v>00000000</v>
      </c>
      <c r="BL102" s="1" t="str">
        <f>DEC2HEX(Table13[[#This Row],[ZMW num]], 6)</f>
        <v>000061</v>
      </c>
      <c r="BM102" s="1">
        <f>LEN(Table13[[#This Row],[DRAM data]])</f>
        <v>64</v>
      </c>
      <c r="BN10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0000000000000000000000000000000000000000000000001020300000006100</v>
      </c>
      <c r="CU102"/>
    </row>
    <row r="103" spans="1:99" x14ac:dyDescent="0.25">
      <c r="A103" t="str">
        <f>Single2String(Table13[[#This Row],[duration'[0']]])</f>
        <v>00000000</v>
      </c>
      <c r="B103" t="str">
        <f>Single2String(Table13[[#This Row],[duration'[1']]])</f>
        <v>00000000</v>
      </c>
      <c r="C103" t="str">
        <f>Single2String(Table13[[#This Row],[duration'[2']]])</f>
        <v>00000000</v>
      </c>
      <c r="D103" t="str">
        <f>INDEX(Table3[Hex], Table13[[#This Row],[int'[0']]]+1)</f>
        <v>00000000</v>
      </c>
      <c r="E103" t="str">
        <f>INDEX(Table3[Hex], Table13[[#This Row],[int'[1']]]+1)</f>
        <v>00000000</v>
      </c>
      <c r="F103" t="str">
        <f>INDEX(Table3[Hex], Table13[[#This Row],[int'[1']]]+1)</f>
        <v>00000000</v>
      </c>
      <c r="G103" t="str">
        <f>Single2String(Table13[[#This Row],[c ktrace]])</f>
        <v>00000000</v>
      </c>
      <c r="H103" t="str">
        <f>Single2String(Table13[[#This Row],[a ktrace]])</f>
        <v>00000000</v>
      </c>
      <c r="I103" t="str">
        <f>Single2String(Table13[[#This Row],[g ktrace]])</f>
        <v>00000000</v>
      </c>
      <c r="J103" t="str">
        <f>Single2String(Table13[[#This Row],[t ktrace]])</f>
        <v>00000000</v>
      </c>
      <c r="K103" s="3">
        <v>98</v>
      </c>
      <c r="L103">
        <f>SUM(Table13[[#This Row],[c ktrace'[2']]:[c ktrace'[0']]])</f>
        <v>0</v>
      </c>
      <c r="M103">
        <f>SUM(Table13[[#This Row],[a ktrace'[2']]:[a ktrace'[0']]])</f>
        <v>0</v>
      </c>
      <c r="N103">
        <f>SUM(Table13[[#This Row],[g ktrace'[2']]:[g ktrace'[0']]])</f>
        <v>0</v>
      </c>
      <c r="O103">
        <f>SUM(Table13[[#This Row],[t ktrace'[2']]:[t ktrace'[0']]])</f>
        <v>0</v>
      </c>
      <c r="P103">
        <f xml:space="preserve"> IF(Table13[[#This Row],[dye'[2']]]=3, Table13[[#This Row],[strength'[2']]], 0)</f>
        <v>0</v>
      </c>
      <c r="Q103">
        <f xml:space="preserve"> IF(Table13[[#This Row],[dye'[1']]]=3, Table13[[#This Row],[strength'[1']]], 0)</f>
        <v>0</v>
      </c>
      <c r="R103">
        <f xml:space="preserve"> IF(Table13[[#This Row],[dye'[0']]]=3, Table13[[#This Row],[strength'[0']]], 0)</f>
        <v>0</v>
      </c>
      <c r="S103">
        <f xml:space="preserve"> IF(Table13[[#This Row],[dye'[2']]]=2, Table13[[#This Row],[strength'[2']]], 0)</f>
        <v>0</v>
      </c>
      <c r="T103">
        <f xml:space="preserve"> IF(Table13[[#This Row],[dye'[1']]]=2, Table13[[#This Row],[strength'[1']]], 0)</f>
        <v>0</v>
      </c>
      <c r="U103">
        <f xml:space="preserve"> IF(Table13[[#This Row],[dye'[0']]]=2, Table13[[#This Row],[strength'[0']]], 0)</f>
        <v>0</v>
      </c>
      <c r="V103">
        <f xml:space="preserve"> IF(Table13[[#This Row],[dye'[2']]]=1, Table13[[#This Row],[strength'[2']]], 0)</f>
        <v>0</v>
      </c>
      <c r="W103">
        <f xml:space="preserve"> IF(Table13[[#This Row],[dye'[1']]]=1, Table13[[#This Row],[strength'[1']]], 0)</f>
        <v>0</v>
      </c>
      <c r="X103">
        <f xml:space="preserve"> IF(Table13[[#This Row],[dye'[0']]]=1, Table13[[#This Row],[strength'[0']]], 0)</f>
        <v>0</v>
      </c>
      <c r="Y103">
        <f xml:space="preserve"> IF(Table13[[#This Row],[dye'[2']]]=0, Table13[[#This Row],[strength'[2']]], 0)</f>
        <v>0</v>
      </c>
      <c r="Z103">
        <f xml:space="preserve"> IF(Table13[[#This Row],[dye'[1']]]=0, Table13[[#This Row],[strength'[1']]], 0)</f>
        <v>0</v>
      </c>
      <c r="AA103">
        <f xml:space="preserve"> IF(Table13[[#This Row],[dye'[0']]]=0, Table13[[#This Row],[strength'[0']]], 0)</f>
        <v>0</v>
      </c>
      <c r="AB103">
        <v>0</v>
      </c>
      <c r="AC103">
        <f>MAX($D$2, Table13[[#This Row],[t1'[0']]])</f>
        <v>0</v>
      </c>
      <c r="AD103">
        <v>0</v>
      </c>
      <c r="AE103">
        <f>Table13[[#This Row],[t1'[0']]]+Table13[[#This Row],[dt'[0']]]</f>
        <v>0</v>
      </c>
      <c r="AF103">
        <f>MIN($C$2, Table13[[#This Row],[tf'[0']]])</f>
        <v>0</v>
      </c>
      <c r="AG103">
        <f>Table13[[#This Row],[time2'[0']]]-Table13[[#This Row],[time1'[0']]]</f>
        <v>0</v>
      </c>
      <c r="AH103">
        <v>0</v>
      </c>
      <c r="AI103">
        <f xml:space="preserve"> INDEX(Table3[[#All],[Intensity]], Table13[[#This Row],[int'[0']]]+2)</f>
        <v>0</v>
      </c>
      <c r="AJ103">
        <f>Table13[[#This Row],[duration'[0']]]*Table13[[#This Row],[intensity'[0']]]</f>
        <v>0</v>
      </c>
      <c r="AK103">
        <f>MOD(Table13[[#This Row],[ZMW num]], 4)</f>
        <v>2</v>
      </c>
      <c r="AL103">
        <v>0</v>
      </c>
      <c r="AM103">
        <f>MAX($D$2, Table13[[#This Row],[t1'[1']]])</f>
        <v>0</v>
      </c>
      <c r="AN103">
        <v>0</v>
      </c>
      <c r="AO103">
        <f>Table13[[#This Row],[t1'[1']]]+Table13[[#This Row],[dt'[1']]]</f>
        <v>0</v>
      </c>
      <c r="AP103">
        <f>MIN($C$2, Table13[[#This Row],[tf'[1']]])</f>
        <v>0</v>
      </c>
      <c r="AQ103">
        <f>Table13[[#This Row],[time2'[1']]]-Table13[[#This Row],[time1'[1']]]</f>
        <v>0</v>
      </c>
      <c r="AR103">
        <v>0</v>
      </c>
      <c r="AS103">
        <f xml:space="preserve"> INDEX(Table3[[#All],[Intensity]], Table13[[#This Row],[int'[1']]]+2)</f>
        <v>0</v>
      </c>
      <c r="AT103">
        <f>Table13[[#This Row],[duration'[1']]]*Table13[[#This Row],[intensity'[1']]]</f>
        <v>0</v>
      </c>
      <c r="AU103">
        <f>MOD(Table13[[#This Row],[ZMW num]]+1, 4)</f>
        <v>3</v>
      </c>
      <c r="AV103">
        <v>0</v>
      </c>
      <c r="AW103">
        <f>MAX($D$2, Table13[[#This Row],[t1'[2']]])</f>
        <v>0</v>
      </c>
      <c r="AX103">
        <v>0</v>
      </c>
      <c r="AY103">
        <f>Table13[[#This Row],[t1'[2']]]+Table13[[#This Row],[dt'[2']]]</f>
        <v>0</v>
      </c>
      <c r="AZ103">
        <f>MIN($C$2, Table13[[#This Row],[tf'[2']]])</f>
        <v>0</v>
      </c>
      <c r="BA103">
        <f>Table13[[#This Row],[time2'[2']]]-Table13[[#This Row],[time1'[2']]]</f>
        <v>0</v>
      </c>
      <c r="BB103">
        <v>0</v>
      </c>
      <c r="BC103">
        <f xml:space="preserve"> INDEX(Table3[[#All],[Intensity]], Table13[[#This Row],[int'[2']]]+2)</f>
        <v>0</v>
      </c>
      <c r="BD103">
        <f>Table13[[#This Row],[duration'[2']]]*Table13[[#This Row],[intensity'[2']]]</f>
        <v>0</v>
      </c>
      <c r="BE103">
        <f>MOD(Table13[[#This Row],[ZMW num]]+2, 4)</f>
        <v>0</v>
      </c>
      <c r="BF103" s="2" t="str">
        <f>Single2String(Table13[[#This Row],[t1'[0']]])</f>
        <v>00000000</v>
      </c>
      <c r="BG103" s="1" t="str">
        <f>Single2String(Table13[[#This Row],[dt'[0']]])</f>
        <v>00000000</v>
      </c>
      <c r="BH103" s="1" t="str">
        <f>Single2String(Table13[[#This Row],[t1'[1']]])</f>
        <v>00000000</v>
      </c>
      <c r="BI103" s="1" t="str">
        <f>Single2String(Table13[[#This Row],[dt'[1']]])</f>
        <v>00000000</v>
      </c>
      <c r="BJ103" s="1" t="str">
        <f>Single2String(Table13[[#This Row],[t1'[2']]])</f>
        <v>00000000</v>
      </c>
      <c r="BK103" s="1" t="str">
        <f>Single2String(Table13[[#This Row],[dt'[2']]])</f>
        <v>00000000</v>
      </c>
      <c r="BL103" s="1" t="str">
        <f>DEC2HEX(Table13[[#This Row],[ZMW num]], 6)</f>
        <v>000062</v>
      </c>
      <c r="BM103" s="1">
        <f>LEN(Table13[[#This Row],[DRAM data]])</f>
        <v>64</v>
      </c>
      <c r="BN10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0000000000000000000000000000000000000000000000002030000000006200</v>
      </c>
      <c r="CU103"/>
    </row>
    <row r="104" spans="1:99" x14ac:dyDescent="0.25">
      <c r="A104" t="str">
        <f>Single2String(Table13[[#This Row],[duration'[0']]])</f>
        <v>00000000</v>
      </c>
      <c r="B104" t="str">
        <f>Single2String(Table13[[#This Row],[duration'[1']]])</f>
        <v>00000000</v>
      </c>
      <c r="C104" t="str">
        <f>Single2String(Table13[[#This Row],[duration'[2']]])</f>
        <v>00000000</v>
      </c>
      <c r="D104" t="str">
        <f>INDEX(Table3[Hex], Table13[[#This Row],[int'[0']]]+1)</f>
        <v>00000000</v>
      </c>
      <c r="E104" t="str">
        <f>INDEX(Table3[Hex], Table13[[#This Row],[int'[1']]]+1)</f>
        <v>00000000</v>
      </c>
      <c r="F104" t="str">
        <f>INDEX(Table3[Hex], Table13[[#This Row],[int'[1']]]+1)</f>
        <v>00000000</v>
      </c>
      <c r="G104" t="str">
        <f>Single2String(Table13[[#This Row],[c ktrace]])</f>
        <v>00000000</v>
      </c>
      <c r="H104" t="str">
        <f>Single2String(Table13[[#This Row],[a ktrace]])</f>
        <v>00000000</v>
      </c>
      <c r="I104" t="str">
        <f>Single2String(Table13[[#This Row],[g ktrace]])</f>
        <v>00000000</v>
      </c>
      <c r="J104" t="str">
        <f>Single2String(Table13[[#This Row],[t ktrace]])</f>
        <v>00000000</v>
      </c>
      <c r="K104" s="3">
        <v>99</v>
      </c>
      <c r="L104">
        <f>SUM(Table13[[#This Row],[c ktrace'[2']]:[c ktrace'[0']]])</f>
        <v>0</v>
      </c>
      <c r="M104">
        <f>SUM(Table13[[#This Row],[a ktrace'[2']]:[a ktrace'[0']]])</f>
        <v>0</v>
      </c>
      <c r="N104">
        <f>SUM(Table13[[#This Row],[g ktrace'[2']]:[g ktrace'[0']]])</f>
        <v>0</v>
      </c>
      <c r="O104">
        <f>SUM(Table13[[#This Row],[t ktrace'[2']]:[t ktrace'[0']]])</f>
        <v>0</v>
      </c>
      <c r="P104">
        <f xml:space="preserve"> IF(Table13[[#This Row],[dye'[2']]]=3, Table13[[#This Row],[strength'[2']]], 0)</f>
        <v>0</v>
      </c>
      <c r="Q104">
        <f xml:space="preserve"> IF(Table13[[#This Row],[dye'[1']]]=3, Table13[[#This Row],[strength'[1']]], 0)</f>
        <v>0</v>
      </c>
      <c r="R104">
        <f xml:space="preserve"> IF(Table13[[#This Row],[dye'[0']]]=3, Table13[[#This Row],[strength'[0']]], 0)</f>
        <v>0</v>
      </c>
      <c r="S104">
        <f xml:space="preserve"> IF(Table13[[#This Row],[dye'[2']]]=2, Table13[[#This Row],[strength'[2']]], 0)</f>
        <v>0</v>
      </c>
      <c r="T104">
        <f xml:space="preserve"> IF(Table13[[#This Row],[dye'[1']]]=2, Table13[[#This Row],[strength'[1']]], 0)</f>
        <v>0</v>
      </c>
      <c r="U104">
        <f xml:space="preserve"> IF(Table13[[#This Row],[dye'[0']]]=2, Table13[[#This Row],[strength'[0']]], 0)</f>
        <v>0</v>
      </c>
      <c r="V104">
        <f xml:space="preserve"> IF(Table13[[#This Row],[dye'[2']]]=1, Table13[[#This Row],[strength'[2']]], 0)</f>
        <v>0</v>
      </c>
      <c r="W104">
        <f xml:space="preserve"> IF(Table13[[#This Row],[dye'[1']]]=1, Table13[[#This Row],[strength'[1']]], 0)</f>
        <v>0</v>
      </c>
      <c r="X104">
        <f xml:space="preserve"> IF(Table13[[#This Row],[dye'[0']]]=1, Table13[[#This Row],[strength'[0']]], 0)</f>
        <v>0</v>
      </c>
      <c r="Y104">
        <f xml:space="preserve"> IF(Table13[[#This Row],[dye'[2']]]=0, Table13[[#This Row],[strength'[2']]], 0)</f>
        <v>0</v>
      </c>
      <c r="Z104">
        <f xml:space="preserve"> IF(Table13[[#This Row],[dye'[1']]]=0, Table13[[#This Row],[strength'[1']]], 0)</f>
        <v>0</v>
      </c>
      <c r="AA104">
        <f xml:space="preserve"> IF(Table13[[#This Row],[dye'[0']]]=0, Table13[[#This Row],[strength'[0']]], 0)</f>
        <v>0</v>
      </c>
      <c r="AB104">
        <v>0</v>
      </c>
      <c r="AC104">
        <f>MAX($D$2, Table13[[#This Row],[t1'[0']]])</f>
        <v>0</v>
      </c>
      <c r="AD104">
        <v>0</v>
      </c>
      <c r="AE104">
        <f>Table13[[#This Row],[t1'[0']]]+Table13[[#This Row],[dt'[0']]]</f>
        <v>0</v>
      </c>
      <c r="AF104">
        <f>MIN($C$2, Table13[[#This Row],[tf'[0']]])</f>
        <v>0</v>
      </c>
      <c r="AG104">
        <f>Table13[[#This Row],[time2'[0']]]-Table13[[#This Row],[time1'[0']]]</f>
        <v>0</v>
      </c>
      <c r="AH104">
        <v>0</v>
      </c>
      <c r="AI104">
        <f xml:space="preserve"> INDEX(Table3[[#All],[Intensity]], Table13[[#This Row],[int'[0']]]+2)</f>
        <v>0</v>
      </c>
      <c r="AJ104">
        <f>Table13[[#This Row],[duration'[0']]]*Table13[[#This Row],[intensity'[0']]]</f>
        <v>0</v>
      </c>
      <c r="AK104">
        <f>MOD(Table13[[#This Row],[ZMW num]], 4)</f>
        <v>3</v>
      </c>
      <c r="AL104">
        <v>0</v>
      </c>
      <c r="AM104">
        <f>MAX($D$2, Table13[[#This Row],[t1'[1']]])</f>
        <v>0</v>
      </c>
      <c r="AN104">
        <v>0</v>
      </c>
      <c r="AO104">
        <f>Table13[[#This Row],[t1'[1']]]+Table13[[#This Row],[dt'[1']]]</f>
        <v>0</v>
      </c>
      <c r="AP104">
        <f>MIN($C$2, Table13[[#This Row],[tf'[1']]])</f>
        <v>0</v>
      </c>
      <c r="AQ104">
        <f>Table13[[#This Row],[time2'[1']]]-Table13[[#This Row],[time1'[1']]]</f>
        <v>0</v>
      </c>
      <c r="AR104">
        <v>0</v>
      </c>
      <c r="AS104">
        <f xml:space="preserve"> INDEX(Table3[[#All],[Intensity]], Table13[[#This Row],[int'[1']]]+2)</f>
        <v>0</v>
      </c>
      <c r="AT104">
        <f>Table13[[#This Row],[duration'[1']]]*Table13[[#This Row],[intensity'[1']]]</f>
        <v>0</v>
      </c>
      <c r="AU104">
        <f>MOD(Table13[[#This Row],[ZMW num]]+1, 4)</f>
        <v>0</v>
      </c>
      <c r="AV104">
        <v>0</v>
      </c>
      <c r="AW104">
        <f>MAX($D$2, Table13[[#This Row],[t1'[2']]])</f>
        <v>0</v>
      </c>
      <c r="AX104">
        <v>0</v>
      </c>
      <c r="AY104">
        <f>Table13[[#This Row],[t1'[2']]]+Table13[[#This Row],[dt'[2']]]</f>
        <v>0</v>
      </c>
      <c r="AZ104">
        <f>MIN($C$2, Table13[[#This Row],[tf'[2']]])</f>
        <v>0</v>
      </c>
      <c r="BA104">
        <f>Table13[[#This Row],[time2'[2']]]-Table13[[#This Row],[time1'[2']]]</f>
        <v>0</v>
      </c>
      <c r="BB104">
        <v>0</v>
      </c>
      <c r="BC104">
        <f xml:space="preserve"> INDEX(Table3[[#All],[Intensity]], Table13[[#This Row],[int'[2']]]+2)</f>
        <v>0</v>
      </c>
      <c r="BD104">
        <f>Table13[[#This Row],[duration'[2']]]*Table13[[#This Row],[intensity'[2']]]</f>
        <v>0</v>
      </c>
      <c r="BE104">
        <f>MOD(Table13[[#This Row],[ZMW num]]+2, 4)</f>
        <v>1</v>
      </c>
      <c r="BF104" s="2" t="str">
        <f>Single2String(Table13[[#This Row],[t1'[0']]])</f>
        <v>00000000</v>
      </c>
      <c r="BG104" s="1" t="str">
        <f>Single2String(Table13[[#This Row],[dt'[0']]])</f>
        <v>00000000</v>
      </c>
      <c r="BH104" s="1" t="str">
        <f>Single2String(Table13[[#This Row],[t1'[1']]])</f>
        <v>00000000</v>
      </c>
      <c r="BI104" s="1" t="str">
        <f>Single2String(Table13[[#This Row],[dt'[1']]])</f>
        <v>00000000</v>
      </c>
      <c r="BJ104" s="1" t="str">
        <f>Single2String(Table13[[#This Row],[t1'[2']]])</f>
        <v>00000000</v>
      </c>
      <c r="BK104" s="1" t="str">
        <f>Single2String(Table13[[#This Row],[dt'[2']]])</f>
        <v>00000000</v>
      </c>
      <c r="BL104" s="1" t="str">
        <f>DEC2HEX(Table13[[#This Row],[ZMW num]], 6)</f>
        <v>000063</v>
      </c>
      <c r="BM104" s="1">
        <f>LEN(Table13[[#This Row],[DRAM data]])</f>
        <v>64</v>
      </c>
      <c r="BN10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0000000000000000000000000000000000000000000000003000100000006300</v>
      </c>
      <c r="CU104"/>
    </row>
    <row r="105" spans="1:99" x14ac:dyDescent="0.25">
      <c r="A105" t="str">
        <f>Single2String(Table13[[#This Row],[duration'[0']]])</f>
        <v>00000000</v>
      </c>
      <c r="B105" t="str">
        <f>Single2String(Table13[[#This Row],[duration'[1']]])</f>
        <v>00000000</v>
      </c>
      <c r="C105" t="str">
        <f>Single2String(Table13[[#This Row],[duration'[2']]])</f>
        <v>00000000</v>
      </c>
      <c r="D105" t="str">
        <f>INDEX(Table3[Hex], Table13[[#This Row],[int'[0']]]+1)</f>
        <v>00000000</v>
      </c>
      <c r="E105" t="str">
        <f>INDEX(Table3[Hex], Table13[[#This Row],[int'[1']]]+1)</f>
        <v>00000000</v>
      </c>
      <c r="F105" t="str">
        <f>INDEX(Table3[Hex], Table13[[#This Row],[int'[1']]]+1)</f>
        <v>00000000</v>
      </c>
      <c r="G105" t="str">
        <f>Single2String(Table13[[#This Row],[c ktrace]])</f>
        <v>00000000</v>
      </c>
      <c r="H105" t="str">
        <f>Single2String(Table13[[#This Row],[a ktrace]])</f>
        <v>00000000</v>
      </c>
      <c r="I105" t="str">
        <f>Single2String(Table13[[#This Row],[g ktrace]])</f>
        <v>00000000</v>
      </c>
      <c r="J105" t="str">
        <f>Single2String(Table13[[#This Row],[t ktrace]])</f>
        <v>00000000</v>
      </c>
      <c r="K105" s="3">
        <v>100</v>
      </c>
      <c r="L105">
        <f>SUM(Table13[[#This Row],[c ktrace'[2']]:[c ktrace'[0']]])</f>
        <v>0</v>
      </c>
      <c r="M105">
        <f>SUM(Table13[[#This Row],[a ktrace'[2']]:[a ktrace'[0']]])</f>
        <v>0</v>
      </c>
      <c r="N105">
        <f>SUM(Table13[[#This Row],[g ktrace'[2']]:[g ktrace'[0']]])</f>
        <v>0</v>
      </c>
      <c r="O105">
        <f>SUM(Table13[[#This Row],[t ktrace'[2']]:[t ktrace'[0']]])</f>
        <v>0</v>
      </c>
      <c r="P105">
        <f xml:space="preserve"> IF(Table13[[#This Row],[dye'[2']]]=3, Table13[[#This Row],[strength'[2']]], 0)</f>
        <v>0</v>
      </c>
      <c r="Q105">
        <f xml:space="preserve"> IF(Table13[[#This Row],[dye'[1']]]=3, Table13[[#This Row],[strength'[1']]], 0)</f>
        <v>0</v>
      </c>
      <c r="R105">
        <f xml:space="preserve"> IF(Table13[[#This Row],[dye'[0']]]=3, Table13[[#This Row],[strength'[0']]], 0)</f>
        <v>0</v>
      </c>
      <c r="S105">
        <f xml:space="preserve"> IF(Table13[[#This Row],[dye'[2']]]=2, Table13[[#This Row],[strength'[2']]], 0)</f>
        <v>0</v>
      </c>
      <c r="T105">
        <f xml:space="preserve"> IF(Table13[[#This Row],[dye'[1']]]=2, Table13[[#This Row],[strength'[1']]], 0)</f>
        <v>0</v>
      </c>
      <c r="U105">
        <f xml:space="preserve"> IF(Table13[[#This Row],[dye'[0']]]=2, Table13[[#This Row],[strength'[0']]], 0)</f>
        <v>0</v>
      </c>
      <c r="V105">
        <f xml:space="preserve"> IF(Table13[[#This Row],[dye'[2']]]=1, Table13[[#This Row],[strength'[2']]], 0)</f>
        <v>0</v>
      </c>
      <c r="W105">
        <f xml:space="preserve"> IF(Table13[[#This Row],[dye'[1']]]=1, Table13[[#This Row],[strength'[1']]], 0)</f>
        <v>0</v>
      </c>
      <c r="X105">
        <f xml:space="preserve"> IF(Table13[[#This Row],[dye'[0']]]=1, Table13[[#This Row],[strength'[0']]], 0)</f>
        <v>0</v>
      </c>
      <c r="Y105">
        <f xml:space="preserve"> IF(Table13[[#This Row],[dye'[2']]]=0, Table13[[#This Row],[strength'[2']]], 0)</f>
        <v>0</v>
      </c>
      <c r="Z105">
        <f xml:space="preserve"> IF(Table13[[#This Row],[dye'[1']]]=0, Table13[[#This Row],[strength'[1']]], 0)</f>
        <v>0</v>
      </c>
      <c r="AA105">
        <f xml:space="preserve"> IF(Table13[[#This Row],[dye'[0']]]=0, Table13[[#This Row],[strength'[0']]], 0)</f>
        <v>0</v>
      </c>
      <c r="AB105">
        <v>0</v>
      </c>
      <c r="AC105">
        <f>MAX($D$2, Table13[[#This Row],[t1'[0']]])</f>
        <v>0</v>
      </c>
      <c r="AD105">
        <v>0</v>
      </c>
      <c r="AE105">
        <f>Table13[[#This Row],[t1'[0']]]+Table13[[#This Row],[dt'[0']]]</f>
        <v>0</v>
      </c>
      <c r="AF105">
        <f>MIN($C$2, Table13[[#This Row],[tf'[0']]])</f>
        <v>0</v>
      </c>
      <c r="AG105">
        <f>Table13[[#This Row],[time2'[0']]]-Table13[[#This Row],[time1'[0']]]</f>
        <v>0</v>
      </c>
      <c r="AH105">
        <v>0</v>
      </c>
      <c r="AI105">
        <f xml:space="preserve"> INDEX(Table3[[#All],[Intensity]], Table13[[#This Row],[int'[0']]]+2)</f>
        <v>0</v>
      </c>
      <c r="AJ105">
        <f>Table13[[#This Row],[duration'[0']]]*Table13[[#This Row],[intensity'[0']]]</f>
        <v>0</v>
      </c>
      <c r="AK105">
        <f>MOD(Table13[[#This Row],[ZMW num]], 4)</f>
        <v>0</v>
      </c>
      <c r="AL105">
        <v>0</v>
      </c>
      <c r="AM105">
        <f>MAX($D$2, Table13[[#This Row],[t1'[1']]])</f>
        <v>0</v>
      </c>
      <c r="AN105">
        <v>0</v>
      </c>
      <c r="AO105">
        <f>Table13[[#This Row],[t1'[1']]]+Table13[[#This Row],[dt'[1']]]</f>
        <v>0</v>
      </c>
      <c r="AP105">
        <f>MIN($C$2, Table13[[#This Row],[tf'[1']]])</f>
        <v>0</v>
      </c>
      <c r="AQ105">
        <f>Table13[[#This Row],[time2'[1']]]-Table13[[#This Row],[time1'[1']]]</f>
        <v>0</v>
      </c>
      <c r="AR105">
        <v>0</v>
      </c>
      <c r="AS105">
        <f xml:space="preserve"> INDEX(Table3[[#All],[Intensity]], Table13[[#This Row],[int'[1']]]+2)</f>
        <v>0</v>
      </c>
      <c r="AT105">
        <f>Table13[[#This Row],[duration'[1']]]*Table13[[#This Row],[intensity'[1']]]</f>
        <v>0</v>
      </c>
      <c r="AU105">
        <f>MOD(Table13[[#This Row],[ZMW num]]+1, 4)</f>
        <v>1</v>
      </c>
      <c r="AV105">
        <v>0</v>
      </c>
      <c r="AW105">
        <f>MAX($D$2, Table13[[#This Row],[t1'[2']]])</f>
        <v>0</v>
      </c>
      <c r="AX105">
        <v>0</v>
      </c>
      <c r="AY105">
        <f>Table13[[#This Row],[t1'[2']]]+Table13[[#This Row],[dt'[2']]]</f>
        <v>0</v>
      </c>
      <c r="AZ105">
        <f>MIN($C$2, Table13[[#This Row],[tf'[2']]])</f>
        <v>0</v>
      </c>
      <c r="BA105">
        <f>Table13[[#This Row],[time2'[2']]]-Table13[[#This Row],[time1'[2']]]</f>
        <v>0</v>
      </c>
      <c r="BB105">
        <v>0</v>
      </c>
      <c r="BC105">
        <f xml:space="preserve"> INDEX(Table3[[#All],[Intensity]], Table13[[#This Row],[int'[2']]]+2)</f>
        <v>0</v>
      </c>
      <c r="BD105">
        <f>Table13[[#This Row],[duration'[2']]]*Table13[[#This Row],[intensity'[2']]]</f>
        <v>0</v>
      </c>
      <c r="BE105">
        <f>MOD(Table13[[#This Row],[ZMW num]]+2, 4)</f>
        <v>2</v>
      </c>
      <c r="BF105" s="2" t="str">
        <f>Single2String(Table13[[#This Row],[t1'[0']]])</f>
        <v>00000000</v>
      </c>
      <c r="BG105" s="1" t="str">
        <f>Single2String(Table13[[#This Row],[dt'[0']]])</f>
        <v>00000000</v>
      </c>
      <c r="BH105" s="1" t="str">
        <f>Single2String(Table13[[#This Row],[t1'[1']]])</f>
        <v>00000000</v>
      </c>
      <c r="BI105" s="1" t="str">
        <f>Single2String(Table13[[#This Row],[dt'[1']]])</f>
        <v>00000000</v>
      </c>
      <c r="BJ105" s="1" t="str">
        <f>Single2String(Table13[[#This Row],[t1'[2']]])</f>
        <v>00000000</v>
      </c>
      <c r="BK105" s="1" t="str">
        <f>Single2String(Table13[[#This Row],[dt'[2']]])</f>
        <v>00000000</v>
      </c>
      <c r="BL105" s="1" t="str">
        <f>DEC2HEX(Table13[[#This Row],[ZMW num]], 6)</f>
        <v>000064</v>
      </c>
      <c r="BM105" s="1">
        <f>LEN(Table13[[#This Row],[DRAM data]])</f>
        <v>64</v>
      </c>
      <c r="BN10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0000000000000000000000000000000000000000000000000010200000006400</v>
      </c>
      <c r="CU105"/>
    </row>
    <row r="106" spans="1:99" x14ac:dyDescent="0.25">
      <c r="A106" t="str">
        <f>Single2String(Table13[[#This Row],[duration'[0']]])</f>
        <v>00000000</v>
      </c>
      <c r="B106" t="str">
        <f>Single2String(Table13[[#This Row],[duration'[1']]])</f>
        <v>00000000</v>
      </c>
      <c r="C106" t="str">
        <f>Single2String(Table13[[#This Row],[duration'[2']]])</f>
        <v>00000000</v>
      </c>
      <c r="D106" t="str">
        <f>INDEX(Table3[Hex], Table13[[#This Row],[int'[0']]]+1)</f>
        <v>00000000</v>
      </c>
      <c r="E106" t="str">
        <f>INDEX(Table3[Hex], Table13[[#This Row],[int'[1']]]+1)</f>
        <v>00000000</v>
      </c>
      <c r="F106" t="str">
        <f>INDEX(Table3[Hex], Table13[[#This Row],[int'[1']]]+1)</f>
        <v>00000000</v>
      </c>
      <c r="G106" t="str">
        <f>Single2String(Table13[[#This Row],[c ktrace]])</f>
        <v>00000000</v>
      </c>
      <c r="H106" t="str">
        <f>Single2String(Table13[[#This Row],[a ktrace]])</f>
        <v>00000000</v>
      </c>
      <c r="I106" t="str">
        <f>Single2String(Table13[[#This Row],[g ktrace]])</f>
        <v>00000000</v>
      </c>
      <c r="J106" t="str">
        <f>Single2String(Table13[[#This Row],[t ktrace]])</f>
        <v>00000000</v>
      </c>
      <c r="K106" s="3">
        <v>101</v>
      </c>
      <c r="L106">
        <f>SUM(Table13[[#This Row],[c ktrace'[2']]:[c ktrace'[0']]])</f>
        <v>0</v>
      </c>
      <c r="M106">
        <f>SUM(Table13[[#This Row],[a ktrace'[2']]:[a ktrace'[0']]])</f>
        <v>0</v>
      </c>
      <c r="N106">
        <f>SUM(Table13[[#This Row],[g ktrace'[2']]:[g ktrace'[0']]])</f>
        <v>0</v>
      </c>
      <c r="O106">
        <f>SUM(Table13[[#This Row],[t ktrace'[2']]:[t ktrace'[0']]])</f>
        <v>0</v>
      </c>
      <c r="P106">
        <f xml:space="preserve"> IF(Table13[[#This Row],[dye'[2']]]=3, Table13[[#This Row],[strength'[2']]], 0)</f>
        <v>0</v>
      </c>
      <c r="Q106">
        <f xml:space="preserve"> IF(Table13[[#This Row],[dye'[1']]]=3, Table13[[#This Row],[strength'[1']]], 0)</f>
        <v>0</v>
      </c>
      <c r="R106">
        <f xml:space="preserve"> IF(Table13[[#This Row],[dye'[0']]]=3, Table13[[#This Row],[strength'[0']]], 0)</f>
        <v>0</v>
      </c>
      <c r="S106">
        <f xml:space="preserve"> IF(Table13[[#This Row],[dye'[2']]]=2, Table13[[#This Row],[strength'[2']]], 0)</f>
        <v>0</v>
      </c>
      <c r="T106">
        <f xml:space="preserve"> IF(Table13[[#This Row],[dye'[1']]]=2, Table13[[#This Row],[strength'[1']]], 0)</f>
        <v>0</v>
      </c>
      <c r="U106">
        <f xml:space="preserve"> IF(Table13[[#This Row],[dye'[0']]]=2, Table13[[#This Row],[strength'[0']]], 0)</f>
        <v>0</v>
      </c>
      <c r="V106">
        <f xml:space="preserve"> IF(Table13[[#This Row],[dye'[2']]]=1, Table13[[#This Row],[strength'[2']]], 0)</f>
        <v>0</v>
      </c>
      <c r="W106">
        <f xml:space="preserve"> IF(Table13[[#This Row],[dye'[1']]]=1, Table13[[#This Row],[strength'[1']]], 0)</f>
        <v>0</v>
      </c>
      <c r="X106">
        <f xml:space="preserve"> IF(Table13[[#This Row],[dye'[0']]]=1, Table13[[#This Row],[strength'[0']]], 0)</f>
        <v>0</v>
      </c>
      <c r="Y106">
        <f xml:space="preserve"> IF(Table13[[#This Row],[dye'[2']]]=0, Table13[[#This Row],[strength'[2']]], 0)</f>
        <v>0</v>
      </c>
      <c r="Z106">
        <f xml:space="preserve"> IF(Table13[[#This Row],[dye'[1']]]=0, Table13[[#This Row],[strength'[1']]], 0)</f>
        <v>0</v>
      </c>
      <c r="AA106">
        <f xml:space="preserve"> IF(Table13[[#This Row],[dye'[0']]]=0, Table13[[#This Row],[strength'[0']]], 0)</f>
        <v>0</v>
      </c>
      <c r="AB106">
        <v>0</v>
      </c>
      <c r="AC106">
        <f>MAX($D$2, Table13[[#This Row],[t1'[0']]])</f>
        <v>0</v>
      </c>
      <c r="AD106">
        <v>0</v>
      </c>
      <c r="AE106">
        <f>Table13[[#This Row],[t1'[0']]]+Table13[[#This Row],[dt'[0']]]</f>
        <v>0</v>
      </c>
      <c r="AF106">
        <f>MIN($C$2, Table13[[#This Row],[tf'[0']]])</f>
        <v>0</v>
      </c>
      <c r="AG106">
        <f>Table13[[#This Row],[time2'[0']]]-Table13[[#This Row],[time1'[0']]]</f>
        <v>0</v>
      </c>
      <c r="AH106">
        <v>0</v>
      </c>
      <c r="AI106">
        <f xml:space="preserve"> INDEX(Table3[[#All],[Intensity]], Table13[[#This Row],[int'[0']]]+2)</f>
        <v>0</v>
      </c>
      <c r="AJ106">
        <f>Table13[[#This Row],[duration'[0']]]*Table13[[#This Row],[intensity'[0']]]</f>
        <v>0</v>
      </c>
      <c r="AK106">
        <f>MOD(Table13[[#This Row],[ZMW num]], 4)</f>
        <v>1</v>
      </c>
      <c r="AL106">
        <v>0</v>
      </c>
      <c r="AM106">
        <f>MAX($D$2, Table13[[#This Row],[t1'[1']]])</f>
        <v>0</v>
      </c>
      <c r="AN106">
        <v>0</v>
      </c>
      <c r="AO106">
        <f>Table13[[#This Row],[t1'[1']]]+Table13[[#This Row],[dt'[1']]]</f>
        <v>0</v>
      </c>
      <c r="AP106">
        <f>MIN($C$2, Table13[[#This Row],[tf'[1']]])</f>
        <v>0</v>
      </c>
      <c r="AQ106">
        <f>Table13[[#This Row],[time2'[1']]]-Table13[[#This Row],[time1'[1']]]</f>
        <v>0</v>
      </c>
      <c r="AR106">
        <v>0</v>
      </c>
      <c r="AS106">
        <f xml:space="preserve"> INDEX(Table3[[#All],[Intensity]], Table13[[#This Row],[int'[1']]]+2)</f>
        <v>0</v>
      </c>
      <c r="AT106">
        <f>Table13[[#This Row],[duration'[1']]]*Table13[[#This Row],[intensity'[1']]]</f>
        <v>0</v>
      </c>
      <c r="AU106">
        <f>MOD(Table13[[#This Row],[ZMW num]]+1, 4)</f>
        <v>2</v>
      </c>
      <c r="AV106">
        <v>0</v>
      </c>
      <c r="AW106">
        <f>MAX($D$2, Table13[[#This Row],[t1'[2']]])</f>
        <v>0</v>
      </c>
      <c r="AX106">
        <v>0</v>
      </c>
      <c r="AY106">
        <f>Table13[[#This Row],[t1'[2']]]+Table13[[#This Row],[dt'[2']]]</f>
        <v>0</v>
      </c>
      <c r="AZ106">
        <f>MIN($C$2, Table13[[#This Row],[tf'[2']]])</f>
        <v>0</v>
      </c>
      <c r="BA106">
        <f>Table13[[#This Row],[time2'[2']]]-Table13[[#This Row],[time1'[2']]]</f>
        <v>0</v>
      </c>
      <c r="BB106">
        <v>0</v>
      </c>
      <c r="BC106">
        <f xml:space="preserve"> INDEX(Table3[[#All],[Intensity]], Table13[[#This Row],[int'[2']]]+2)</f>
        <v>0</v>
      </c>
      <c r="BD106">
        <f>Table13[[#This Row],[duration'[2']]]*Table13[[#This Row],[intensity'[2']]]</f>
        <v>0</v>
      </c>
      <c r="BE106">
        <f>MOD(Table13[[#This Row],[ZMW num]]+2, 4)</f>
        <v>3</v>
      </c>
      <c r="BF106" s="2" t="str">
        <f>Single2String(Table13[[#This Row],[t1'[0']]])</f>
        <v>00000000</v>
      </c>
      <c r="BG106" s="1" t="str">
        <f>Single2String(Table13[[#This Row],[dt'[0']]])</f>
        <v>00000000</v>
      </c>
      <c r="BH106" s="1" t="str">
        <f>Single2String(Table13[[#This Row],[t1'[1']]])</f>
        <v>00000000</v>
      </c>
      <c r="BI106" s="1" t="str">
        <f>Single2String(Table13[[#This Row],[dt'[1']]])</f>
        <v>00000000</v>
      </c>
      <c r="BJ106" s="1" t="str">
        <f>Single2String(Table13[[#This Row],[t1'[2']]])</f>
        <v>00000000</v>
      </c>
      <c r="BK106" s="1" t="str">
        <f>Single2String(Table13[[#This Row],[dt'[2']]])</f>
        <v>00000000</v>
      </c>
      <c r="BL106" s="1" t="str">
        <f>DEC2HEX(Table13[[#This Row],[ZMW num]], 6)</f>
        <v>000065</v>
      </c>
      <c r="BM106" s="1">
        <f>LEN(Table13[[#This Row],[DRAM data]])</f>
        <v>64</v>
      </c>
      <c r="BN10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0000000000000000000000000000000000000000000000001020300000006500</v>
      </c>
      <c r="CU106"/>
    </row>
    <row r="107" spans="1:99" x14ac:dyDescent="0.25">
      <c r="A107" t="str">
        <f>Single2String(Table13[[#This Row],[duration'[0']]])</f>
        <v>00000000</v>
      </c>
      <c r="B107" t="str">
        <f>Single2String(Table13[[#This Row],[duration'[1']]])</f>
        <v>00000000</v>
      </c>
      <c r="C107" t="str">
        <f>Single2String(Table13[[#This Row],[duration'[2']]])</f>
        <v>00000000</v>
      </c>
      <c r="D107" t="str">
        <f>INDEX(Table3[Hex], Table13[[#This Row],[int'[0']]]+1)</f>
        <v>00000000</v>
      </c>
      <c r="E107" t="str">
        <f>INDEX(Table3[Hex], Table13[[#This Row],[int'[1']]]+1)</f>
        <v>00000000</v>
      </c>
      <c r="F107" t="str">
        <f>INDEX(Table3[Hex], Table13[[#This Row],[int'[1']]]+1)</f>
        <v>00000000</v>
      </c>
      <c r="G107" t="str">
        <f>Single2String(Table13[[#This Row],[c ktrace]])</f>
        <v>00000000</v>
      </c>
      <c r="H107" t="str">
        <f>Single2String(Table13[[#This Row],[a ktrace]])</f>
        <v>00000000</v>
      </c>
      <c r="I107" t="str">
        <f>Single2String(Table13[[#This Row],[g ktrace]])</f>
        <v>00000000</v>
      </c>
      <c r="J107" t="str">
        <f>Single2String(Table13[[#This Row],[t ktrace]])</f>
        <v>00000000</v>
      </c>
      <c r="K107" s="3">
        <v>102</v>
      </c>
      <c r="L107">
        <f>SUM(Table13[[#This Row],[c ktrace'[2']]:[c ktrace'[0']]])</f>
        <v>0</v>
      </c>
      <c r="M107">
        <f>SUM(Table13[[#This Row],[a ktrace'[2']]:[a ktrace'[0']]])</f>
        <v>0</v>
      </c>
      <c r="N107">
        <f>SUM(Table13[[#This Row],[g ktrace'[2']]:[g ktrace'[0']]])</f>
        <v>0</v>
      </c>
      <c r="O107">
        <f>SUM(Table13[[#This Row],[t ktrace'[2']]:[t ktrace'[0']]])</f>
        <v>0</v>
      </c>
      <c r="P107">
        <f xml:space="preserve"> IF(Table13[[#This Row],[dye'[2']]]=3, Table13[[#This Row],[strength'[2']]], 0)</f>
        <v>0</v>
      </c>
      <c r="Q107">
        <f xml:space="preserve"> IF(Table13[[#This Row],[dye'[1']]]=3, Table13[[#This Row],[strength'[1']]], 0)</f>
        <v>0</v>
      </c>
      <c r="R107">
        <f xml:space="preserve"> IF(Table13[[#This Row],[dye'[0']]]=3, Table13[[#This Row],[strength'[0']]], 0)</f>
        <v>0</v>
      </c>
      <c r="S107">
        <f xml:space="preserve"> IF(Table13[[#This Row],[dye'[2']]]=2, Table13[[#This Row],[strength'[2']]], 0)</f>
        <v>0</v>
      </c>
      <c r="T107">
        <f xml:space="preserve"> IF(Table13[[#This Row],[dye'[1']]]=2, Table13[[#This Row],[strength'[1']]], 0)</f>
        <v>0</v>
      </c>
      <c r="U107">
        <f xml:space="preserve"> IF(Table13[[#This Row],[dye'[0']]]=2, Table13[[#This Row],[strength'[0']]], 0)</f>
        <v>0</v>
      </c>
      <c r="V107">
        <f xml:space="preserve"> IF(Table13[[#This Row],[dye'[2']]]=1, Table13[[#This Row],[strength'[2']]], 0)</f>
        <v>0</v>
      </c>
      <c r="W107">
        <f xml:space="preserve"> IF(Table13[[#This Row],[dye'[1']]]=1, Table13[[#This Row],[strength'[1']]], 0)</f>
        <v>0</v>
      </c>
      <c r="X107">
        <f xml:space="preserve"> IF(Table13[[#This Row],[dye'[0']]]=1, Table13[[#This Row],[strength'[0']]], 0)</f>
        <v>0</v>
      </c>
      <c r="Y107">
        <f xml:space="preserve"> IF(Table13[[#This Row],[dye'[2']]]=0, Table13[[#This Row],[strength'[2']]], 0)</f>
        <v>0</v>
      </c>
      <c r="Z107">
        <f xml:space="preserve"> IF(Table13[[#This Row],[dye'[1']]]=0, Table13[[#This Row],[strength'[1']]], 0)</f>
        <v>0</v>
      </c>
      <c r="AA107">
        <f xml:space="preserve"> IF(Table13[[#This Row],[dye'[0']]]=0, Table13[[#This Row],[strength'[0']]], 0)</f>
        <v>0</v>
      </c>
      <c r="AB107">
        <v>0</v>
      </c>
      <c r="AC107">
        <f>MAX($D$2, Table13[[#This Row],[t1'[0']]])</f>
        <v>0</v>
      </c>
      <c r="AD107">
        <v>0</v>
      </c>
      <c r="AE107">
        <f>Table13[[#This Row],[t1'[0']]]+Table13[[#This Row],[dt'[0']]]</f>
        <v>0</v>
      </c>
      <c r="AF107">
        <f>MIN($C$2, Table13[[#This Row],[tf'[0']]])</f>
        <v>0</v>
      </c>
      <c r="AG107">
        <f>Table13[[#This Row],[time2'[0']]]-Table13[[#This Row],[time1'[0']]]</f>
        <v>0</v>
      </c>
      <c r="AH107">
        <v>0</v>
      </c>
      <c r="AI107">
        <f xml:space="preserve"> INDEX(Table3[[#All],[Intensity]], Table13[[#This Row],[int'[0']]]+2)</f>
        <v>0</v>
      </c>
      <c r="AJ107">
        <f>Table13[[#This Row],[duration'[0']]]*Table13[[#This Row],[intensity'[0']]]</f>
        <v>0</v>
      </c>
      <c r="AK107">
        <f>MOD(Table13[[#This Row],[ZMW num]], 4)</f>
        <v>2</v>
      </c>
      <c r="AL107">
        <v>0</v>
      </c>
      <c r="AM107">
        <f>MAX($D$2, Table13[[#This Row],[t1'[1']]])</f>
        <v>0</v>
      </c>
      <c r="AN107">
        <v>0</v>
      </c>
      <c r="AO107">
        <f>Table13[[#This Row],[t1'[1']]]+Table13[[#This Row],[dt'[1']]]</f>
        <v>0</v>
      </c>
      <c r="AP107">
        <f>MIN($C$2, Table13[[#This Row],[tf'[1']]])</f>
        <v>0</v>
      </c>
      <c r="AQ107">
        <f>Table13[[#This Row],[time2'[1']]]-Table13[[#This Row],[time1'[1']]]</f>
        <v>0</v>
      </c>
      <c r="AR107">
        <v>0</v>
      </c>
      <c r="AS107">
        <f xml:space="preserve"> INDEX(Table3[[#All],[Intensity]], Table13[[#This Row],[int'[1']]]+2)</f>
        <v>0</v>
      </c>
      <c r="AT107">
        <f>Table13[[#This Row],[duration'[1']]]*Table13[[#This Row],[intensity'[1']]]</f>
        <v>0</v>
      </c>
      <c r="AU107">
        <f>MOD(Table13[[#This Row],[ZMW num]]+1, 4)</f>
        <v>3</v>
      </c>
      <c r="AV107">
        <v>0</v>
      </c>
      <c r="AW107">
        <f>MAX($D$2, Table13[[#This Row],[t1'[2']]])</f>
        <v>0</v>
      </c>
      <c r="AX107">
        <v>0</v>
      </c>
      <c r="AY107">
        <f>Table13[[#This Row],[t1'[2']]]+Table13[[#This Row],[dt'[2']]]</f>
        <v>0</v>
      </c>
      <c r="AZ107">
        <f>MIN($C$2, Table13[[#This Row],[tf'[2']]])</f>
        <v>0</v>
      </c>
      <c r="BA107">
        <f>Table13[[#This Row],[time2'[2']]]-Table13[[#This Row],[time1'[2']]]</f>
        <v>0</v>
      </c>
      <c r="BB107">
        <v>0</v>
      </c>
      <c r="BC107">
        <f xml:space="preserve"> INDEX(Table3[[#All],[Intensity]], Table13[[#This Row],[int'[2']]]+2)</f>
        <v>0</v>
      </c>
      <c r="BD107">
        <f>Table13[[#This Row],[duration'[2']]]*Table13[[#This Row],[intensity'[2']]]</f>
        <v>0</v>
      </c>
      <c r="BE107">
        <f>MOD(Table13[[#This Row],[ZMW num]]+2, 4)</f>
        <v>0</v>
      </c>
      <c r="BF107" s="2" t="str">
        <f>Single2String(Table13[[#This Row],[t1'[0']]])</f>
        <v>00000000</v>
      </c>
      <c r="BG107" s="1" t="str">
        <f>Single2String(Table13[[#This Row],[dt'[0']]])</f>
        <v>00000000</v>
      </c>
      <c r="BH107" s="1" t="str">
        <f>Single2String(Table13[[#This Row],[t1'[1']]])</f>
        <v>00000000</v>
      </c>
      <c r="BI107" s="1" t="str">
        <f>Single2String(Table13[[#This Row],[dt'[1']]])</f>
        <v>00000000</v>
      </c>
      <c r="BJ107" s="1" t="str">
        <f>Single2String(Table13[[#This Row],[t1'[2']]])</f>
        <v>00000000</v>
      </c>
      <c r="BK107" s="1" t="str">
        <f>Single2String(Table13[[#This Row],[dt'[2']]])</f>
        <v>00000000</v>
      </c>
      <c r="BL107" s="1" t="str">
        <f>DEC2HEX(Table13[[#This Row],[ZMW num]], 6)</f>
        <v>000066</v>
      </c>
      <c r="BM107" s="1">
        <f>LEN(Table13[[#This Row],[DRAM data]])</f>
        <v>64</v>
      </c>
      <c r="BN10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0000000000000000000000000000000000000000000000002030000000006600</v>
      </c>
      <c r="CU107"/>
    </row>
    <row r="108" spans="1:99" x14ac:dyDescent="0.25">
      <c r="A108" t="str">
        <f>Single2String(Table13[[#This Row],[duration'[0']]])</f>
        <v>00000000</v>
      </c>
      <c r="B108" t="str">
        <f>Single2String(Table13[[#This Row],[duration'[1']]])</f>
        <v>00000000</v>
      </c>
      <c r="C108" t="str">
        <f>Single2String(Table13[[#This Row],[duration'[2']]])</f>
        <v>00000000</v>
      </c>
      <c r="D108" t="str">
        <f>INDEX(Table3[Hex], Table13[[#This Row],[int'[0']]]+1)</f>
        <v>00000000</v>
      </c>
      <c r="E108" t="str">
        <f>INDEX(Table3[Hex], Table13[[#This Row],[int'[1']]]+1)</f>
        <v>00000000</v>
      </c>
      <c r="F108" t="str">
        <f>INDEX(Table3[Hex], Table13[[#This Row],[int'[1']]]+1)</f>
        <v>00000000</v>
      </c>
      <c r="G108" t="str">
        <f>Single2String(Table13[[#This Row],[c ktrace]])</f>
        <v>00000000</v>
      </c>
      <c r="H108" t="str">
        <f>Single2String(Table13[[#This Row],[a ktrace]])</f>
        <v>00000000</v>
      </c>
      <c r="I108" t="str">
        <f>Single2String(Table13[[#This Row],[g ktrace]])</f>
        <v>00000000</v>
      </c>
      <c r="J108" t="str">
        <f>Single2String(Table13[[#This Row],[t ktrace]])</f>
        <v>00000000</v>
      </c>
      <c r="K108" s="3">
        <v>103</v>
      </c>
      <c r="L108">
        <f>SUM(Table13[[#This Row],[c ktrace'[2']]:[c ktrace'[0']]])</f>
        <v>0</v>
      </c>
      <c r="M108">
        <f>SUM(Table13[[#This Row],[a ktrace'[2']]:[a ktrace'[0']]])</f>
        <v>0</v>
      </c>
      <c r="N108">
        <f>SUM(Table13[[#This Row],[g ktrace'[2']]:[g ktrace'[0']]])</f>
        <v>0</v>
      </c>
      <c r="O108">
        <f>SUM(Table13[[#This Row],[t ktrace'[2']]:[t ktrace'[0']]])</f>
        <v>0</v>
      </c>
      <c r="P108">
        <f xml:space="preserve"> IF(Table13[[#This Row],[dye'[2']]]=3, Table13[[#This Row],[strength'[2']]], 0)</f>
        <v>0</v>
      </c>
      <c r="Q108">
        <f xml:space="preserve"> IF(Table13[[#This Row],[dye'[1']]]=3, Table13[[#This Row],[strength'[1']]], 0)</f>
        <v>0</v>
      </c>
      <c r="R108">
        <f xml:space="preserve"> IF(Table13[[#This Row],[dye'[0']]]=3, Table13[[#This Row],[strength'[0']]], 0)</f>
        <v>0</v>
      </c>
      <c r="S108">
        <f xml:space="preserve"> IF(Table13[[#This Row],[dye'[2']]]=2, Table13[[#This Row],[strength'[2']]], 0)</f>
        <v>0</v>
      </c>
      <c r="T108">
        <f xml:space="preserve"> IF(Table13[[#This Row],[dye'[1']]]=2, Table13[[#This Row],[strength'[1']]], 0)</f>
        <v>0</v>
      </c>
      <c r="U108">
        <f xml:space="preserve"> IF(Table13[[#This Row],[dye'[0']]]=2, Table13[[#This Row],[strength'[0']]], 0)</f>
        <v>0</v>
      </c>
      <c r="V108">
        <f xml:space="preserve"> IF(Table13[[#This Row],[dye'[2']]]=1, Table13[[#This Row],[strength'[2']]], 0)</f>
        <v>0</v>
      </c>
      <c r="W108">
        <f xml:space="preserve"> IF(Table13[[#This Row],[dye'[1']]]=1, Table13[[#This Row],[strength'[1']]], 0)</f>
        <v>0</v>
      </c>
      <c r="X108">
        <f xml:space="preserve"> IF(Table13[[#This Row],[dye'[0']]]=1, Table13[[#This Row],[strength'[0']]], 0)</f>
        <v>0</v>
      </c>
      <c r="Y108">
        <f xml:space="preserve"> IF(Table13[[#This Row],[dye'[2']]]=0, Table13[[#This Row],[strength'[2']]], 0)</f>
        <v>0</v>
      </c>
      <c r="Z108">
        <f xml:space="preserve"> IF(Table13[[#This Row],[dye'[1']]]=0, Table13[[#This Row],[strength'[1']]], 0)</f>
        <v>0</v>
      </c>
      <c r="AA108">
        <f xml:space="preserve"> IF(Table13[[#This Row],[dye'[0']]]=0, Table13[[#This Row],[strength'[0']]], 0)</f>
        <v>0</v>
      </c>
      <c r="AB108">
        <v>0</v>
      </c>
      <c r="AC108">
        <f>MAX($D$2, Table13[[#This Row],[t1'[0']]])</f>
        <v>0</v>
      </c>
      <c r="AD108">
        <v>0</v>
      </c>
      <c r="AE108">
        <f>Table13[[#This Row],[t1'[0']]]+Table13[[#This Row],[dt'[0']]]</f>
        <v>0</v>
      </c>
      <c r="AF108">
        <f>MIN($C$2, Table13[[#This Row],[tf'[0']]])</f>
        <v>0</v>
      </c>
      <c r="AG108">
        <f>Table13[[#This Row],[time2'[0']]]-Table13[[#This Row],[time1'[0']]]</f>
        <v>0</v>
      </c>
      <c r="AH108">
        <v>0</v>
      </c>
      <c r="AI108">
        <f xml:space="preserve"> INDEX(Table3[[#All],[Intensity]], Table13[[#This Row],[int'[0']]]+2)</f>
        <v>0</v>
      </c>
      <c r="AJ108">
        <f>Table13[[#This Row],[duration'[0']]]*Table13[[#This Row],[intensity'[0']]]</f>
        <v>0</v>
      </c>
      <c r="AK108">
        <f>MOD(Table13[[#This Row],[ZMW num]], 4)</f>
        <v>3</v>
      </c>
      <c r="AL108">
        <v>0</v>
      </c>
      <c r="AM108">
        <f>MAX($D$2, Table13[[#This Row],[t1'[1']]])</f>
        <v>0</v>
      </c>
      <c r="AN108">
        <v>0</v>
      </c>
      <c r="AO108">
        <f>Table13[[#This Row],[t1'[1']]]+Table13[[#This Row],[dt'[1']]]</f>
        <v>0</v>
      </c>
      <c r="AP108">
        <f>MIN($C$2, Table13[[#This Row],[tf'[1']]])</f>
        <v>0</v>
      </c>
      <c r="AQ108">
        <f>Table13[[#This Row],[time2'[1']]]-Table13[[#This Row],[time1'[1']]]</f>
        <v>0</v>
      </c>
      <c r="AR108">
        <v>0</v>
      </c>
      <c r="AS108">
        <f xml:space="preserve"> INDEX(Table3[[#All],[Intensity]], Table13[[#This Row],[int'[1']]]+2)</f>
        <v>0</v>
      </c>
      <c r="AT108">
        <f>Table13[[#This Row],[duration'[1']]]*Table13[[#This Row],[intensity'[1']]]</f>
        <v>0</v>
      </c>
      <c r="AU108">
        <f>MOD(Table13[[#This Row],[ZMW num]]+1, 4)</f>
        <v>0</v>
      </c>
      <c r="AV108">
        <v>0</v>
      </c>
      <c r="AW108">
        <f>MAX($D$2, Table13[[#This Row],[t1'[2']]])</f>
        <v>0</v>
      </c>
      <c r="AX108">
        <v>0</v>
      </c>
      <c r="AY108">
        <f>Table13[[#This Row],[t1'[2']]]+Table13[[#This Row],[dt'[2']]]</f>
        <v>0</v>
      </c>
      <c r="AZ108">
        <f>MIN($C$2, Table13[[#This Row],[tf'[2']]])</f>
        <v>0</v>
      </c>
      <c r="BA108">
        <f>Table13[[#This Row],[time2'[2']]]-Table13[[#This Row],[time1'[2']]]</f>
        <v>0</v>
      </c>
      <c r="BB108">
        <v>0</v>
      </c>
      <c r="BC108">
        <f xml:space="preserve"> INDEX(Table3[[#All],[Intensity]], Table13[[#This Row],[int'[2']]]+2)</f>
        <v>0</v>
      </c>
      <c r="BD108">
        <f>Table13[[#This Row],[duration'[2']]]*Table13[[#This Row],[intensity'[2']]]</f>
        <v>0</v>
      </c>
      <c r="BE108">
        <f>MOD(Table13[[#This Row],[ZMW num]]+2, 4)</f>
        <v>1</v>
      </c>
      <c r="BF108" s="2" t="str">
        <f>Single2String(Table13[[#This Row],[t1'[0']]])</f>
        <v>00000000</v>
      </c>
      <c r="BG108" s="1" t="str">
        <f>Single2String(Table13[[#This Row],[dt'[0']]])</f>
        <v>00000000</v>
      </c>
      <c r="BH108" s="1" t="str">
        <f>Single2String(Table13[[#This Row],[t1'[1']]])</f>
        <v>00000000</v>
      </c>
      <c r="BI108" s="1" t="str">
        <f>Single2String(Table13[[#This Row],[dt'[1']]])</f>
        <v>00000000</v>
      </c>
      <c r="BJ108" s="1" t="str">
        <f>Single2String(Table13[[#This Row],[t1'[2']]])</f>
        <v>00000000</v>
      </c>
      <c r="BK108" s="1" t="str">
        <f>Single2String(Table13[[#This Row],[dt'[2']]])</f>
        <v>00000000</v>
      </c>
      <c r="BL108" s="1" t="str">
        <f>DEC2HEX(Table13[[#This Row],[ZMW num]], 6)</f>
        <v>000067</v>
      </c>
      <c r="BM108" s="1">
        <f>LEN(Table13[[#This Row],[DRAM data]])</f>
        <v>64</v>
      </c>
      <c r="BN10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0000000000000000000000000000000000000000000000003000100000006700</v>
      </c>
      <c r="CU108"/>
    </row>
    <row r="109" spans="1:99" x14ac:dyDescent="0.25">
      <c r="A109" t="str">
        <f>Single2String(Table13[[#This Row],[duration'[0']]])</f>
        <v>00000000</v>
      </c>
      <c r="B109" t="str">
        <f>Single2String(Table13[[#This Row],[duration'[1']]])</f>
        <v>00000000</v>
      </c>
      <c r="C109" t="str">
        <f>Single2String(Table13[[#This Row],[duration'[2']]])</f>
        <v>00000000</v>
      </c>
      <c r="D109" t="str">
        <f>INDEX(Table3[Hex], Table13[[#This Row],[int'[0']]]+1)</f>
        <v>00000000</v>
      </c>
      <c r="E109" t="str">
        <f>INDEX(Table3[Hex], Table13[[#This Row],[int'[1']]]+1)</f>
        <v>00000000</v>
      </c>
      <c r="F109" t="str">
        <f>INDEX(Table3[Hex], Table13[[#This Row],[int'[1']]]+1)</f>
        <v>00000000</v>
      </c>
      <c r="G109" t="str">
        <f>Single2String(Table13[[#This Row],[c ktrace]])</f>
        <v>00000000</v>
      </c>
      <c r="H109" t="str">
        <f>Single2String(Table13[[#This Row],[a ktrace]])</f>
        <v>00000000</v>
      </c>
      <c r="I109" t="str">
        <f>Single2String(Table13[[#This Row],[g ktrace]])</f>
        <v>00000000</v>
      </c>
      <c r="J109" t="str">
        <f>Single2String(Table13[[#This Row],[t ktrace]])</f>
        <v>00000000</v>
      </c>
      <c r="K109" s="3">
        <v>104</v>
      </c>
      <c r="L109">
        <f>SUM(Table13[[#This Row],[c ktrace'[2']]:[c ktrace'[0']]])</f>
        <v>0</v>
      </c>
      <c r="M109">
        <f>SUM(Table13[[#This Row],[a ktrace'[2']]:[a ktrace'[0']]])</f>
        <v>0</v>
      </c>
      <c r="N109">
        <f>SUM(Table13[[#This Row],[g ktrace'[2']]:[g ktrace'[0']]])</f>
        <v>0</v>
      </c>
      <c r="O109">
        <f>SUM(Table13[[#This Row],[t ktrace'[2']]:[t ktrace'[0']]])</f>
        <v>0</v>
      </c>
      <c r="P109">
        <f xml:space="preserve"> IF(Table13[[#This Row],[dye'[2']]]=3, Table13[[#This Row],[strength'[2']]], 0)</f>
        <v>0</v>
      </c>
      <c r="Q109">
        <f xml:space="preserve"> IF(Table13[[#This Row],[dye'[1']]]=3, Table13[[#This Row],[strength'[1']]], 0)</f>
        <v>0</v>
      </c>
      <c r="R109">
        <f xml:space="preserve"> IF(Table13[[#This Row],[dye'[0']]]=3, Table13[[#This Row],[strength'[0']]], 0)</f>
        <v>0</v>
      </c>
      <c r="S109">
        <f xml:space="preserve"> IF(Table13[[#This Row],[dye'[2']]]=2, Table13[[#This Row],[strength'[2']]], 0)</f>
        <v>0</v>
      </c>
      <c r="T109">
        <f xml:space="preserve"> IF(Table13[[#This Row],[dye'[1']]]=2, Table13[[#This Row],[strength'[1']]], 0)</f>
        <v>0</v>
      </c>
      <c r="U109">
        <f xml:space="preserve"> IF(Table13[[#This Row],[dye'[0']]]=2, Table13[[#This Row],[strength'[0']]], 0)</f>
        <v>0</v>
      </c>
      <c r="V109">
        <f xml:space="preserve"> IF(Table13[[#This Row],[dye'[2']]]=1, Table13[[#This Row],[strength'[2']]], 0)</f>
        <v>0</v>
      </c>
      <c r="W109">
        <f xml:space="preserve"> IF(Table13[[#This Row],[dye'[1']]]=1, Table13[[#This Row],[strength'[1']]], 0)</f>
        <v>0</v>
      </c>
      <c r="X109">
        <f xml:space="preserve"> IF(Table13[[#This Row],[dye'[0']]]=1, Table13[[#This Row],[strength'[0']]], 0)</f>
        <v>0</v>
      </c>
      <c r="Y109">
        <f xml:space="preserve"> IF(Table13[[#This Row],[dye'[2']]]=0, Table13[[#This Row],[strength'[2']]], 0)</f>
        <v>0</v>
      </c>
      <c r="Z109">
        <f xml:space="preserve"> IF(Table13[[#This Row],[dye'[1']]]=0, Table13[[#This Row],[strength'[1']]], 0)</f>
        <v>0</v>
      </c>
      <c r="AA109">
        <f xml:space="preserve"> IF(Table13[[#This Row],[dye'[0']]]=0, Table13[[#This Row],[strength'[0']]], 0)</f>
        <v>0</v>
      </c>
      <c r="AB109">
        <v>0</v>
      </c>
      <c r="AC109">
        <f>MAX($D$2, Table13[[#This Row],[t1'[0']]])</f>
        <v>0</v>
      </c>
      <c r="AD109">
        <v>0</v>
      </c>
      <c r="AE109">
        <f>Table13[[#This Row],[t1'[0']]]+Table13[[#This Row],[dt'[0']]]</f>
        <v>0</v>
      </c>
      <c r="AF109">
        <f>MIN($C$2, Table13[[#This Row],[tf'[0']]])</f>
        <v>0</v>
      </c>
      <c r="AG109">
        <f>Table13[[#This Row],[time2'[0']]]-Table13[[#This Row],[time1'[0']]]</f>
        <v>0</v>
      </c>
      <c r="AH109">
        <v>0</v>
      </c>
      <c r="AI109">
        <f xml:space="preserve"> INDEX(Table3[[#All],[Intensity]], Table13[[#This Row],[int'[0']]]+2)</f>
        <v>0</v>
      </c>
      <c r="AJ109">
        <f>Table13[[#This Row],[duration'[0']]]*Table13[[#This Row],[intensity'[0']]]</f>
        <v>0</v>
      </c>
      <c r="AK109">
        <f>MOD(Table13[[#This Row],[ZMW num]], 4)</f>
        <v>0</v>
      </c>
      <c r="AL109">
        <v>0</v>
      </c>
      <c r="AM109">
        <f>MAX($D$2, Table13[[#This Row],[t1'[1']]])</f>
        <v>0</v>
      </c>
      <c r="AN109">
        <v>0</v>
      </c>
      <c r="AO109">
        <f>Table13[[#This Row],[t1'[1']]]+Table13[[#This Row],[dt'[1']]]</f>
        <v>0</v>
      </c>
      <c r="AP109">
        <f>MIN($C$2, Table13[[#This Row],[tf'[1']]])</f>
        <v>0</v>
      </c>
      <c r="AQ109">
        <f>Table13[[#This Row],[time2'[1']]]-Table13[[#This Row],[time1'[1']]]</f>
        <v>0</v>
      </c>
      <c r="AR109">
        <v>0</v>
      </c>
      <c r="AS109">
        <f xml:space="preserve"> INDEX(Table3[[#All],[Intensity]], Table13[[#This Row],[int'[1']]]+2)</f>
        <v>0</v>
      </c>
      <c r="AT109">
        <f>Table13[[#This Row],[duration'[1']]]*Table13[[#This Row],[intensity'[1']]]</f>
        <v>0</v>
      </c>
      <c r="AU109">
        <f>MOD(Table13[[#This Row],[ZMW num]]+1, 4)</f>
        <v>1</v>
      </c>
      <c r="AV109">
        <v>0</v>
      </c>
      <c r="AW109">
        <f>MAX($D$2, Table13[[#This Row],[t1'[2']]])</f>
        <v>0</v>
      </c>
      <c r="AX109">
        <v>0</v>
      </c>
      <c r="AY109">
        <f>Table13[[#This Row],[t1'[2']]]+Table13[[#This Row],[dt'[2']]]</f>
        <v>0</v>
      </c>
      <c r="AZ109">
        <f>MIN($C$2, Table13[[#This Row],[tf'[2']]])</f>
        <v>0</v>
      </c>
      <c r="BA109">
        <f>Table13[[#This Row],[time2'[2']]]-Table13[[#This Row],[time1'[2']]]</f>
        <v>0</v>
      </c>
      <c r="BB109">
        <v>0</v>
      </c>
      <c r="BC109">
        <f xml:space="preserve"> INDEX(Table3[[#All],[Intensity]], Table13[[#This Row],[int'[2']]]+2)</f>
        <v>0</v>
      </c>
      <c r="BD109">
        <f>Table13[[#This Row],[duration'[2']]]*Table13[[#This Row],[intensity'[2']]]</f>
        <v>0</v>
      </c>
      <c r="BE109">
        <f>MOD(Table13[[#This Row],[ZMW num]]+2, 4)</f>
        <v>2</v>
      </c>
      <c r="BF109" s="2" t="str">
        <f>Single2String(Table13[[#This Row],[t1'[0']]])</f>
        <v>00000000</v>
      </c>
      <c r="BG109" s="1" t="str">
        <f>Single2String(Table13[[#This Row],[dt'[0']]])</f>
        <v>00000000</v>
      </c>
      <c r="BH109" s="1" t="str">
        <f>Single2String(Table13[[#This Row],[t1'[1']]])</f>
        <v>00000000</v>
      </c>
      <c r="BI109" s="1" t="str">
        <f>Single2String(Table13[[#This Row],[dt'[1']]])</f>
        <v>00000000</v>
      </c>
      <c r="BJ109" s="1" t="str">
        <f>Single2String(Table13[[#This Row],[t1'[2']]])</f>
        <v>00000000</v>
      </c>
      <c r="BK109" s="1" t="str">
        <f>Single2String(Table13[[#This Row],[dt'[2']]])</f>
        <v>00000000</v>
      </c>
      <c r="BL109" s="1" t="str">
        <f>DEC2HEX(Table13[[#This Row],[ZMW num]], 6)</f>
        <v>000068</v>
      </c>
      <c r="BM109" s="1">
        <f>LEN(Table13[[#This Row],[DRAM data]])</f>
        <v>64</v>
      </c>
      <c r="BN10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0000000000000000000000000000000000000000000000000010200000006800</v>
      </c>
      <c r="CU109"/>
    </row>
    <row r="110" spans="1:99" x14ac:dyDescent="0.25">
      <c r="A110" t="str">
        <f>Single2String(Table13[[#This Row],[duration'[0']]])</f>
        <v>00000000</v>
      </c>
      <c r="B110" t="str">
        <f>Single2String(Table13[[#This Row],[duration'[1']]])</f>
        <v>00000000</v>
      </c>
      <c r="C110" t="str">
        <f>Single2String(Table13[[#This Row],[duration'[2']]])</f>
        <v>00000000</v>
      </c>
      <c r="D110" t="str">
        <f>INDEX(Table3[Hex], Table13[[#This Row],[int'[0']]]+1)</f>
        <v>00000000</v>
      </c>
      <c r="E110" t="str">
        <f>INDEX(Table3[Hex], Table13[[#This Row],[int'[1']]]+1)</f>
        <v>00000000</v>
      </c>
      <c r="F110" t="str">
        <f>INDEX(Table3[Hex], Table13[[#This Row],[int'[1']]]+1)</f>
        <v>00000000</v>
      </c>
      <c r="G110" t="str">
        <f>Single2String(Table13[[#This Row],[c ktrace]])</f>
        <v>00000000</v>
      </c>
      <c r="H110" t="str">
        <f>Single2String(Table13[[#This Row],[a ktrace]])</f>
        <v>00000000</v>
      </c>
      <c r="I110" t="str">
        <f>Single2String(Table13[[#This Row],[g ktrace]])</f>
        <v>00000000</v>
      </c>
      <c r="J110" t="str">
        <f>Single2String(Table13[[#This Row],[t ktrace]])</f>
        <v>00000000</v>
      </c>
      <c r="K110" s="3">
        <v>105</v>
      </c>
      <c r="L110">
        <f>SUM(Table13[[#This Row],[c ktrace'[2']]:[c ktrace'[0']]])</f>
        <v>0</v>
      </c>
      <c r="M110">
        <f>SUM(Table13[[#This Row],[a ktrace'[2']]:[a ktrace'[0']]])</f>
        <v>0</v>
      </c>
      <c r="N110">
        <f>SUM(Table13[[#This Row],[g ktrace'[2']]:[g ktrace'[0']]])</f>
        <v>0</v>
      </c>
      <c r="O110">
        <f>SUM(Table13[[#This Row],[t ktrace'[2']]:[t ktrace'[0']]])</f>
        <v>0</v>
      </c>
      <c r="P110">
        <f xml:space="preserve"> IF(Table13[[#This Row],[dye'[2']]]=3, Table13[[#This Row],[strength'[2']]], 0)</f>
        <v>0</v>
      </c>
      <c r="Q110">
        <f xml:space="preserve"> IF(Table13[[#This Row],[dye'[1']]]=3, Table13[[#This Row],[strength'[1']]], 0)</f>
        <v>0</v>
      </c>
      <c r="R110">
        <f xml:space="preserve"> IF(Table13[[#This Row],[dye'[0']]]=3, Table13[[#This Row],[strength'[0']]], 0)</f>
        <v>0</v>
      </c>
      <c r="S110">
        <f xml:space="preserve"> IF(Table13[[#This Row],[dye'[2']]]=2, Table13[[#This Row],[strength'[2']]], 0)</f>
        <v>0</v>
      </c>
      <c r="T110">
        <f xml:space="preserve"> IF(Table13[[#This Row],[dye'[1']]]=2, Table13[[#This Row],[strength'[1']]], 0)</f>
        <v>0</v>
      </c>
      <c r="U110">
        <f xml:space="preserve"> IF(Table13[[#This Row],[dye'[0']]]=2, Table13[[#This Row],[strength'[0']]], 0)</f>
        <v>0</v>
      </c>
      <c r="V110">
        <f xml:space="preserve"> IF(Table13[[#This Row],[dye'[2']]]=1, Table13[[#This Row],[strength'[2']]], 0)</f>
        <v>0</v>
      </c>
      <c r="W110">
        <f xml:space="preserve"> IF(Table13[[#This Row],[dye'[1']]]=1, Table13[[#This Row],[strength'[1']]], 0)</f>
        <v>0</v>
      </c>
      <c r="X110">
        <f xml:space="preserve"> IF(Table13[[#This Row],[dye'[0']]]=1, Table13[[#This Row],[strength'[0']]], 0)</f>
        <v>0</v>
      </c>
      <c r="Y110">
        <f xml:space="preserve"> IF(Table13[[#This Row],[dye'[2']]]=0, Table13[[#This Row],[strength'[2']]], 0)</f>
        <v>0</v>
      </c>
      <c r="Z110">
        <f xml:space="preserve"> IF(Table13[[#This Row],[dye'[1']]]=0, Table13[[#This Row],[strength'[1']]], 0)</f>
        <v>0</v>
      </c>
      <c r="AA110">
        <f xml:space="preserve"> IF(Table13[[#This Row],[dye'[0']]]=0, Table13[[#This Row],[strength'[0']]], 0)</f>
        <v>0</v>
      </c>
      <c r="AB110">
        <v>0</v>
      </c>
      <c r="AC110">
        <f>MAX($D$2, Table13[[#This Row],[t1'[0']]])</f>
        <v>0</v>
      </c>
      <c r="AD110">
        <v>0</v>
      </c>
      <c r="AE110">
        <f>Table13[[#This Row],[t1'[0']]]+Table13[[#This Row],[dt'[0']]]</f>
        <v>0</v>
      </c>
      <c r="AF110">
        <f>MIN($C$2, Table13[[#This Row],[tf'[0']]])</f>
        <v>0</v>
      </c>
      <c r="AG110">
        <f>Table13[[#This Row],[time2'[0']]]-Table13[[#This Row],[time1'[0']]]</f>
        <v>0</v>
      </c>
      <c r="AH110">
        <v>0</v>
      </c>
      <c r="AI110">
        <f xml:space="preserve"> INDEX(Table3[[#All],[Intensity]], Table13[[#This Row],[int'[0']]]+2)</f>
        <v>0</v>
      </c>
      <c r="AJ110">
        <f>Table13[[#This Row],[duration'[0']]]*Table13[[#This Row],[intensity'[0']]]</f>
        <v>0</v>
      </c>
      <c r="AK110">
        <f>MOD(Table13[[#This Row],[ZMW num]], 4)</f>
        <v>1</v>
      </c>
      <c r="AL110">
        <v>0</v>
      </c>
      <c r="AM110">
        <f>MAX($D$2, Table13[[#This Row],[t1'[1']]])</f>
        <v>0</v>
      </c>
      <c r="AN110">
        <v>0</v>
      </c>
      <c r="AO110">
        <f>Table13[[#This Row],[t1'[1']]]+Table13[[#This Row],[dt'[1']]]</f>
        <v>0</v>
      </c>
      <c r="AP110">
        <f>MIN($C$2, Table13[[#This Row],[tf'[1']]])</f>
        <v>0</v>
      </c>
      <c r="AQ110">
        <f>Table13[[#This Row],[time2'[1']]]-Table13[[#This Row],[time1'[1']]]</f>
        <v>0</v>
      </c>
      <c r="AR110">
        <v>0</v>
      </c>
      <c r="AS110">
        <f xml:space="preserve"> INDEX(Table3[[#All],[Intensity]], Table13[[#This Row],[int'[1']]]+2)</f>
        <v>0</v>
      </c>
      <c r="AT110">
        <f>Table13[[#This Row],[duration'[1']]]*Table13[[#This Row],[intensity'[1']]]</f>
        <v>0</v>
      </c>
      <c r="AU110">
        <f>MOD(Table13[[#This Row],[ZMW num]]+1, 4)</f>
        <v>2</v>
      </c>
      <c r="AV110">
        <v>0</v>
      </c>
      <c r="AW110">
        <f>MAX($D$2, Table13[[#This Row],[t1'[2']]])</f>
        <v>0</v>
      </c>
      <c r="AX110">
        <v>0</v>
      </c>
      <c r="AY110">
        <f>Table13[[#This Row],[t1'[2']]]+Table13[[#This Row],[dt'[2']]]</f>
        <v>0</v>
      </c>
      <c r="AZ110">
        <f>MIN($C$2, Table13[[#This Row],[tf'[2']]])</f>
        <v>0</v>
      </c>
      <c r="BA110">
        <f>Table13[[#This Row],[time2'[2']]]-Table13[[#This Row],[time1'[2']]]</f>
        <v>0</v>
      </c>
      <c r="BB110">
        <v>0</v>
      </c>
      <c r="BC110">
        <f xml:space="preserve"> INDEX(Table3[[#All],[Intensity]], Table13[[#This Row],[int'[2']]]+2)</f>
        <v>0</v>
      </c>
      <c r="BD110">
        <f>Table13[[#This Row],[duration'[2']]]*Table13[[#This Row],[intensity'[2']]]</f>
        <v>0</v>
      </c>
      <c r="BE110">
        <f>MOD(Table13[[#This Row],[ZMW num]]+2, 4)</f>
        <v>3</v>
      </c>
      <c r="BF110" s="2" t="str">
        <f>Single2String(Table13[[#This Row],[t1'[0']]])</f>
        <v>00000000</v>
      </c>
      <c r="BG110" s="1" t="str">
        <f>Single2String(Table13[[#This Row],[dt'[0']]])</f>
        <v>00000000</v>
      </c>
      <c r="BH110" s="1" t="str">
        <f>Single2String(Table13[[#This Row],[t1'[1']]])</f>
        <v>00000000</v>
      </c>
      <c r="BI110" s="1" t="str">
        <f>Single2String(Table13[[#This Row],[dt'[1']]])</f>
        <v>00000000</v>
      </c>
      <c r="BJ110" s="1" t="str">
        <f>Single2String(Table13[[#This Row],[t1'[2']]])</f>
        <v>00000000</v>
      </c>
      <c r="BK110" s="1" t="str">
        <f>Single2String(Table13[[#This Row],[dt'[2']]])</f>
        <v>00000000</v>
      </c>
      <c r="BL110" s="1" t="str">
        <f>DEC2HEX(Table13[[#This Row],[ZMW num]], 6)</f>
        <v>000069</v>
      </c>
      <c r="BM110" s="1">
        <f>LEN(Table13[[#This Row],[DRAM data]])</f>
        <v>64</v>
      </c>
      <c r="BN11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0000000000000000000000000000000000000000000000001020300000006900</v>
      </c>
      <c r="CU110"/>
    </row>
    <row r="111" spans="1:99" x14ac:dyDescent="0.25">
      <c r="A111" t="str">
        <f>Single2String(Table13[[#This Row],[duration'[0']]])</f>
        <v>00000000</v>
      </c>
      <c r="B111" t="str">
        <f>Single2String(Table13[[#This Row],[duration'[1']]])</f>
        <v>00000000</v>
      </c>
      <c r="C111" t="str">
        <f>Single2String(Table13[[#This Row],[duration'[2']]])</f>
        <v>00000000</v>
      </c>
      <c r="D111" t="str">
        <f>INDEX(Table3[Hex], Table13[[#This Row],[int'[0']]]+1)</f>
        <v>00000000</v>
      </c>
      <c r="E111" t="str">
        <f>INDEX(Table3[Hex], Table13[[#This Row],[int'[1']]]+1)</f>
        <v>00000000</v>
      </c>
      <c r="F111" t="str">
        <f>INDEX(Table3[Hex], Table13[[#This Row],[int'[1']]]+1)</f>
        <v>00000000</v>
      </c>
      <c r="G111" t="str">
        <f>Single2String(Table13[[#This Row],[c ktrace]])</f>
        <v>00000000</v>
      </c>
      <c r="H111" t="str">
        <f>Single2String(Table13[[#This Row],[a ktrace]])</f>
        <v>00000000</v>
      </c>
      <c r="I111" t="str">
        <f>Single2String(Table13[[#This Row],[g ktrace]])</f>
        <v>00000000</v>
      </c>
      <c r="J111" t="str">
        <f>Single2String(Table13[[#This Row],[t ktrace]])</f>
        <v>00000000</v>
      </c>
      <c r="K111" s="3">
        <v>106</v>
      </c>
      <c r="L111">
        <f>SUM(Table13[[#This Row],[c ktrace'[2']]:[c ktrace'[0']]])</f>
        <v>0</v>
      </c>
      <c r="M111">
        <f>SUM(Table13[[#This Row],[a ktrace'[2']]:[a ktrace'[0']]])</f>
        <v>0</v>
      </c>
      <c r="N111">
        <f>SUM(Table13[[#This Row],[g ktrace'[2']]:[g ktrace'[0']]])</f>
        <v>0</v>
      </c>
      <c r="O111">
        <f>SUM(Table13[[#This Row],[t ktrace'[2']]:[t ktrace'[0']]])</f>
        <v>0</v>
      </c>
      <c r="P111">
        <f xml:space="preserve"> IF(Table13[[#This Row],[dye'[2']]]=3, Table13[[#This Row],[strength'[2']]], 0)</f>
        <v>0</v>
      </c>
      <c r="Q111">
        <f xml:space="preserve"> IF(Table13[[#This Row],[dye'[1']]]=3, Table13[[#This Row],[strength'[1']]], 0)</f>
        <v>0</v>
      </c>
      <c r="R111">
        <f xml:space="preserve"> IF(Table13[[#This Row],[dye'[0']]]=3, Table13[[#This Row],[strength'[0']]], 0)</f>
        <v>0</v>
      </c>
      <c r="S111">
        <f xml:space="preserve"> IF(Table13[[#This Row],[dye'[2']]]=2, Table13[[#This Row],[strength'[2']]], 0)</f>
        <v>0</v>
      </c>
      <c r="T111">
        <f xml:space="preserve"> IF(Table13[[#This Row],[dye'[1']]]=2, Table13[[#This Row],[strength'[1']]], 0)</f>
        <v>0</v>
      </c>
      <c r="U111">
        <f xml:space="preserve"> IF(Table13[[#This Row],[dye'[0']]]=2, Table13[[#This Row],[strength'[0']]], 0)</f>
        <v>0</v>
      </c>
      <c r="V111">
        <f xml:space="preserve"> IF(Table13[[#This Row],[dye'[2']]]=1, Table13[[#This Row],[strength'[2']]], 0)</f>
        <v>0</v>
      </c>
      <c r="W111">
        <f xml:space="preserve"> IF(Table13[[#This Row],[dye'[1']]]=1, Table13[[#This Row],[strength'[1']]], 0)</f>
        <v>0</v>
      </c>
      <c r="X111">
        <f xml:space="preserve"> IF(Table13[[#This Row],[dye'[0']]]=1, Table13[[#This Row],[strength'[0']]], 0)</f>
        <v>0</v>
      </c>
      <c r="Y111">
        <f xml:space="preserve"> IF(Table13[[#This Row],[dye'[2']]]=0, Table13[[#This Row],[strength'[2']]], 0)</f>
        <v>0</v>
      </c>
      <c r="Z111">
        <f xml:space="preserve"> IF(Table13[[#This Row],[dye'[1']]]=0, Table13[[#This Row],[strength'[1']]], 0)</f>
        <v>0</v>
      </c>
      <c r="AA111">
        <f xml:space="preserve"> IF(Table13[[#This Row],[dye'[0']]]=0, Table13[[#This Row],[strength'[0']]], 0)</f>
        <v>0</v>
      </c>
      <c r="AB111">
        <v>0</v>
      </c>
      <c r="AC111">
        <f>MAX($D$2, Table13[[#This Row],[t1'[0']]])</f>
        <v>0</v>
      </c>
      <c r="AD111">
        <v>0</v>
      </c>
      <c r="AE111">
        <f>Table13[[#This Row],[t1'[0']]]+Table13[[#This Row],[dt'[0']]]</f>
        <v>0</v>
      </c>
      <c r="AF111">
        <f>MIN($C$2, Table13[[#This Row],[tf'[0']]])</f>
        <v>0</v>
      </c>
      <c r="AG111">
        <f>Table13[[#This Row],[time2'[0']]]-Table13[[#This Row],[time1'[0']]]</f>
        <v>0</v>
      </c>
      <c r="AH111">
        <v>0</v>
      </c>
      <c r="AI111">
        <f xml:space="preserve"> INDEX(Table3[[#All],[Intensity]], Table13[[#This Row],[int'[0']]]+2)</f>
        <v>0</v>
      </c>
      <c r="AJ111">
        <f>Table13[[#This Row],[duration'[0']]]*Table13[[#This Row],[intensity'[0']]]</f>
        <v>0</v>
      </c>
      <c r="AK111">
        <f>MOD(Table13[[#This Row],[ZMW num]], 4)</f>
        <v>2</v>
      </c>
      <c r="AL111">
        <v>0</v>
      </c>
      <c r="AM111">
        <f>MAX($D$2, Table13[[#This Row],[t1'[1']]])</f>
        <v>0</v>
      </c>
      <c r="AN111">
        <v>0</v>
      </c>
      <c r="AO111">
        <f>Table13[[#This Row],[t1'[1']]]+Table13[[#This Row],[dt'[1']]]</f>
        <v>0</v>
      </c>
      <c r="AP111">
        <f>MIN($C$2, Table13[[#This Row],[tf'[1']]])</f>
        <v>0</v>
      </c>
      <c r="AQ111">
        <f>Table13[[#This Row],[time2'[1']]]-Table13[[#This Row],[time1'[1']]]</f>
        <v>0</v>
      </c>
      <c r="AR111">
        <v>0</v>
      </c>
      <c r="AS111">
        <f xml:space="preserve"> INDEX(Table3[[#All],[Intensity]], Table13[[#This Row],[int'[1']]]+2)</f>
        <v>0</v>
      </c>
      <c r="AT111">
        <f>Table13[[#This Row],[duration'[1']]]*Table13[[#This Row],[intensity'[1']]]</f>
        <v>0</v>
      </c>
      <c r="AU111">
        <f>MOD(Table13[[#This Row],[ZMW num]]+1, 4)</f>
        <v>3</v>
      </c>
      <c r="AV111">
        <v>0</v>
      </c>
      <c r="AW111">
        <f>MAX($D$2, Table13[[#This Row],[t1'[2']]])</f>
        <v>0</v>
      </c>
      <c r="AX111">
        <v>0</v>
      </c>
      <c r="AY111">
        <f>Table13[[#This Row],[t1'[2']]]+Table13[[#This Row],[dt'[2']]]</f>
        <v>0</v>
      </c>
      <c r="AZ111">
        <f>MIN($C$2, Table13[[#This Row],[tf'[2']]])</f>
        <v>0</v>
      </c>
      <c r="BA111">
        <f>Table13[[#This Row],[time2'[2']]]-Table13[[#This Row],[time1'[2']]]</f>
        <v>0</v>
      </c>
      <c r="BB111">
        <v>0</v>
      </c>
      <c r="BC111">
        <f xml:space="preserve"> INDEX(Table3[[#All],[Intensity]], Table13[[#This Row],[int'[2']]]+2)</f>
        <v>0</v>
      </c>
      <c r="BD111">
        <f>Table13[[#This Row],[duration'[2']]]*Table13[[#This Row],[intensity'[2']]]</f>
        <v>0</v>
      </c>
      <c r="BE111">
        <f>MOD(Table13[[#This Row],[ZMW num]]+2, 4)</f>
        <v>0</v>
      </c>
      <c r="BF111" s="2" t="str">
        <f>Single2String(Table13[[#This Row],[t1'[0']]])</f>
        <v>00000000</v>
      </c>
      <c r="BG111" s="1" t="str">
        <f>Single2String(Table13[[#This Row],[dt'[0']]])</f>
        <v>00000000</v>
      </c>
      <c r="BH111" s="1" t="str">
        <f>Single2String(Table13[[#This Row],[t1'[1']]])</f>
        <v>00000000</v>
      </c>
      <c r="BI111" s="1" t="str">
        <f>Single2String(Table13[[#This Row],[dt'[1']]])</f>
        <v>00000000</v>
      </c>
      <c r="BJ111" s="1" t="str">
        <f>Single2String(Table13[[#This Row],[t1'[2']]])</f>
        <v>00000000</v>
      </c>
      <c r="BK111" s="1" t="str">
        <f>Single2String(Table13[[#This Row],[dt'[2']]])</f>
        <v>00000000</v>
      </c>
      <c r="BL111" s="1" t="str">
        <f>DEC2HEX(Table13[[#This Row],[ZMW num]], 6)</f>
        <v>00006A</v>
      </c>
      <c r="BM111" s="1">
        <f>LEN(Table13[[#This Row],[DRAM data]])</f>
        <v>64</v>
      </c>
      <c r="BN11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0000000000000000000000000000000000000000000000002030000000006A00</v>
      </c>
      <c r="CU111"/>
    </row>
    <row r="112" spans="1:99" x14ac:dyDescent="0.25">
      <c r="A112" t="str">
        <f>Single2String(Table13[[#This Row],[duration'[0']]])</f>
        <v>00000000</v>
      </c>
      <c r="B112" t="str">
        <f>Single2String(Table13[[#This Row],[duration'[1']]])</f>
        <v>00000000</v>
      </c>
      <c r="C112" t="str">
        <f>Single2String(Table13[[#This Row],[duration'[2']]])</f>
        <v>00000000</v>
      </c>
      <c r="D112" t="str">
        <f>INDEX(Table3[Hex], Table13[[#This Row],[int'[0']]]+1)</f>
        <v>00000000</v>
      </c>
      <c r="E112" t="str">
        <f>INDEX(Table3[Hex], Table13[[#This Row],[int'[1']]]+1)</f>
        <v>00000000</v>
      </c>
      <c r="F112" t="str">
        <f>INDEX(Table3[Hex], Table13[[#This Row],[int'[1']]]+1)</f>
        <v>00000000</v>
      </c>
      <c r="G112" t="str">
        <f>Single2String(Table13[[#This Row],[c ktrace]])</f>
        <v>00000000</v>
      </c>
      <c r="H112" t="str">
        <f>Single2String(Table13[[#This Row],[a ktrace]])</f>
        <v>00000000</v>
      </c>
      <c r="I112" t="str">
        <f>Single2String(Table13[[#This Row],[g ktrace]])</f>
        <v>00000000</v>
      </c>
      <c r="J112" t="str">
        <f>Single2String(Table13[[#This Row],[t ktrace]])</f>
        <v>00000000</v>
      </c>
      <c r="K112" s="3">
        <v>107</v>
      </c>
      <c r="L112">
        <f>SUM(Table13[[#This Row],[c ktrace'[2']]:[c ktrace'[0']]])</f>
        <v>0</v>
      </c>
      <c r="M112">
        <f>SUM(Table13[[#This Row],[a ktrace'[2']]:[a ktrace'[0']]])</f>
        <v>0</v>
      </c>
      <c r="N112">
        <f>SUM(Table13[[#This Row],[g ktrace'[2']]:[g ktrace'[0']]])</f>
        <v>0</v>
      </c>
      <c r="O112">
        <f>SUM(Table13[[#This Row],[t ktrace'[2']]:[t ktrace'[0']]])</f>
        <v>0</v>
      </c>
      <c r="P112">
        <f xml:space="preserve"> IF(Table13[[#This Row],[dye'[2']]]=3, Table13[[#This Row],[strength'[2']]], 0)</f>
        <v>0</v>
      </c>
      <c r="Q112">
        <f xml:space="preserve"> IF(Table13[[#This Row],[dye'[1']]]=3, Table13[[#This Row],[strength'[1']]], 0)</f>
        <v>0</v>
      </c>
      <c r="R112">
        <f xml:space="preserve"> IF(Table13[[#This Row],[dye'[0']]]=3, Table13[[#This Row],[strength'[0']]], 0)</f>
        <v>0</v>
      </c>
      <c r="S112">
        <f xml:space="preserve"> IF(Table13[[#This Row],[dye'[2']]]=2, Table13[[#This Row],[strength'[2']]], 0)</f>
        <v>0</v>
      </c>
      <c r="T112">
        <f xml:space="preserve"> IF(Table13[[#This Row],[dye'[1']]]=2, Table13[[#This Row],[strength'[1']]], 0)</f>
        <v>0</v>
      </c>
      <c r="U112">
        <f xml:space="preserve"> IF(Table13[[#This Row],[dye'[0']]]=2, Table13[[#This Row],[strength'[0']]], 0)</f>
        <v>0</v>
      </c>
      <c r="V112">
        <f xml:space="preserve"> IF(Table13[[#This Row],[dye'[2']]]=1, Table13[[#This Row],[strength'[2']]], 0)</f>
        <v>0</v>
      </c>
      <c r="W112">
        <f xml:space="preserve"> IF(Table13[[#This Row],[dye'[1']]]=1, Table13[[#This Row],[strength'[1']]], 0)</f>
        <v>0</v>
      </c>
      <c r="X112">
        <f xml:space="preserve"> IF(Table13[[#This Row],[dye'[0']]]=1, Table13[[#This Row],[strength'[0']]], 0)</f>
        <v>0</v>
      </c>
      <c r="Y112">
        <f xml:space="preserve"> IF(Table13[[#This Row],[dye'[2']]]=0, Table13[[#This Row],[strength'[2']]], 0)</f>
        <v>0</v>
      </c>
      <c r="Z112">
        <f xml:space="preserve"> IF(Table13[[#This Row],[dye'[1']]]=0, Table13[[#This Row],[strength'[1']]], 0)</f>
        <v>0</v>
      </c>
      <c r="AA112">
        <f xml:space="preserve"> IF(Table13[[#This Row],[dye'[0']]]=0, Table13[[#This Row],[strength'[0']]], 0)</f>
        <v>0</v>
      </c>
      <c r="AB112">
        <v>0</v>
      </c>
      <c r="AC112">
        <f>MAX($D$2, Table13[[#This Row],[t1'[0']]])</f>
        <v>0</v>
      </c>
      <c r="AD112">
        <v>0</v>
      </c>
      <c r="AE112">
        <f>Table13[[#This Row],[t1'[0']]]+Table13[[#This Row],[dt'[0']]]</f>
        <v>0</v>
      </c>
      <c r="AF112">
        <f>MIN($C$2, Table13[[#This Row],[tf'[0']]])</f>
        <v>0</v>
      </c>
      <c r="AG112">
        <f>Table13[[#This Row],[time2'[0']]]-Table13[[#This Row],[time1'[0']]]</f>
        <v>0</v>
      </c>
      <c r="AH112">
        <v>0</v>
      </c>
      <c r="AI112">
        <f xml:space="preserve"> INDEX(Table3[[#All],[Intensity]], Table13[[#This Row],[int'[0']]]+2)</f>
        <v>0</v>
      </c>
      <c r="AJ112">
        <f>Table13[[#This Row],[duration'[0']]]*Table13[[#This Row],[intensity'[0']]]</f>
        <v>0</v>
      </c>
      <c r="AK112">
        <f>MOD(Table13[[#This Row],[ZMW num]], 4)</f>
        <v>3</v>
      </c>
      <c r="AL112">
        <v>0</v>
      </c>
      <c r="AM112">
        <f>MAX($D$2, Table13[[#This Row],[t1'[1']]])</f>
        <v>0</v>
      </c>
      <c r="AN112">
        <v>0</v>
      </c>
      <c r="AO112">
        <f>Table13[[#This Row],[t1'[1']]]+Table13[[#This Row],[dt'[1']]]</f>
        <v>0</v>
      </c>
      <c r="AP112">
        <f>MIN($C$2, Table13[[#This Row],[tf'[1']]])</f>
        <v>0</v>
      </c>
      <c r="AQ112">
        <f>Table13[[#This Row],[time2'[1']]]-Table13[[#This Row],[time1'[1']]]</f>
        <v>0</v>
      </c>
      <c r="AR112">
        <v>0</v>
      </c>
      <c r="AS112">
        <f xml:space="preserve"> INDEX(Table3[[#All],[Intensity]], Table13[[#This Row],[int'[1']]]+2)</f>
        <v>0</v>
      </c>
      <c r="AT112">
        <f>Table13[[#This Row],[duration'[1']]]*Table13[[#This Row],[intensity'[1']]]</f>
        <v>0</v>
      </c>
      <c r="AU112">
        <f>MOD(Table13[[#This Row],[ZMW num]]+1, 4)</f>
        <v>0</v>
      </c>
      <c r="AV112">
        <v>0</v>
      </c>
      <c r="AW112">
        <f>MAX($D$2, Table13[[#This Row],[t1'[2']]])</f>
        <v>0</v>
      </c>
      <c r="AX112">
        <v>0</v>
      </c>
      <c r="AY112">
        <f>Table13[[#This Row],[t1'[2']]]+Table13[[#This Row],[dt'[2']]]</f>
        <v>0</v>
      </c>
      <c r="AZ112">
        <f>MIN($C$2, Table13[[#This Row],[tf'[2']]])</f>
        <v>0</v>
      </c>
      <c r="BA112">
        <f>Table13[[#This Row],[time2'[2']]]-Table13[[#This Row],[time1'[2']]]</f>
        <v>0</v>
      </c>
      <c r="BB112">
        <v>0</v>
      </c>
      <c r="BC112">
        <f xml:space="preserve"> INDEX(Table3[[#All],[Intensity]], Table13[[#This Row],[int'[2']]]+2)</f>
        <v>0</v>
      </c>
      <c r="BD112">
        <f>Table13[[#This Row],[duration'[2']]]*Table13[[#This Row],[intensity'[2']]]</f>
        <v>0</v>
      </c>
      <c r="BE112">
        <f>MOD(Table13[[#This Row],[ZMW num]]+2, 4)</f>
        <v>1</v>
      </c>
      <c r="BF112" s="2" t="str">
        <f>Single2String(Table13[[#This Row],[t1'[0']]])</f>
        <v>00000000</v>
      </c>
      <c r="BG112" s="1" t="str">
        <f>Single2String(Table13[[#This Row],[dt'[0']]])</f>
        <v>00000000</v>
      </c>
      <c r="BH112" s="1" t="str">
        <f>Single2String(Table13[[#This Row],[t1'[1']]])</f>
        <v>00000000</v>
      </c>
      <c r="BI112" s="1" t="str">
        <f>Single2String(Table13[[#This Row],[dt'[1']]])</f>
        <v>00000000</v>
      </c>
      <c r="BJ112" s="1" t="str">
        <f>Single2String(Table13[[#This Row],[t1'[2']]])</f>
        <v>00000000</v>
      </c>
      <c r="BK112" s="1" t="str">
        <f>Single2String(Table13[[#This Row],[dt'[2']]])</f>
        <v>00000000</v>
      </c>
      <c r="BL112" s="1" t="str">
        <f>DEC2HEX(Table13[[#This Row],[ZMW num]], 6)</f>
        <v>00006B</v>
      </c>
      <c r="BM112" s="1">
        <f>LEN(Table13[[#This Row],[DRAM data]])</f>
        <v>64</v>
      </c>
      <c r="BN11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0000000000000000000000000000000000000000000000003000100000006B00</v>
      </c>
      <c r="CU112"/>
    </row>
    <row r="113" spans="1:99" x14ac:dyDescent="0.25">
      <c r="A113" t="str">
        <f>Single2String(Table13[[#This Row],[duration'[0']]])</f>
        <v>00000000</v>
      </c>
      <c r="B113" t="str">
        <f>Single2String(Table13[[#This Row],[duration'[1']]])</f>
        <v>00000000</v>
      </c>
      <c r="C113" t="str">
        <f>Single2String(Table13[[#This Row],[duration'[2']]])</f>
        <v>00000000</v>
      </c>
      <c r="D113" t="str">
        <f>INDEX(Table3[Hex], Table13[[#This Row],[int'[0']]]+1)</f>
        <v>00000000</v>
      </c>
      <c r="E113" t="str">
        <f>INDEX(Table3[Hex], Table13[[#This Row],[int'[1']]]+1)</f>
        <v>00000000</v>
      </c>
      <c r="F113" t="str">
        <f>INDEX(Table3[Hex], Table13[[#This Row],[int'[1']]]+1)</f>
        <v>00000000</v>
      </c>
      <c r="G113" t="str">
        <f>Single2String(Table13[[#This Row],[c ktrace]])</f>
        <v>00000000</v>
      </c>
      <c r="H113" t="str">
        <f>Single2String(Table13[[#This Row],[a ktrace]])</f>
        <v>00000000</v>
      </c>
      <c r="I113" t="str">
        <f>Single2String(Table13[[#This Row],[g ktrace]])</f>
        <v>00000000</v>
      </c>
      <c r="J113" t="str">
        <f>Single2String(Table13[[#This Row],[t ktrace]])</f>
        <v>00000000</v>
      </c>
      <c r="K113" s="3">
        <v>108</v>
      </c>
      <c r="L113">
        <f>SUM(Table13[[#This Row],[c ktrace'[2']]:[c ktrace'[0']]])</f>
        <v>0</v>
      </c>
      <c r="M113">
        <f>SUM(Table13[[#This Row],[a ktrace'[2']]:[a ktrace'[0']]])</f>
        <v>0</v>
      </c>
      <c r="N113">
        <f>SUM(Table13[[#This Row],[g ktrace'[2']]:[g ktrace'[0']]])</f>
        <v>0</v>
      </c>
      <c r="O113">
        <f>SUM(Table13[[#This Row],[t ktrace'[2']]:[t ktrace'[0']]])</f>
        <v>0</v>
      </c>
      <c r="P113">
        <f xml:space="preserve"> IF(Table13[[#This Row],[dye'[2']]]=3, Table13[[#This Row],[strength'[2']]], 0)</f>
        <v>0</v>
      </c>
      <c r="Q113">
        <f xml:space="preserve"> IF(Table13[[#This Row],[dye'[1']]]=3, Table13[[#This Row],[strength'[1']]], 0)</f>
        <v>0</v>
      </c>
      <c r="R113">
        <f xml:space="preserve"> IF(Table13[[#This Row],[dye'[0']]]=3, Table13[[#This Row],[strength'[0']]], 0)</f>
        <v>0</v>
      </c>
      <c r="S113">
        <f xml:space="preserve"> IF(Table13[[#This Row],[dye'[2']]]=2, Table13[[#This Row],[strength'[2']]], 0)</f>
        <v>0</v>
      </c>
      <c r="T113">
        <f xml:space="preserve"> IF(Table13[[#This Row],[dye'[1']]]=2, Table13[[#This Row],[strength'[1']]], 0)</f>
        <v>0</v>
      </c>
      <c r="U113">
        <f xml:space="preserve"> IF(Table13[[#This Row],[dye'[0']]]=2, Table13[[#This Row],[strength'[0']]], 0)</f>
        <v>0</v>
      </c>
      <c r="V113">
        <f xml:space="preserve"> IF(Table13[[#This Row],[dye'[2']]]=1, Table13[[#This Row],[strength'[2']]], 0)</f>
        <v>0</v>
      </c>
      <c r="W113">
        <f xml:space="preserve"> IF(Table13[[#This Row],[dye'[1']]]=1, Table13[[#This Row],[strength'[1']]], 0)</f>
        <v>0</v>
      </c>
      <c r="X113">
        <f xml:space="preserve"> IF(Table13[[#This Row],[dye'[0']]]=1, Table13[[#This Row],[strength'[0']]], 0)</f>
        <v>0</v>
      </c>
      <c r="Y113">
        <f xml:space="preserve"> IF(Table13[[#This Row],[dye'[2']]]=0, Table13[[#This Row],[strength'[2']]], 0)</f>
        <v>0</v>
      </c>
      <c r="Z113">
        <f xml:space="preserve"> IF(Table13[[#This Row],[dye'[1']]]=0, Table13[[#This Row],[strength'[1']]], 0)</f>
        <v>0</v>
      </c>
      <c r="AA113">
        <f xml:space="preserve"> IF(Table13[[#This Row],[dye'[0']]]=0, Table13[[#This Row],[strength'[0']]], 0)</f>
        <v>0</v>
      </c>
      <c r="AB113">
        <v>0</v>
      </c>
      <c r="AC113">
        <f>MAX($D$2, Table13[[#This Row],[t1'[0']]])</f>
        <v>0</v>
      </c>
      <c r="AD113">
        <v>0</v>
      </c>
      <c r="AE113">
        <f>Table13[[#This Row],[t1'[0']]]+Table13[[#This Row],[dt'[0']]]</f>
        <v>0</v>
      </c>
      <c r="AF113">
        <f>MIN($C$2, Table13[[#This Row],[tf'[0']]])</f>
        <v>0</v>
      </c>
      <c r="AG113">
        <f>Table13[[#This Row],[time2'[0']]]-Table13[[#This Row],[time1'[0']]]</f>
        <v>0</v>
      </c>
      <c r="AH113">
        <v>0</v>
      </c>
      <c r="AI113">
        <f xml:space="preserve"> INDEX(Table3[[#All],[Intensity]], Table13[[#This Row],[int'[0']]]+2)</f>
        <v>0</v>
      </c>
      <c r="AJ113">
        <f>Table13[[#This Row],[duration'[0']]]*Table13[[#This Row],[intensity'[0']]]</f>
        <v>0</v>
      </c>
      <c r="AK113">
        <f>MOD(Table13[[#This Row],[ZMW num]], 4)</f>
        <v>0</v>
      </c>
      <c r="AL113">
        <v>0</v>
      </c>
      <c r="AM113">
        <f>MAX($D$2, Table13[[#This Row],[t1'[1']]])</f>
        <v>0</v>
      </c>
      <c r="AN113">
        <v>0</v>
      </c>
      <c r="AO113">
        <f>Table13[[#This Row],[t1'[1']]]+Table13[[#This Row],[dt'[1']]]</f>
        <v>0</v>
      </c>
      <c r="AP113">
        <f>MIN($C$2, Table13[[#This Row],[tf'[1']]])</f>
        <v>0</v>
      </c>
      <c r="AQ113">
        <f>Table13[[#This Row],[time2'[1']]]-Table13[[#This Row],[time1'[1']]]</f>
        <v>0</v>
      </c>
      <c r="AR113">
        <v>0</v>
      </c>
      <c r="AS113">
        <f xml:space="preserve"> INDEX(Table3[[#All],[Intensity]], Table13[[#This Row],[int'[1']]]+2)</f>
        <v>0</v>
      </c>
      <c r="AT113">
        <f>Table13[[#This Row],[duration'[1']]]*Table13[[#This Row],[intensity'[1']]]</f>
        <v>0</v>
      </c>
      <c r="AU113">
        <f>MOD(Table13[[#This Row],[ZMW num]]+1, 4)</f>
        <v>1</v>
      </c>
      <c r="AV113">
        <v>0</v>
      </c>
      <c r="AW113">
        <f>MAX($D$2, Table13[[#This Row],[t1'[2']]])</f>
        <v>0</v>
      </c>
      <c r="AX113">
        <v>0</v>
      </c>
      <c r="AY113">
        <f>Table13[[#This Row],[t1'[2']]]+Table13[[#This Row],[dt'[2']]]</f>
        <v>0</v>
      </c>
      <c r="AZ113">
        <f>MIN($C$2, Table13[[#This Row],[tf'[2']]])</f>
        <v>0</v>
      </c>
      <c r="BA113">
        <f>Table13[[#This Row],[time2'[2']]]-Table13[[#This Row],[time1'[2']]]</f>
        <v>0</v>
      </c>
      <c r="BB113">
        <v>0</v>
      </c>
      <c r="BC113">
        <f xml:space="preserve"> INDEX(Table3[[#All],[Intensity]], Table13[[#This Row],[int'[2']]]+2)</f>
        <v>0</v>
      </c>
      <c r="BD113">
        <f>Table13[[#This Row],[duration'[2']]]*Table13[[#This Row],[intensity'[2']]]</f>
        <v>0</v>
      </c>
      <c r="BE113">
        <f>MOD(Table13[[#This Row],[ZMW num]]+2, 4)</f>
        <v>2</v>
      </c>
      <c r="BF113" s="2" t="str">
        <f>Single2String(Table13[[#This Row],[t1'[0']]])</f>
        <v>00000000</v>
      </c>
      <c r="BG113" s="1" t="str">
        <f>Single2String(Table13[[#This Row],[dt'[0']]])</f>
        <v>00000000</v>
      </c>
      <c r="BH113" s="1" t="str">
        <f>Single2String(Table13[[#This Row],[t1'[1']]])</f>
        <v>00000000</v>
      </c>
      <c r="BI113" s="1" t="str">
        <f>Single2String(Table13[[#This Row],[dt'[1']]])</f>
        <v>00000000</v>
      </c>
      <c r="BJ113" s="1" t="str">
        <f>Single2String(Table13[[#This Row],[t1'[2']]])</f>
        <v>00000000</v>
      </c>
      <c r="BK113" s="1" t="str">
        <f>Single2String(Table13[[#This Row],[dt'[2']]])</f>
        <v>00000000</v>
      </c>
      <c r="BL113" s="1" t="str">
        <f>DEC2HEX(Table13[[#This Row],[ZMW num]], 6)</f>
        <v>00006C</v>
      </c>
      <c r="BM113" s="1">
        <f>LEN(Table13[[#This Row],[DRAM data]])</f>
        <v>64</v>
      </c>
      <c r="BN11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0000000000000000000000000000000000000000000000000010200000006C00</v>
      </c>
      <c r="CU113"/>
    </row>
    <row r="114" spans="1:99" x14ac:dyDescent="0.25">
      <c r="A114" t="str">
        <f>Single2String(Table13[[#This Row],[duration'[0']]])</f>
        <v>00000000</v>
      </c>
      <c r="B114" t="str">
        <f>Single2String(Table13[[#This Row],[duration'[1']]])</f>
        <v>00000000</v>
      </c>
      <c r="C114" t="str">
        <f>Single2String(Table13[[#This Row],[duration'[2']]])</f>
        <v>00000000</v>
      </c>
      <c r="D114" t="str">
        <f>INDEX(Table3[Hex], Table13[[#This Row],[int'[0']]]+1)</f>
        <v>00000000</v>
      </c>
      <c r="E114" t="str">
        <f>INDEX(Table3[Hex], Table13[[#This Row],[int'[1']]]+1)</f>
        <v>00000000</v>
      </c>
      <c r="F114" t="str">
        <f>INDEX(Table3[Hex], Table13[[#This Row],[int'[1']]]+1)</f>
        <v>00000000</v>
      </c>
      <c r="G114" t="str">
        <f>Single2String(Table13[[#This Row],[c ktrace]])</f>
        <v>00000000</v>
      </c>
      <c r="H114" t="str">
        <f>Single2String(Table13[[#This Row],[a ktrace]])</f>
        <v>00000000</v>
      </c>
      <c r="I114" t="str">
        <f>Single2String(Table13[[#This Row],[g ktrace]])</f>
        <v>00000000</v>
      </c>
      <c r="J114" t="str">
        <f>Single2String(Table13[[#This Row],[t ktrace]])</f>
        <v>00000000</v>
      </c>
      <c r="K114" s="3">
        <v>109</v>
      </c>
      <c r="L114">
        <f>SUM(Table13[[#This Row],[c ktrace'[2']]:[c ktrace'[0']]])</f>
        <v>0</v>
      </c>
      <c r="M114">
        <f>SUM(Table13[[#This Row],[a ktrace'[2']]:[a ktrace'[0']]])</f>
        <v>0</v>
      </c>
      <c r="N114">
        <f>SUM(Table13[[#This Row],[g ktrace'[2']]:[g ktrace'[0']]])</f>
        <v>0</v>
      </c>
      <c r="O114">
        <f>SUM(Table13[[#This Row],[t ktrace'[2']]:[t ktrace'[0']]])</f>
        <v>0</v>
      </c>
      <c r="P114">
        <f xml:space="preserve"> IF(Table13[[#This Row],[dye'[2']]]=3, Table13[[#This Row],[strength'[2']]], 0)</f>
        <v>0</v>
      </c>
      <c r="Q114">
        <f xml:space="preserve"> IF(Table13[[#This Row],[dye'[1']]]=3, Table13[[#This Row],[strength'[1']]], 0)</f>
        <v>0</v>
      </c>
      <c r="R114">
        <f xml:space="preserve"> IF(Table13[[#This Row],[dye'[0']]]=3, Table13[[#This Row],[strength'[0']]], 0)</f>
        <v>0</v>
      </c>
      <c r="S114">
        <f xml:space="preserve"> IF(Table13[[#This Row],[dye'[2']]]=2, Table13[[#This Row],[strength'[2']]], 0)</f>
        <v>0</v>
      </c>
      <c r="T114">
        <f xml:space="preserve"> IF(Table13[[#This Row],[dye'[1']]]=2, Table13[[#This Row],[strength'[1']]], 0)</f>
        <v>0</v>
      </c>
      <c r="U114">
        <f xml:space="preserve"> IF(Table13[[#This Row],[dye'[0']]]=2, Table13[[#This Row],[strength'[0']]], 0)</f>
        <v>0</v>
      </c>
      <c r="V114">
        <f xml:space="preserve"> IF(Table13[[#This Row],[dye'[2']]]=1, Table13[[#This Row],[strength'[2']]], 0)</f>
        <v>0</v>
      </c>
      <c r="W114">
        <f xml:space="preserve"> IF(Table13[[#This Row],[dye'[1']]]=1, Table13[[#This Row],[strength'[1']]], 0)</f>
        <v>0</v>
      </c>
      <c r="X114">
        <f xml:space="preserve"> IF(Table13[[#This Row],[dye'[0']]]=1, Table13[[#This Row],[strength'[0']]], 0)</f>
        <v>0</v>
      </c>
      <c r="Y114">
        <f xml:space="preserve"> IF(Table13[[#This Row],[dye'[2']]]=0, Table13[[#This Row],[strength'[2']]], 0)</f>
        <v>0</v>
      </c>
      <c r="Z114">
        <f xml:space="preserve"> IF(Table13[[#This Row],[dye'[1']]]=0, Table13[[#This Row],[strength'[1']]], 0)</f>
        <v>0</v>
      </c>
      <c r="AA114">
        <f xml:space="preserve"> IF(Table13[[#This Row],[dye'[0']]]=0, Table13[[#This Row],[strength'[0']]], 0)</f>
        <v>0</v>
      </c>
      <c r="AB114">
        <v>0</v>
      </c>
      <c r="AC114">
        <f>MAX($D$2, Table13[[#This Row],[t1'[0']]])</f>
        <v>0</v>
      </c>
      <c r="AD114">
        <v>0</v>
      </c>
      <c r="AE114">
        <f>Table13[[#This Row],[t1'[0']]]+Table13[[#This Row],[dt'[0']]]</f>
        <v>0</v>
      </c>
      <c r="AF114">
        <f>MIN($C$2, Table13[[#This Row],[tf'[0']]])</f>
        <v>0</v>
      </c>
      <c r="AG114">
        <f>Table13[[#This Row],[time2'[0']]]-Table13[[#This Row],[time1'[0']]]</f>
        <v>0</v>
      </c>
      <c r="AH114">
        <v>0</v>
      </c>
      <c r="AI114">
        <f xml:space="preserve"> INDEX(Table3[[#All],[Intensity]], Table13[[#This Row],[int'[0']]]+2)</f>
        <v>0</v>
      </c>
      <c r="AJ114">
        <f>Table13[[#This Row],[duration'[0']]]*Table13[[#This Row],[intensity'[0']]]</f>
        <v>0</v>
      </c>
      <c r="AK114">
        <f>MOD(Table13[[#This Row],[ZMW num]], 4)</f>
        <v>1</v>
      </c>
      <c r="AL114">
        <v>0</v>
      </c>
      <c r="AM114">
        <f>MAX($D$2, Table13[[#This Row],[t1'[1']]])</f>
        <v>0</v>
      </c>
      <c r="AN114">
        <v>0</v>
      </c>
      <c r="AO114">
        <f>Table13[[#This Row],[t1'[1']]]+Table13[[#This Row],[dt'[1']]]</f>
        <v>0</v>
      </c>
      <c r="AP114">
        <f>MIN($C$2, Table13[[#This Row],[tf'[1']]])</f>
        <v>0</v>
      </c>
      <c r="AQ114">
        <f>Table13[[#This Row],[time2'[1']]]-Table13[[#This Row],[time1'[1']]]</f>
        <v>0</v>
      </c>
      <c r="AR114">
        <v>0</v>
      </c>
      <c r="AS114">
        <f xml:space="preserve"> INDEX(Table3[[#All],[Intensity]], Table13[[#This Row],[int'[1']]]+2)</f>
        <v>0</v>
      </c>
      <c r="AT114">
        <f>Table13[[#This Row],[duration'[1']]]*Table13[[#This Row],[intensity'[1']]]</f>
        <v>0</v>
      </c>
      <c r="AU114">
        <f>MOD(Table13[[#This Row],[ZMW num]]+1, 4)</f>
        <v>2</v>
      </c>
      <c r="AV114">
        <v>0</v>
      </c>
      <c r="AW114">
        <f>MAX($D$2, Table13[[#This Row],[t1'[2']]])</f>
        <v>0</v>
      </c>
      <c r="AX114">
        <v>0</v>
      </c>
      <c r="AY114">
        <f>Table13[[#This Row],[t1'[2']]]+Table13[[#This Row],[dt'[2']]]</f>
        <v>0</v>
      </c>
      <c r="AZ114">
        <f>MIN($C$2, Table13[[#This Row],[tf'[2']]])</f>
        <v>0</v>
      </c>
      <c r="BA114">
        <f>Table13[[#This Row],[time2'[2']]]-Table13[[#This Row],[time1'[2']]]</f>
        <v>0</v>
      </c>
      <c r="BB114">
        <v>0</v>
      </c>
      <c r="BC114">
        <f xml:space="preserve"> INDEX(Table3[[#All],[Intensity]], Table13[[#This Row],[int'[2']]]+2)</f>
        <v>0</v>
      </c>
      <c r="BD114">
        <f>Table13[[#This Row],[duration'[2']]]*Table13[[#This Row],[intensity'[2']]]</f>
        <v>0</v>
      </c>
      <c r="BE114">
        <f>MOD(Table13[[#This Row],[ZMW num]]+2, 4)</f>
        <v>3</v>
      </c>
      <c r="BF114" s="2" t="str">
        <f>Single2String(Table13[[#This Row],[t1'[0']]])</f>
        <v>00000000</v>
      </c>
      <c r="BG114" s="1" t="str">
        <f>Single2String(Table13[[#This Row],[dt'[0']]])</f>
        <v>00000000</v>
      </c>
      <c r="BH114" s="1" t="str">
        <f>Single2String(Table13[[#This Row],[t1'[1']]])</f>
        <v>00000000</v>
      </c>
      <c r="BI114" s="1" t="str">
        <f>Single2String(Table13[[#This Row],[dt'[1']]])</f>
        <v>00000000</v>
      </c>
      <c r="BJ114" s="1" t="str">
        <f>Single2String(Table13[[#This Row],[t1'[2']]])</f>
        <v>00000000</v>
      </c>
      <c r="BK114" s="1" t="str">
        <f>Single2String(Table13[[#This Row],[dt'[2']]])</f>
        <v>00000000</v>
      </c>
      <c r="BL114" s="1" t="str">
        <f>DEC2HEX(Table13[[#This Row],[ZMW num]], 6)</f>
        <v>00006D</v>
      </c>
      <c r="BM114" s="1">
        <f>LEN(Table13[[#This Row],[DRAM data]])</f>
        <v>64</v>
      </c>
      <c r="BN11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0000000000000000000000000000000000000000000000001020300000006D00</v>
      </c>
      <c r="CU114"/>
    </row>
    <row r="115" spans="1:99" x14ac:dyDescent="0.25">
      <c r="A115" t="str">
        <f>Single2String(Table13[[#This Row],[duration'[0']]])</f>
        <v>00000000</v>
      </c>
      <c r="B115" t="str">
        <f>Single2String(Table13[[#This Row],[duration'[1']]])</f>
        <v>00000000</v>
      </c>
      <c r="C115" t="str">
        <f>Single2String(Table13[[#This Row],[duration'[2']]])</f>
        <v>00000000</v>
      </c>
      <c r="D115" t="str">
        <f>INDEX(Table3[Hex], Table13[[#This Row],[int'[0']]]+1)</f>
        <v>00000000</v>
      </c>
      <c r="E115" t="str">
        <f>INDEX(Table3[Hex], Table13[[#This Row],[int'[1']]]+1)</f>
        <v>00000000</v>
      </c>
      <c r="F115" t="str">
        <f>INDEX(Table3[Hex], Table13[[#This Row],[int'[1']]]+1)</f>
        <v>00000000</v>
      </c>
      <c r="G115" t="str">
        <f>Single2String(Table13[[#This Row],[c ktrace]])</f>
        <v>00000000</v>
      </c>
      <c r="H115" t="str">
        <f>Single2String(Table13[[#This Row],[a ktrace]])</f>
        <v>00000000</v>
      </c>
      <c r="I115" t="str">
        <f>Single2String(Table13[[#This Row],[g ktrace]])</f>
        <v>00000000</v>
      </c>
      <c r="J115" t="str">
        <f>Single2String(Table13[[#This Row],[t ktrace]])</f>
        <v>00000000</v>
      </c>
      <c r="K115" s="3">
        <v>110</v>
      </c>
      <c r="L115">
        <f>SUM(Table13[[#This Row],[c ktrace'[2']]:[c ktrace'[0']]])</f>
        <v>0</v>
      </c>
      <c r="M115">
        <f>SUM(Table13[[#This Row],[a ktrace'[2']]:[a ktrace'[0']]])</f>
        <v>0</v>
      </c>
      <c r="N115">
        <f>SUM(Table13[[#This Row],[g ktrace'[2']]:[g ktrace'[0']]])</f>
        <v>0</v>
      </c>
      <c r="O115">
        <f>SUM(Table13[[#This Row],[t ktrace'[2']]:[t ktrace'[0']]])</f>
        <v>0</v>
      </c>
      <c r="P115">
        <f xml:space="preserve"> IF(Table13[[#This Row],[dye'[2']]]=3, Table13[[#This Row],[strength'[2']]], 0)</f>
        <v>0</v>
      </c>
      <c r="Q115">
        <f xml:space="preserve"> IF(Table13[[#This Row],[dye'[1']]]=3, Table13[[#This Row],[strength'[1']]], 0)</f>
        <v>0</v>
      </c>
      <c r="R115">
        <f xml:space="preserve"> IF(Table13[[#This Row],[dye'[0']]]=3, Table13[[#This Row],[strength'[0']]], 0)</f>
        <v>0</v>
      </c>
      <c r="S115">
        <f xml:space="preserve"> IF(Table13[[#This Row],[dye'[2']]]=2, Table13[[#This Row],[strength'[2']]], 0)</f>
        <v>0</v>
      </c>
      <c r="T115">
        <f xml:space="preserve"> IF(Table13[[#This Row],[dye'[1']]]=2, Table13[[#This Row],[strength'[1']]], 0)</f>
        <v>0</v>
      </c>
      <c r="U115">
        <f xml:space="preserve"> IF(Table13[[#This Row],[dye'[0']]]=2, Table13[[#This Row],[strength'[0']]], 0)</f>
        <v>0</v>
      </c>
      <c r="V115">
        <f xml:space="preserve"> IF(Table13[[#This Row],[dye'[2']]]=1, Table13[[#This Row],[strength'[2']]], 0)</f>
        <v>0</v>
      </c>
      <c r="W115">
        <f xml:space="preserve"> IF(Table13[[#This Row],[dye'[1']]]=1, Table13[[#This Row],[strength'[1']]], 0)</f>
        <v>0</v>
      </c>
      <c r="X115">
        <f xml:space="preserve"> IF(Table13[[#This Row],[dye'[0']]]=1, Table13[[#This Row],[strength'[0']]], 0)</f>
        <v>0</v>
      </c>
      <c r="Y115">
        <f xml:space="preserve"> IF(Table13[[#This Row],[dye'[2']]]=0, Table13[[#This Row],[strength'[2']]], 0)</f>
        <v>0</v>
      </c>
      <c r="Z115">
        <f xml:space="preserve"> IF(Table13[[#This Row],[dye'[1']]]=0, Table13[[#This Row],[strength'[1']]], 0)</f>
        <v>0</v>
      </c>
      <c r="AA115">
        <f xml:space="preserve"> IF(Table13[[#This Row],[dye'[0']]]=0, Table13[[#This Row],[strength'[0']]], 0)</f>
        <v>0</v>
      </c>
      <c r="AB115">
        <v>0</v>
      </c>
      <c r="AC115">
        <f>MAX($D$2, Table13[[#This Row],[t1'[0']]])</f>
        <v>0</v>
      </c>
      <c r="AD115">
        <v>0</v>
      </c>
      <c r="AE115">
        <f>Table13[[#This Row],[t1'[0']]]+Table13[[#This Row],[dt'[0']]]</f>
        <v>0</v>
      </c>
      <c r="AF115">
        <f>MIN($C$2, Table13[[#This Row],[tf'[0']]])</f>
        <v>0</v>
      </c>
      <c r="AG115">
        <f>Table13[[#This Row],[time2'[0']]]-Table13[[#This Row],[time1'[0']]]</f>
        <v>0</v>
      </c>
      <c r="AH115">
        <v>0</v>
      </c>
      <c r="AI115">
        <f xml:space="preserve"> INDEX(Table3[[#All],[Intensity]], Table13[[#This Row],[int'[0']]]+2)</f>
        <v>0</v>
      </c>
      <c r="AJ115">
        <f>Table13[[#This Row],[duration'[0']]]*Table13[[#This Row],[intensity'[0']]]</f>
        <v>0</v>
      </c>
      <c r="AK115">
        <f>MOD(Table13[[#This Row],[ZMW num]], 4)</f>
        <v>2</v>
      </c>
      <c r="AL115">
        <v>0</v>
      </c>
      <c r="AM115">
        <f>MAX($D$2, Table13[[#This Row],[t1'[1']]])</f>
        <v>0</v>
      </c>
      <c r="AN115">
        <v>0</v>
      </c>
      <c r="AO115">
        <f>Table13[[#This Row],[t1'[1']]]+Table13[[#This Row],[dt'[1']]]</f>
        <v>0</v>
      </c>
      <c r="AP115">
        <f>MIN($C$2, Table13[[#This Row],[tf'[1']]])</f>
        <v>0</v>
      </c>
      <c r="AQ115">
        <f>Table13[[#This Row],[time2'[1']]]-Table13[[#This Row],[time1'[1']]]</f>
        <v>0</v>
      </c>
      <c r="AR115">
        <v>0</v>
      </c>
      <c r="AS115">
        <f xml:space="preserve"> INDEX(Table3[[#All],[Intensity]], Table13[[#This Row],[int'[1']]]+2)</f>
        <v>0</v>
      </c>
      <c r="AT115">
        <f>Table13[[#This Row],[duration'[1']]]*Table13[[#This Row],[intensity'[1']]]</f>
        <v>0</v>
      </c>
      <c r="AU115">
        <f>MOD(Table13[[#This Row],[ZMW num]]+1, 4)</f>
        <v>3</v>
      </c>
      <c r="AV115">
        <v>0</v>
      </c>
      <c r="AW115">
        <f>MAX($D$2, Table13[[#This Row],[t1'[2']]])</f>
        <v>0</v>
      </c>
      <c r="AX115">
        <v>0</v>
      </c>
      <c r="AY115">
        <f>Table13[[#This Row],[t1'[2']]]+Table13[[#This Row],[dt'[2']]]</f>
        <v>0</v>
      </c>
      <c r="AZ115">
        <f>MIN($C$2, Table13[[#This Row],[tf'[2']]])</f>
        <v>0</v>
      </c>
      <c r="BA115">
        <f>Table13[[#This Row],[time2'[2']]]-Table13[[#This Row],[time1'[2']]]</f>
        <v>0</v>
      </c>
      <c r="BB115">
        <v>0</v>
      </c>
      <c r="BC115">
        <f xml:space="preserve"> INDEX(Table3[[#All],[Intensity]], Table13[[#This Row],[int'[2']]]+2)</f>
        <v>0</v>
      </c>
      <c r="BD115">
        <f>Table13[[#This Row],[duration'[2']]]*Table13[[#This Row],[intensity'[2']]]</f>
        <v>0</v>
      </c>
      <c r="BE115">
        <f>MOD(Table13[[#This Row],[ZMW num]]+2, 4)</f>
        <v>0</v>
      </c>
      <c r="BF115" s="2" t="str">
        <f>Single2String(Table13[[#This Row],[t1'[0']]])</f>
        <v>00000000</v>
      </c>
      <c r="BG115" s="1" t="str">
        <f>Single2String(Table13[[#This Row],[dt'[0']]])</f>
        <v>00000000</v>
      </c>
      <c r="BH115" s="1" t="str">
        <f>Single2String(Table13[[#This Row],[t1'[1']]])</f>
        <v>00000000</v>
      </c>
      <c r="BI115" s="1" t="str">
        <f>Single2String(Table13[[#This Row],[dt'[1']]])</f>
        <v>00000000</v>
      </c>
      <c r="BJ115" s="1" t="str">
        <f>Single2String(Table13[[#This Row],[t1'[2']]])</f>
        <v>00000000</v>
      </c>
      <c r="BK115" s="1" t="str">
        <f>Single2String(Table13[[#This Row],[dt'[2']]])</f>
        <v>00000000</v>
      </c>
      <c r="BL115" s="1" t="str">
        <f>DEC2HEX(Table13[[#This Row],[ZMW num]], 6)</f>
        <v>00006E</v>
      </c>
      <c r="BM115" s="1">
        <f>LEN(Table13[[#This Row],[DRAM data]])</f>
        <v>64</v>
      </c>
      <c r="BN11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0000000000000000000000000000000000000000000000002030000000006E00</v>
      </c>
      <c r="CU115"/>
    </row>
    <row r="116" spans="1:99" x14ac:dyDescent="0.25">
      <c r="A116" t="str">
        <f>Single2String(Table13[[#This Row],[duration'[0']]])</f>
        <v>00000000</v>
      </c>
      <c r="B116" t="str">
        <f>Single2String(Table13[[#This Row],[duration'[1']]])</f>
        <v>00000000</v>
      </c>
      <c r="C116" t="str">
        <f>Single2String(Table13[[#This Row],[duration'[2']]])</f>
        <v>00000000</v>
      </c>
      <c r="D116" t="str">
        <f>INDEX(Table3[Hex], Table13[[#This Row],[int'[0']]]+1)</f>
        <v>00000000</v>
      </c>
      <c r="E116" t="str">
        <f>INDEX(Table3[Hex], Table13[[#This Row],[int'[1']]]+1)</f>
        <v>00000000</v>
      </c>
      <c r="F116" t="str">
        <f>INDEX(Table3[Hex], Table13[[#This Row],[int'[1']]]+1)</f>
        <v>00000000</v>
      </c>
      <c r="G116" t="str">
        <f>Single2String(Table13[[#This Row],[c ktrace]])</f>
        <v>00000000</v>
      </c>
      <c r="H116" t="str">
        <f>Single2String(Table13[[#This Row],[a ktrace]])</f>
        <v>00000000</v>
      </c>
      <c r="I116" t="str">
        <f>Single2String(Table13[[#This Row],[g ktrace]])</f>
        <v>00000000</v>
      </c>
      <c r="J116" t="str">
        <f>Single2String(Table13[[#This Row],[t ktrace]])</f>
        <v>00000000</v>
      </c>
      <c r="K116" s="3">
        <v>111</v>
      </c>
      <c r="L116">
        <f>SUM(Table13[[#This Row],[c ktrace'[2']]:[c ktrace'[0']]])</f>
        <v>0</v>
      </c>
      <c r="M116">
        <f>SUM(Table13[[#This Row],[a ktrace'[2']]:[a ktrace'[0']]])</f>
        <v>0</v>
      </c>
      <c r="N116">
        <f>SUM(Table13[[#This Row],[g ktrace'[2']]:[g ktrace'[0']]])</f>
        <v>0</v>
      </c>
      <c r="O116">
        <f>SUM(Table13[[#This Row],[t ktrace'[2']]:[t ktrace'[0']]])</f>
        <v>0</v>
      </c>
      <c r="P116">
        <f xml:space="preserve"> IF(Table13[[#This Row],[dye'[2']]]=3, Table13[[#This Row],[strength'[2']]], 0)</f>
        <v>0</v>
      </c>
      <c r="Q116">
        <f xml:space="preserve"> IF(Table13[[#This Row],[dye'[1']]]=3, Table13[[#This Row],[strength'[1']]], 0)</f>
        <v>0</v>
      </c>
      <c r="R116">
        <f xml:space="preserve"> IF(Table13[[#This Row],[dye'[0']]]=3, Table13[[#This Row],[strength'[0']]], 0)</f>
        <v>0</v>
      </c>
      <c r="S116">
        <f xml:space="preserve"> IF(Table13[[#This Row],[dye'[2']]]=2, Table13[[#This Row],[strength'[2']]], 0)</f>
        <v>0</v>
      </c>
      <c r="T116">
        <f xml:space="preserve"> IF(Table13[[#This Row],[dye'[1']]]=2, Table13[[#This Row],[strength'[1']]], 0)</f>
        <v>0</v>
      </c>
      <c r="U116">
        <f xml:space="preserve"> IF(Table13[[#This Row],[dye'[0']]]=2, Table13[[#This Row],[strength'[0']]], 0)</f>
        <v>0</v>
      </c>
      <c r="V116">
        <f xml:space="preserve"> IF(Table13[[#This Row],[dye'[2']]]=1, Table13[[#This Row],[strength'[2']]], 0)</f>
        <v>0</v>
      </c>
      <c r="W116">
        <f xml:space="preserve"> IF(Table13[[#This Row],[dye'[1']]]=1, Table13[[#This Row],[strength'[1']]], 0)</f>
        <v>0</v>
      </c>
      <c r="X116">
        <f xml:space="preserve"> IF(Table13[[#This Row],[dye'[0']]]=1, Table13[[#This Row],[strength'[0']]], 0)</f>
        <v>0</v>
      </c>
      <c r="Y116">
        <f xml:space="preserve"> IF(Table13[[#This Row],[dye'[2']]]=0, Table13[[#This Row],[strength'[2']]], 0)</f>
        <v>0</v>
      </c>
      <c r="Z116">
        <f xml:space="preserve"> IF(Table13[[#This Row],[dye'[1']]]=0, Table13[[#This Row],[strength'[1']]], 0)</f>
        <v>0</v>
      </c>
      <c r="AA116">
        <f xml:space="preserve"> IF(Table13[[#This Row],[dye'[0']]]=0, Table13[[#This Row],[strength'[0']]], 0)</f>
        <v>0</v>
      </c>
      <c r="AB116">
        <v>0</v>
      </c>
      <c r="AC116">
        <f>MAX($D$2, Table13[[#This Row],[t1'[0']]])</f>
        <v>0</v>
      </c>
      <c r="AD116">
        <v>0</v>
      </c>
      <c r="AE116">
        <f>Table13[[#This Row],[t1'[0']]]+Table13[[#This Row],[dt'[0']]]</f>
        <v>0</v>
      </c>
      <c r="AF116">
        <f>MIN($C$2, Table13[[#This Row],[tf'[0']]])</f>
        <v>0</v>
      </c>
      <c r="AG116">
        <f>Table13[[#This Row],[time2'[0']]]-Table13[[#This Row],[time1'[0']]]</f>
        <v>0</v>
      </c>
      <c r="AH116">
        <v>0</v>
      </c>
      <c r="AI116">
        <f xml:space="preserve"> INDEX(Table3[[#All],[Intensity]], Table13[[#This Row],[int'[0']]]+2)</f>
        <v>0</v>
      </c>
      <c r="AJ116">
        <f>Table13[[#This Row],[duration'[0']]]*Table13[[#This Row],[intensity'[0']]]</f>
        <v>0</v>
      </c>
      <c r="AK116">
        <f>MOD(Table13[[#This Row],[ZMW num]], 4)</f>
        <v>3</v>
      </c>
      <c r="AL116">
        <v>0</v>
      </c>
      <c r="AM116">
        <f>MAX($D$2, Table13[[#This Row],[t1'[1']]])</f>
        <v>0</v>
      </c>
      <c r="AN116">
        <v>0</v>
      </c>
      <c r="AO116">
        <f>Table13[[#This Row],[t1'[1']]]+Table13[[#This Row],[dt'[1']]]</f>
        <v>0</v>
      </c>
      <c r="AP116">
        <f>MIN($C$2, Table13[[#This Row],[tf'[1']]])</f>
        <v>0</v>
      </c>
      <c r="AQ116">
        <f>Table13[[#This Row],[time2'[1']]]-Table13[[#This Row],[time1'[1']]]</f>
        <v>0</v>
      </c>
      <c r="AR116">
        <v>0</v>
      </c>
      <c r="AS116">
        <f xml:space="preserve"> INDEX(Table3[[#All],[Intensity]], Table13[[#This Row],[int'[1']]]+2)</f>
        <v>0</v>
      </c>
      <c r="AT116">
        <f>Table13[[#This Row],[duration'[1']]]*Table13[[#This Row],[intensity'[1']]]</f>
        <v>0</v>
      </c>
      <c r="AU116">
        <f>MOD(Table13[[#This Row],[ZMW num]]+1, 4)</f>
        <v>0</v>
      </c>
      <c r="AV116">
        <v>0</v>
      </c>
      <c r="AW116">
        <f>MAX($D$2, Table13[[#This Row],[t1'[2']]])</f>
        <v>0</v>
      </c>
      <c r="AX116">
        <v>0</v>
      </c>
      <c r="AY116">
        <f>Table13[[#This Row],[t1'[2']]]+Table13[[#This Row],[dt'[2']]]</f>
        <v>0</v>
      </c>
      <c r="AZ116">
        <f>MIN($C$2, Table13[[#This Row],[tf'[2']]])</f>
        <v>0</v>
      </c>
      <c r="BA116">
        <f>Table13[[#This Row],[time2'[2']]]-Table13[[#This Row],[time1'[2']]]</f>
        <v>0</v>
      </c>
      <c r="BB116">
        <v>0</v>
      </c>
      <c r="BC116">
        <f xml:space="preserve"> INDEX(Table3[[#All],[Intensity]], Table13[[#This Row],[int'[2']]]+2)</f>
        <v>0</v>
      </c>
      <c r="BD116">
        <f>Table13[[#This Row],[duration'[2']]]*Table13[[#This Row],[intensity'[2']]]</f>
        <v>0</v>
      </c>
      <c r="BE116">
        <f>MOD(Table13[[#This Row],[ZMW num]]+2, 4)</f>
        <v>1</v>
      </c>
      <c r="BF116" s="2" t="str">
        <f>Single2String(Table13[[#This Row],[t1'[0']]])</f>
        <v>00000000</v>
      </c>
      <c r="BG116" s="1" t="str">
        <f>Single2String(Table13[[#This Row],[dt'[0']]])</f>
        <v>00000000</v>
      </c>
      <c r="BH116" s="1" t="str">
        <f>Single2String(Table13[[#This Row],[t1'[1']]])</f>
        <v>00000000</v>
      </c>
      <c r="BI116" s="1" t="str">
        <f>Single2String(Table13[[#This Row],[dt'[1']]])</f>
        <v>00000000</v>
      </c>
      <c r="BJ116" s="1" t="str">
        <f>Single2String(Table13[[#This Row],[t1'[2']]])</f>
        <v>00000000</v>
      </c>
      <c r="BK116" s="1" t="str">
        <f>Single2String(Table13[[#This Row],[dt'[2']]])</f>
        <v>00000000</v>
      </c>
      <c r="BL116" s="1" t="str">
        <f>DEC2HEX(Table13[[#This Row],[ZMW num]], 6)</f>
        <v>00006F</v>
      </c>
      <c r="BM116" s="1">
        <f>LEN(Table13[[#This Row],[DRAM data]])</f>
        <v>64</v>
      </c>
      <c r="BN11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0000000000000000000000000000000000000000000000003000100000006F00</v>
      </c>
      <c r="CU116"/>
    </row>
    <row r="117" spans="1:99" x14ac:dyDescent="0.25">
      <c r="A117" t="str">
        <f>Single2String(Table13[[#This Row],[duration'[0']]])</f>
        <v>00000000</v>
      </c>
      <c r="B117" t="str">
        <f>Single2String(Table13[[#This Row],[duration'[1']]])</f>
        <v>00000000</v>
      </c>
      <c r="C117" t="str">
        <f>Single2String(Table13[[#This Row],[duration'[2']]])</f>
        <v>00000000</v>
      </c>
      <c r="D117" t="str">
        <f>INDEX(Table3[Hex], Table13[[#This Row],[int'[0']]]+1)</f>
        <v>00000000</v>
      </c>
      <c r="E117" t="str">
        <f>INDEX(Table3[Hex], Table13[[#This Row],[int'[1']]]+1)</f>
        <v>00000000</v>
      </c>
      <c r="F117" t="str">
        <f>INDEX(Table3[Hex], Table13[[#This Row],[int'[1']]]+1)</f>
        <v>00000000</v>
      </c>
      <c r="G117" t="str">
        <f>Single2String(Table13[[#This Row],[c ktrace]])</f>
        <v>00000000</v>
      </c>
      <c r="H117" t="str">
        <f>Single2String(Table13[[#This Row],[a ktrace]])</f>
        <v>00000000</v>
      </c>
      <c r="I117" t="str">
        <f>Single2String(Table13[[#This Row],[g ktrace]])</f>
        <v>00000000</v>
      </c>
      <c r="J117" t="str">
        <f>Single2String(Table13[[#This Row],[t ktrace]])</f>
        <v>00000000</v>
      </c>
      <c r="K117" s="3">
        <v>112</v>
      </c>
      <c r="L117">
        <f>SUM(Table13[[#This Row],[c ktrace'[2']]:[c ktrace'[0']]])</f>
        <v>0</v>
      </c>
      <c r="M117">
        <f>SUM(Table13[[#This Row],[a ktrace'[2']]:[a ktrace'[0']]])</f>
        <v>0</v>
      </c>
      <c r="N117">
        <f>SUM(Table13[[#This Row],[g ktrace'[2']]:[g ktrace'[0']]])</f>
        <v>0</v>
      </c>
      <c r="O117">
        <f>SUM(Table13[[#This Row],[t ktrace'[2']]:[t ktrace'[0']]])</f>
        <v>0</v>
      </c>
      <c r="P117">
        <f xml:space="preserve"> IF(Table13[[#This Row],[dye'[2']]]=3, Table13[[#This Row],[strength'[2']]], 0)</f>
        <v>0</v>
      </c>
      <c r="Q117">
        <f xml:space="preserve"> IF(Table13[[#This Row],[dye'[1']]]=3, Table13[[#This Row],[strength'[1']]], 0)</f>
        <v>0</v>
      </c>
      <c r="R117">
        <f xml:space="preserve"> IF(Table13[[#This Row],[dye'[0']]]=3, Table13[[#This Row],[strength'[0']]], 0)</f>
        <v>0</v>
      </c>
      <c r="S117">
        <f xml:space="preserve"> IF(Table13[[#This Row],[dye'[2']]]=2, Table13[[#This Row],[strength'[2']]], 0)</f>
        <v>0</v>
      </c>
      <c r="T117">
        <f xml:space="preserve"> IF(Table13[[#This Row],[dye'[1']]]=2, Table13[[#This Row],[strength'[1']]], 0)</f>
        <v>0</v>
      </c>
      <c r="U117">
        <f xml:space="preserve"> IF(Table13[[#This Row],[dye'[0']]]=2, Table13[[#This Row],[strength'[0']]], 0)</f>
        <v>0</v>
      </c>
      <c r="V117">
        <f xml:space="preserve"> IF(Table13[[#This Row],[dye'[2']]]=1, Table13[[#This Row],[strength'[2']]], 0)</f>
        <v>0</v>
      </c>
      <c r="W117">
        <f xml:space="preserve"> IF(Table13[[#This Row],[dye'[1']]]=1, Table13[[#This Row],[strength'[1']]], 0)</f>
        <v>0</v>
      </c>
      <c r="X117">
        <f xml:space="preserve"> IF(Table13[[#This Row],[dye'[0']]]=1, Table13[[#This Row],[strength'[0']]], 0)</f>
        <v>0</v>
      </c>
      <c r="Y117">
        <f xml:space="preserve"> IF(Table13[[#This Row],[dye'[2']]]=0, Table13[[#This Row],[strength'[2']]], 0)</f>
        <v>0</v>
      </c>
      <c r="Z117">
        <f xml:space="preserve"> IF(Table13[[#This Row],[dye'[1']]]=0, Table13[[#This Row],[strength'[1']]], 0)</f>
        <v>0</v>
      </c>
      <c r="AA117">
        <f xml:space="preserve"> IF(Table13[[#This Row],[dye'[0']]]=0, Table13[[#This Row],[strength'[0']]], 0)</f>
        <v>0</v>
      </c>
      <c r="AB117">
        <v>0</v>
      </c>
      <c r="AC117">
        <f>MAX($D$2, Table13[[#This Row],[t1'[0']]])</f>
        <v>0</v>
      </c>
      <c r="AD117">
        <v>0</v>
      </c>
      <c r="AE117">
        <f>Table13[[#This Row],[t1'[0']]]+Table13[[#This Row],[dt'[0']]]</f>
        <v>0</v>
      </c>
      <c r="AF117">
        <f>MIN($C$2, Table13[[#This Row],[tf'[0']]])</f>
        <v>0</v>
      </c>
      <c r="AG117">
        <f>Table13[[#This Row],[time2'[0']]]-Table13[[#This Row],[time1'[0']]]</f>
        <v>0</v>
      </c>
      <c r="AH117">
        <v>0</v>
      </c>
      <c r="AI117">
        <f xml:space="preserve"> INDEX(Table3[[#All],[Intensity]], Table13[[#This Row],[int'[0']]]+2)</f>
        <v>0</v>
      </c>
      <c r="AJ117">
        <f>Table13[[#This Row],[duration'[0']]]*Table13[[#This Row],[intensity'[0']]]</f>
        <v>0</v>
      </c>
      <c r="AK117">
        <f>MOD(Table13[[#This Row],[ZMW num]], 4)</f>
        <v>0</v>
      </c>
      <c r="AL117">
        <v>0</v>
      </c>
      <c r="AM117">
        <f>MAX($D$2, Table13[[#This Row],[t1'[1']]])</f>
        <v>0</v>
      </c>
      <c r="AN117">
        <v>0</v>
      </c>
      <c r="AO117">
        <f>Table13[[#This Row],[t1'[1']]]+Table13[[#This Row],[dt'[1']]]</f>
        <v>0</v>
      </c>
      <c r="AP117">
        <f>MIN($C$2, Table13[[#This Row],[tf'[1']]])</f>
        <v>0</v>
      </c>
      <c r="AQ117">
        <f>Table13[[#This Row],[time2'[1']]]-Table13[[#This Row],[time1'[1']]]</f>
        <v>0</v>
      </c>
      <c r="AR117">
        <v>0</v>
      </c>
      <c r="AS117">
        <f xml:space="preserve"> INDEX(Table3[[#All],[Intensity]], Table13[[#This Row],[int'[1']]]+2)</f>
        <v>0</v>
      </c>
      <c r="AT117">
        <f>Table13[[#This Row],[duration'[1']]]*Table13[[#This Row],[intensity'[1']]]</f>
        <v>0</v>
      </c>
      <c r="AU117">
        <f>MOD(Table13[[#This Row],[ZMW num]]+1, 4)</f>
        <v>1</v>
      </c>
      <c r="AV117">
        <v>0</v>
      </c>
      <c r="AW117">
        <f>MAX($D$2, Table13[[#This Row],[t1'[2']]])</f>
        <v>0</v>
      </c>
      <c r="AX117">
        <v>0</v>
      </c>
      <c r="AY117">
        <f>Table13[[#This Row],[t1'[2']]]+Table13[[#This Row],[dt'[2']]]</f>
        <v>0</v>
      </c>
      <c r="AZ117">
        <f>MIN($C$2, Table13[[#This Row],[tf'[2']]])</f>
        <v>0</v>
      </c>
      <c r="BA117">
        <f>Table13[[#This Row],[time2'[2']]]-Table13[[#This Row],[time1'[2']]]</f>
        <v>0</v>
      </c>
      <c r="BB117">
        <v>0</v>
      </c>
      <c r="BC117">
        <f xml:space="preserve"> INDEX(Table3[[#All],[Intensity]], Table13[[#This Row],[int'[2']]]+2)</f>
        <v>0</v>
      </c>
      <c r="BD117">
        <f>Table13[[#This Row],[duration'[2']]]*Table13[[#This Row],[intensity'[2']]]</f>
        <v>0</v>
      </c>
      <c r="BE117">
        <f>MOD(Table13[[#This Row],[ZMW num]]+2, 4)</f>
        <v>2</v>
      </c>
      <c r="BF117" s="2" t="str">
        <f>Single2String(Table13[[#This Row],[t1'[0']]])</f>
        <v>00000000</v>
      </c>
      <c r="BG117" s="1" t="str">
        <f>Single2String(Table13[[#This Row],[dt'[0']]])</f>
        <v>00000000</v>
      </c>
      <c r="BH117" s="1" t="str">
        <f>Single2String(Table13[[#This Row],[t1'[1']]])</f>
        <v>00000000</v>
      </c>
      <c r="BI117" s="1" t="str">
        <f>Single2String(Table13[[#This Row],[dt'[1']]])</f>
        <v>00000000</v>
      </c>
      <c r="BJ117" s="1" t="str">
        <f>Single2String(Table13[[#This Row],[t1'[2']]])</f>
        <v>00000000</v>
      </c>
      <c r="BK117" s="1" t="str">
        <f>Single2String(Table13[[#This Row],[dt'[2']]])</f>
        <v>00000000</v>
      </c>
      <c r="BL117" s="1" t="str">
        <f>DEC2HEX(Table13[[#This Row],[ZMW num]], 6)</f>
        <v>000070</v>
      </c>
      <c r="BM117" s="1">
        <f>LEN(Table13[[#This Row],[DRAM data]])</f>
        <v>64</v>
      </c>
      <c r="BN11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0000000000000000000000000000000000000000000000000010200000007000</v>
      </c>
      <c r="CU117"/>
    </row>
    <row r="118" spans="1:99" x14ac:dyDescent="0.25">
      <c r="A118" t="str">
        <f>Single2String(Table13[[#This Row],[duration'[0']]])</f>
        <v>00000000</v>
      </c>
      <c r="B118" t="str">
        <f>Single2String(Table13[[#This Row],[duration'[1']]])</f>
        <v>00000000</v>
      </c>
      <c r="C118" t="str">
        <f>Single2String(Table13[[#This Row],[duration'[2']]])</f>
        <v>00000000</v>
      </c>
      <c r="D118" t="str">
        <f>INDEX(Table3[Hex], Table13[[#This Row],[int'[0']]]+1)</f>
        <v>00000000</v>
      </c>
      <c r="E118" t="str">
        <f>INDEX(Table3[Hex], Table13[[#This Row],[int'[1']]]+1)</f>
        <v>00000000</v>
      </c>
      <c r="F118" t="str">
        <f>INDEX(Table3[Hex], Table13[[#This Row],[int'[1']]]+1)</f>
        <v>00000000</v>
      </c>
      <c r="G118" t="str">
        <f>Single2String(Table13[[#This Row],[c ktrace]])</f>
        <v>00000000</v>
      </c>
      <c r="H118" t="str">
        <f>Single2String(Table13[[#This Row],[a ktrace]])</f>
        <v>00000000</v>
      </c>
      <c r="I118" t="str">
        <f>Single2String(Table13[[#This Row],[g ktrace]])</f>
        <v>00000000</v>
      </c>
      <c r="J118" t="str">
        <f>Single2String(Table13[[#This Row],[t ktrace]])</f>
        <v>00000000</v>
      </c>
      <c r="K118" s="3">
        <v>113</v>
      </c>
      <c r="L118">
        <f>SUM(Table13[[#This Row],[c ktrace'[2']]:[c ktrace'[0']]])</f>
        <v>0</v>
      </c>
      <c r="M118">
        <f>SUM(Table13[[#This Row],[a ktrace'[2']]:[a ktrace'[0']]])</f>
        <v>0</v>
      </c>
      <c r="N118">
        <f>SUM(Table13[[#This Row],[g ktrace'[2']]:[g ktrace'[0']]])</f>
        <v>0</v>
      </c>
      <c r="O118">
        <f>SUM(Table13[[#This Row],[t ktrace'[2']]:[t ktrace'[0']]])</f>
        <v>0</v>
      </c>
      <c r="P118">
        <f xml:space="preserve"> IF(Table13[[#This Row],[dye'[2']]]=3, Table13[[#This Row],[strength'[2']]], 0)</f>
        <v>0</v>
      </c>
      <c r="Q118">
        <f xml:space="preserve"> IF(Table13[[#This Row],[dye'[1']]]=3, Table13[[#This Row],[strength'[1']]], 0)</f>
        <v>0</v>
      </c>
      <c r="R118">
        <f xml:space="preserve"> IF(Table13[[#This Row],[dye'[0']]]=3, Table13[[#This Row],[strength'[0']]], 0)</f>
        <v>0</v>
      </c>
      <c r="S118">
        <f xml:space="preserve"> IF(Table13[[#This Row],[dye'[2']]]=2, Table13[[#This Row],[strength'[2']]], 0)</f>
        <v>0</v>
      </c>
      <c r="T118">
        <f xml:space="preserve"> IF(Table13[[#This Row],[dye'[1']]]=2, Table13[[#This Row],[strength'[1']]], 0)</f>
        <v>0</v>
      </c>
      <c r="U118">
        <f xml:space="preserve"> IF(Table13[[#This Row],[dye'[0']]]=2, Table13[[#This Row],[strength'[0']]], 0)</f>
        <v>0</v>
      </c>
      <c r="V118">
        <f xml:space="preserve"> IF(Table13[[#This Row],[dye'[2']]]=1, Table13[[#This Row],[strength'[2']]], 0)</f>
        <v>0</v>
      </c>
      <c r="W118">
        <f xml:space="preserve"> IF(Table13[[#This Row],[dye'[1']]]=1, Table13[[#This Row],[strength'[1']]], 0)</f>
        <v>0</v>
      </c>
      <c r="X118">
        <f xml:space="preserve"> IF(Table13[[#This Row],[dye'[0']]]=1, Table13[[#This Row],[strength'[0']]], 0)</f>
        <v>0</v>
      </c>
      <c r="Y118">
        <f xml:space="preserve"> IF(Table13[[#This Row],[dye'[2']]]=0, Table13[[#This Row],[strength'[2']]], 0)</f>
        <v>0</v>
      </c>
      <c r="Z118">
        <f xml:space="preserve"> IF(Table13[[#This Row],[dye'[1']]]=0, Table13[[#This Row],[strength'[1']]], 0)</f>
        <v>0</v>
      </c>
      <c r="AA118">
        <f xml:space="preserve"> IF(Table13[[#This Row],[dye'[0']]]=0, Table13[[#This Row],[strength'[0']]], 0)</f>
        <v>0</v>
      </c>
      <c r="AB118">
        <v>0</v>
      </c>
      <c r="AC118">
        <f>MAX($D$2, Table13[[#This Row],[t1'[0']]])</f>
        <v>0</v>
      </c>
      <c r="AD118">
        <v>0</v>
      </c>
      <c r="AE118">
        <f>Table13[[#This Row],[t1'[0']]]+Table13[[#This Row],[dt'[0']]]</f>
        <v>0</v>
      </c>
      <c r="AF118">
        <f>MIN($C$2, Table13[[#This Row],[tf'[0']]])</f>
        <v>0</v>
      </c>
      <c r="AG118">
        <f>Table13[[#This Row],[time2'[0']]]-Table13[[#This Row],[time1'[0']]]</f>
        <v>0</v>
      </c>
      <c r="AH118">
        <v>0</v>
      </c>
      <c r="AI118">
        <f xml:space="preserve"> INDEX(Table3[[#All],[Intensity]], Table13[[#This Row],[int'[0']]]+2)</f>
        <v>0</v>
      </c>
      <c r="AJ118">
        <f>Table13[[#This Row],[duration'[0']]]*Table13[[#This Row],[intensity'[0']]]</f>
        <v>0</v>
      </c>
      <c r="AK118">
        <f>MOD(Table13[[#This Row],[ZMW num]], 4)</f>
        <v>1</v>
      </c>
      <c r="AL118">
        <v>0</v>
      </c>
      <c r="AM118">
        <f>MAX($D$2, Table13[[#This Row],[t1'[1']]])</f>
        <v>0</v>
      </c>
      <c r="AN118">
        <v>0</v>
      </c>
      <c r="AO118">
        <f>Table13[[#This Row],[t1'[1']]]+Table13[[#This Row],[dt'[1']]]</f>
        <v>0</v>
      </c>
      <c r="AP118">
        <f>MIN($C$2, Table13[[#This Row],[tf'[1']]])</f>
        <v>0</v>
      </c>
      <c r="AQ118">
        <f>Table13[[#This Row],[time2'[1']]]-Table13[[#This Row],[time1'[1']]]</f>
        <v>0</v>
      </c>
      <c r="AR118">
        <v>0</v>
      </c>
      <c r="AS118">
        <f xml:space="preserve"> INDEX(Table3[[#All],[Intensity]], Table13[[#This Row],[int'[1']]]+2)</f>
        <v>0</v>
      </c>
      <c r="AT118">
        <f>Table13[[#This Row],[duration'[1']]]*Table13[[#This Row],[intensity'[1']]]</f>
        <v>0</v>
      </c>
      <c r="AU118">
        <f>MOD(Table13[[#This Row],[ZMW num]]+1, 4)</f>
        <v>2</v>
      </c>
      <c r="AV118">
        <v>0</v>
      </c>
      <c r="AW118">
        <f>MAX($D$2, Table13[[#This Row],[t1'[2']]])</f>
        <v>0</v>
      </c>
      <c r="AX118">
        <v>0</v>
      </c>
      <c r="AY118">
        <f>Table13[[#This Row],[t1'[2']]]+Table13[[#This Row],[dt'[2']]]</f>
        <v>0</v>
      </c>
      <c r="AZ118">
        <f>MIN($C$2, Table13[[#This Row],[tf'[2']]])</f>
        <v>0</v>
      </c>
      <c r="BA118">
        <f>Table13[[#This Row],[time2'[2']]]-Table13[[#This Row],[time1'[2']]]</f>
        <v>0</v>
      </c>
      <c r="BB118">
        <v>0</v>
      </c>
      <c r="BC118">
        <f xml:space="preserve"> INDEX(Table3[[#All],[Intensity]], Table13[[#This Row],[int'[2']]]+2)</f>
        <v>0</v>
      </c>
      <c r="BD118">
        <f>Table13[[#This Row],[duration'[2']]]*Table13[[#This Row],[intensity'[2']]]</f>
        <v>0</v>
      </c>
      <c r="BE118">
        <f>MOD(Table13[[#This Row],[ZMW num]]+2, 4)</f>
        <v>3</v>
      </c>
      <c r="BF118" s="2" t="str">
        <f>Single2String(Table13[[#This Row],[t1'[0']]])</f>
        <v>00000000</v>
      </c>
      <c r="BG118" s="1" t="str">
        <f>Single2String(Table13[[#This Row],[dt'[0']]])</f>
        <v>00000000</v>
      </c>
      <c r="BH118" s="1" t="str">
        <f>Single2String(Table13[[#This Row],[t1'[1']]])</f>
        <v>00000000</v>
      </c>
      <c r="BI118" s="1" t="str">
        <f>Single2String(Table13[[#This Row],[dt'[1']]])</f>
        <v>00000000</v>
      </c>
      <c r="BJ118" s="1" t="str">
        <f>Single2String(Table13[[#This Row],[t1'[2']]])</f>
        <v>00000000</v>
      </c>
      <c r="BK118" s="1" t="str">
        <f>Single2String(Table13[[#This Row],[dt'[2']]])</f>
        <v>00000000</v>
      </c>
      <c r="BL118" s="1" t="str">
        <f>DEC2HEX(Table13[[#This Row],[ZMW num]], 6)</f>
        <v>000071</v>
      </c>
      <c r="BM118" s="1">
        <f>LEN(Table13[[#This Row],[DRAM data]])</f>
        <v>64</v>
      </c>
      <c r="BN11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0000000000000000000000000000000000000000000000001020300000007100</v>
      </c>
      <c r="CU118"/>
    </row>
    <row r="119" spans="1:99" x14ac:dyDescent="0.25">
      <c r="A119" t="str">
        <f>Single2String(Table13[[#This Row],[duration'[0']]])</f>
        <v>00000000</v>
      </c>
      <c r="B119" t="str">
        <f>Single2String(Table13[[#This Row],[duration'[1']]])</f>
        <v>00000000</v>
      </c>
      <c r="C119" t="str">
        <f>Single2String(Table13[[#This Row],[duration'[2']]])</f>
        <v>00000000</v>
      </c>
      <c r="D119" t="str">
        <f>INDEX(Table3[Hex], Table13[[#This Row],[int'[0']]]+1)</f>
        <v>00000000</v>
      </c>
      <c r="E119" t="str">
        <f>INDEX(Table3[Hex], Table13[[#This Row],[int'[1']]]+1)</f>
        <v>00000000</v>
      </c>
      <c r="F119" t="str">
        <f>INDEX(Table3[Hex], Table13[[#This Row],[int'[1']]]+1)</f>
        <v>00000000</v>
      </c>
      <c r="G119" t="str">
        <f>Single2String(Table13[[#This Row],[c ktrace]])</f>
        <v>00000000</v>
      </c>
      <c r="H119" t="str">
        <f>Single2String(Table13[[#This Row],[a ktrace]])</f>
        <v>00000000</v>
      </c>
      <c r="I119" t="str">
        <f>Single2String(Table13[[#This Row],[g ktrace]])</f>
        <v>00000000</v>
      </c>
      <c r="J119" t="str">
        <f>Single2String(Table13[[#This Row],[t ktrace]])</f>
        <v>00000000</v>
      </c>
      <c r="K119" s="3">
        <v>114</v>
      </c>
      <c r="L119">
        <f>SUM(Table13[[#This Row],[c ktrace'[2']]:[c ktrace'[0']]])</f>
        <v>0</v>
      </c>
      <c r="M119">
        <f>SUM(Table13[[#This Row],[a ktrace'[2']]:[a ktrace'[0']]])</f>
        <v>0</v>
      </c>
      <c r="N119">
        <f>SUM(Table13[[#This Row],[g ktrace'[2']]:[g ktrace'[0']]])</f>
        <v>0</v>
      </c>
      <c r="O119">
        <f>SUM(Table13[[#This Row],[t ktrace'[2']]:[t ktrace'[0']]])</f>
        <v>0</v>
      </c>
      <c r="P119">
        <f xml:space="preserve"> IF(Table13[[#This Row],[dye'[2']]]=3, Table13[[#This Row],[strength'[2']]], 0)</f>
        <v>0</v>
      </c>
      <c r="Q119">
        <f xml:space="preserve"> IF(Table13[[#This Row],[dye'[1']]]=3, Table13[[#This Row],[strength'[1']]], 0)</f>
        <v>0</v>
      </c>
      <c r="R119">
        <f xml:space="preserve"> IF(Table13[[#This Row],[dye'[0']]]=3, Table13[[#This Row],[strength'[0']]], 0)</f>
        <v>0</v>
      </c>
      <c r="S119">
        <f xml:space="preserve"> IF(Table13[[#This Row],[dye'[2']]]=2, Table13[[#This Row],[strength'[2']]], 0)</f>
        <v>0</v>
      </c>
      <c r="T119">
        <f xml:space="preserve"> IF(Table13[[#This Row],[dye'[1']]]=2, Table13[[#This Row],[strength'[1']]], 0)</f>
        <v>0</v>
      </c>
      <c r="U119">
        <f xml:space="preserve"> IF(Table13[[#This Row],[dye'[0']]]=2, Table13[[#This Row],[strength'[0']]], 0)</f>
        <v>0</v>
      </c>
      <c r="V119">
        <f xml:space="preserve"> IF(Table13[[#This Row],[dye'[2']]]=1, Table13[[#This Row],[strength'[2']]], 0)</f>
        <v>0</v>
      </c>
      <c r="W119">
        <f xml:space="preserve"> IF(Table13[[#This Row],[dye'[1']]]=1, Table13[[#This Row],[strength'[1']]], 0)</f>
        <v>0</v>
      </c>
      <c r="X119">
        <f xml:space="preserve"> IF(Table13[[#This Row],[dye'[0']]]=1, Table13[[#This Row],[strength'[0']]], 0)</f>
        <v>0</v>
      </c>
      <c r="Y119">
        <f xml:space="preserve"> IF(Table13[[#This Row],[dye'[2']]]=0, Table13[[#This Row],[strength'[2']]], 0)</f>
        <v>0</v>
      </c>
      <c r="Z119">
        <f xml:space="preserve"> IF(Table13[[#This Row],[dye'[1']]]=0, Table13[[#This Row],[strength'[1']]], 0)</f>
        <v>0</v>
      </c>
      <c r="AA119">
        <f xml:space="preserve"> IF(Table13[[#This Row],[dye'[0']]]=0, Table13[[#This Row],[strength'[0']]], 0)</f>
        <v>0</v>
      </c>
      <c r="AB119">
        <v>0</v>
      </c>
      <c r="AC119">
        <f>MAX($D$2, Table13[[#This Row],[t1'[0']]])</f>
        <v>0</v>
      </c>
      <c r="AD119">
        <v>0</v>
      </c>
      <c r="AE119">
        <f>Table13[[#This Row],[t1'[0']]]+Table13[[#This Row],[dt'[0']]]</f>
        <v>0</v>
      </c>
      <c r="AF119">
        <f>MIN($C$2, Table13[[#This Row],[tf'[0']]])</f>
        <v>0</v>
      </c>
      <c r="AG119">
        <f>Table13[[#This Row],[time2'[0']]]-Table13[[#This Row],[time1'[0']]]</f>
        <v>0</v>
      </c>
      <c r="AH119">
        <v>0</v>
      </c>
      <c r="AI119">
        <f xml:space="preserve"> INDEX(Table3[[#All],[Intensity]], Table13[[#This Row],[int'[0']]]+2)</f>
        <v>0</v>
      </c>
      <c r="AJ119">
        <f>Table13[[#This Row],[duration'[0']]]*Table13[[#This Row],[intensity'[0']]]</f>
        <v>0</v>
      </c>
      <c r="AK119">
        <f>MOD(Table13[[#This Row],[ZMW num]], 4)</f>
        <v>2</v>
      </c>
      <c r="AL119">
        <v>0</v>
      </c>
      <c r="AM119">
        <f>MAX($D$2, Table13[[#This Row],[t1'[1']]])</f>
        <v>0</v>
      </c>
      <c r="AN119">
        <v>0</v>
      </c>
      <c r="AO119">
        <f>Table13[[#This Row],[t1'[1']]]+Table13[[#This Row],[dt'[1']]]</f>
        <v>0</v>
      </c>
      <c r="AP119">
        <f>MIN($C$2, Table13[[#This Row],[tf'[1']]])</f>
        <v>0</v>
      </c>
      <c r="AQ119">
        <f>Table13[[#This Row],[time2'[1']]]-Table13[[#This Row],[time1'[1']]]</f>
        <v>0</v>
      </c>
      <c r="AR119">
        <v>0</v>
      </c>
      <c r="AS119">
        <f xml:space="preserve"> INDEX(Table3[[#All],[Intensity]], Table13[[#This Row],[int'[1']]]+2)</f>
        <v>0</v>
      </c>
      <c r="AT119">
        <f>Table13[[#This Row],[duration'[1']]]*Table13[[#This Row],[intensity'[1']]]</f>
        <v>0</v>
      </c>
      <c r="AU119">
        <f>MOD(Table13[[#This Row],[ZMW num]]+1, 4)</f>
        <v>3</v>
      </c>
      <c r="AV119">
        <v>0</v>
      </c>
      <c r="AW119">
        <f>MAX($D$2, Table13[[#This Row],[t1'[2']]])</f>
        <v>0</v>
      </c>
      <c r="AX119">
        <v>0</v>
      </c>
      <c r="AY119">
        <f>Table13[[#This Row],[t1'[2']]]+Table13[[#This Row],[dt'[2']]]</f>
        <v>0</v>
      </c>
      <c r="AZ119">
        <f>MIN($C$2, Table13[[#This Row],[tf'[2']]])</f>
        <v>0</v>
      </c>
      <c r="BA119">
        <f>Table13[[#This Row],[time2'[2']]]-Table13[[#This Row],[time1'[2']]]</f>
        <v>0</v>
      </c>
      <c r="BB119">
        <v>0</v>
      </c>
      <c r="BC119">
        <f xml:space="preserve"> INDEX(Table3[[#All],[Intensity]], Table13[[#This Row],[int'[2']]]+2)</f>
        <v>0</v>
      </c>
      <c r="BD119">
        <f>Table13[[#This Row],[duration'[2']]]*Table13[[#This Row],[intensity'[2']]]</f>
        <v>0</v>
      </c>
      <c r="BE119">
        <f>MOD(Table13[[#This Row],[ZMW num]]+2, 4)</f>
        <v>0</v>
      </c>
      <c r="BF119" s="2" t="str">
        <f>Single2String(Table13[[#This Row],[t1'[0']]])</f>
        <v>00000000</v>
      </c>
      <c r="BG119" s="1" t="str">
        <f>Single2String(Table13[[#This Row],[dt'[0']]])</f>
        <v>00000000</v>
      </c>
      <c r="BH119" s="1" t="str">
        <f>Single2String(Table13[[#This Row],[t1'[1']]])</f>
        <v>00000000</v>
      </c>
      <c r="BI119" s="1" t="str">
        <f>Single2String(Table13[[#This Row],[dt'[1']]])</f>
        <v>00000000</v>
      </c>
      <c r="BJ119" s="1" t="str">
        <f>Single2String(Table13[[#This Row],[t1'[2']]])</f>
        <v>00000000</v>
      </c>
      <c r="BK119" s="1" t="str">
        <f>Single2String(Table13[[#This Row],[dt'[2']]])</f>
        <v>00000000</v>
      </c>
      <c r="BL119" s="1" t="str">
        <f>DEC2HEX(Table13[[#This Row],[ZMW num]], 6)</f>
        <v>000072</v>
      </c>
      <c r="BM119" s="1">
        <f>LEN(Table13[[#This Row],[DRAM data]])</f>
        <v>64</v>
      </c>
      <c r="BN11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0000000000000000000000000000000000000000000000002030000000007200</v>
      </c>
      <c r="CU119"/>
    </row>
    <row r="120" spans="1:99" x14ac:dyDescent="0.25">
      <c r="A120" t="str">
        <f>Single2String(Table13[[#This Row],[duration'[0']]])</f>
        <v>00000000</v>
      </c>
      <c r="B120" t="str">
        <f>Single2String(Table13[[#This Row],[duration'[1']]])</f>
        <v>00000000</v>
      </c>
      <c r="C120" t="str">
        <f>Single2String(Table13[[#This Row],[duration'[2']]])</f>
        <v>00000000</v>
      </c>
      <c r="D120" t="str">
        <f>INDEX(Table3[Hex], Table13[[#This Row],[int'[0']]]+1)</f>
        <v>00000000</v>
      </c>
      <c r="E120" t="str">
        <f>INDEX(Table3[Hex], Table13[[#This Row],[int'[1']]]+1)</f>
        <v>00000000</v>
      </c>
      <c r="F120" t="str">
        <f>INDEX(Table3[Hex], Table13[[#This Row],[int'[1']]]+1)</f>
        <v>00000000</v>
      </c>
      <c r="G120" t="str">
        <f>Single2String(Table13[[#This Row],[c ktrace]])</f>
        <v>00000000</v>
      </c>
      <c r="H120" t="str">
        <f>Single2String(Table13[[#This Row],[a ktrace]])</f>
        <v>00000000</v>
      </c>
      <c r="I120" t="str">
        <f>Single2String(Table13[[#This Row],[g ktrace]])</f>
        <v>00000000</v>
      </c>
      <c r="J120" t="str">
        <f>Single2String(Table13[[#This Row],[t ktrace]])</f>
        <v>00000000</v>
      </c>
      <c r="K120" s="3">
        <v>115</v>
      </c>
      <c r="L120">
        <f>SUM(Table13[[#This Row],[c ktrace'[2']]:[c ktrace'[0']]])</f>
        <v>0</v>
      </c>
      <c r="M120">
        <f>SUM(Table13[[#This Row],[a ktrace'[2']]:[a ktrace'[0']]])</f>
        <v>0</v>
      </c>
      <c r="N120">
        <f>SUM(Table13[[#This Row],[g ktrace'[2']]:[g ktrace'[0']]])</f>
        <v>0</v>
      </c>
      <c r="O120">
        <f>SUM(Table13[[#This Row],[t ktrace'[2']]:[t ktrace'[0']]])</f>
        <v>0</v>
      </c>
      <c r="P120">
        <f xml:space="preserve"> IF(Table13[[#This Row],[dye'[2']]]=3, Table13[[#This Row],[strength'[2']]], 0)</f>
        <v>0</v>
      </c>
      <c r="Q120">
        <f xml:space="preserve"> IF(Table13[[#This Row],[dye'[1']]]=3, Table13[[#This Row],[strength'[1']]], 0)</f>
        <v>0</v>
      </c>
      <c r="R120">
        <f xml:space="preserve"> IF(Table13[[#This Row],[dye'[0']]]=3, Table13[[#This Row],[strength'[0']]], 0)</f>
        <v>0</v>
      </c>
      <c r="S120">
        <f xml:space="preserve"> IF(Table13[[#This Row],[dye'[2']]]=2, Table13[[#This Row],[strength'[2']]], 0)</f>
        <v>0</v>
      </c>
      <c r="T120">
        <f xml:space="preserve"> IF(Table13[[#This Row],[dye'[1']]]=2, Table13[[#This Row],[strength'[1']]], 0)</f>
        <v>0</v>
      </c>
      <c r="U120">
        <f xml:space="preserve"> IF(Table13[[#This Row],[dye'[0']]]=2, Table13[[#This Row],[strength'[0']]], 0)</f>
        <v>0</v>
      </c>
      <c r="V120">
        <f xml:space="preserve"> IF(Table13[[#This Row],[dye'[2']]]=1, Table13[[#This Row],[strength'[2']]], 0)</f>
        <v>0</v>
      </c>
      <c r="W120">
        <f xml:space="preserve"> IF(Table13[[#This Row],[dye'[1']]]=1, Table13[[#This Row],[strength'[1']]], 0)</f>
        <v>0</v>
      </c>
      <c r="X120">
        <f xml:space="preserve"> IF(Table13[[#This Row],[dye'[0']]]=1, Table13[[#This Row],[strength'[0']]], 0)</f>
        <v>0</v>
      </c>
      <c r="Y120">
        <f xml:space="preserve"> IF(Table13[[#This Row],[dye'[2']]]=0, Table13[[#This Row],[strength'[2']]], 0)</f>
        <v>0</v>
      </c>
      <c r="Z120">
        <f xml:space="preserve"> IF(Table13[[#This Row],[dye'[1']]]=0, Table13[[#This Row],[strength'[1']]], 0)</f>
        <v>0</v>
      </c>
      <c r="AA120">
        <f xml:space="preserve"> IF(Table13[[#This Row],[dye'[0']]]=0, Table13[[#This Row],[strength'[0']]], 0)</f>
        <v>0</v>
      </c>
      <c r="AB120">
        <v>0</v>
      </c>
      <c r="AC120">
        <f>MAX($D$2, Table13[[#This Row],[t1'[0']]])</f>
        <v>0</v>
      </c>
      <c r="AD120">
        <v>0</v>
      </c>
      <c r="AE120">
        <f>Table13[[#This Row],[t1'[0']]]+Table13[[#This Row],[dt'[0']]]</f>
        <v>0</v>
      </c>
      <c r="AF120">
        <f>MIN($C$2, Table13[[#This Row],[tf'[0']]])</f>
        <v>0</v>
      </c>
      <c r="AG120">
        <f>Table13[[#This Row],[time2'[0']]]-Table13[[#This Row],[time1'[0']]]</f>
        <v>0</v>
      </c>
      <c r="AH120">
        <v>0</v>
      </c>
      <c r="AI120">
        <f xml:space="preserve"> INDEX(Table3[[#All],[Intensity]], Table13[[#This Row],[int'[0']]]+2)</f>
        <v>0</v>
      </c>
      <c r="AJ120">
        <f>Table13[[#This Row],[duration'[0']]]*Table13[[#This Row],[intensity'[0']]]</f>
        <v>0</v>
      </c>
      <c r="AK120">
        <f>MOD(Table13[[#This Row],[ZMW num]], 4)</f>
        <v>3</v>
      </c>
      <c r="AL120">
        <v>0</v>
      </c>
      <c r="AM120">
        <f>MAX($D$2, Table13[[#This Row],[t1'[1']]])</f>
        <v>0</v>
      </c>
      <c r="AN120">
        <v>0</v>
      </c>
      <c r="AO120">
        <f>Table13[[#This Row],[t1'[1']]]+Table13[[#This Row],[dt'[1']]]</f>
        <v>0</v>
      </c>
      <c r="AP120">
        <f>MIN($C$2, Table13[[#This Row],[tf'[1']]])</f>
        <v>0</v>
      </c>
      <c r="AQ120">
        <f>Table13[[#This Row],[time2'[1']]]-Table13[[#This Row],[time1'[1']]]</f>
        <v>0</v>
      </c>
      <c r="AR120">
        <v>0</v>
      </c>
      <c r="AS120">
        <f xml:space="preserve"> INDEX(Table3[[#All],[Intensity]], Table13[[#This Row],[int'[1']]]+2)</f>
        <v>0</v>
      </c>
      <c r="AT120">
        <f>Table13[[#This Row],[duration'[1']]]*Table13[[#This Row],[intensity'[1']]]</f>
        <v>0</v>
      </c>
      <c r="AU120">
        <f>MOD(Table13[[#This Row],[ZMW num]]+1, 4)</f>
        <v>0</v>
      </c>
      <c r="AV120">
        <v>0</v>
      </c>
      <c r="AW120">
        <f>MAX($D$2, Table13[[#This Row],[t1'[2']]])</f>
        <v>0</v>
      </c>
      <c r="AX120">
        <v>0</v>
      </c>
      <c r="AY120">
        <f>Table13[[#This Row],[t1'[2']]]+Table13[[#This Row],[dt'[2']]]</f>
        <v>0</v>
      </c>
      <c r="AZ120">
        <f>MIN($C$2, Table13[[#This Row],[tf'[2']]])</f>
        <v>0</v>
      </c>
      <c r="BA120">
        <f>Table13[[#This Row],[time2'[2']]]-Table13[[#This Row],[time1'[2']]]</f>
        <v>0</v>
      </c>
      <c r="BB120">
        <v>0</v>
      </c>
      <c r="BC120">
        <f xml:space="preserve"> INDEX(Table3[[#All],[Intensity]], Table13[[#This Row],[int'[2']]]+2)</f>
        <v>0</v>
      </c>
      <c r="BD120">
        <f>Table13[[#This Row],[duration'[2']]]*Table13[[#This Row],[intensity'[2']]]</f>
        <v>0</v>
      </c>
      <c r="BE120">
        <f>MOD(Table13[[#This Row],[ZMW num]]+2, 4)</f>
        <v>1</v>
      </c>
      <c r="BF120" s="2" t="str">
        <f>Single2String(Table13[[#This Row],[t1'[0']]])</f>
        <v>00000000</v>
      </c>
      <c r="BG120" s="1" t="str">
        <f>Single2String(Table13[[#This Row],[dt'[0']]])</f>
        <v>00000000</v>
      </c>
      <c r="BH120" s="1" t="str">
        <f>Single2String(Table13[[#This Row],[t1'[1']]])</f>
        <v>00000000</v>
      </c>
      <c r="BI120" s="1" t="str">
        <f>Single2String(Table13[[#This Row],[dt'[1']]])</f>
        <v>00000000</v>
      </c>
      <c r="BJ120" s="1" t="str">
        <f>Single2String(Table13[[#This Row],[t1'[2']]])</f>
        <v>00000000</v>
      </c>
      <c r="BK120" s="1" t="str">
        <f>Single2String(Table13[[#This Row],[dt'[2']]])</f>
        <v>00000000</v>
      </c>
      <c r="BL120" s="1" t="str">
        <f>DEC2HEX(Table13[[#This Row],[ZMW num]], 6)</f>
        <v>000073</v>
      </c>
      <c r="BM120" s="1">
        <f>LEN(Table13[[#This Row],[DRAM data]])</f>
        <v>64</v>
      </c>
      <c r="BN12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0000000000000000000000000000000000000000000000003000100000007300</v>
      </c>
      <c r="CU120"/>
    </row>
    <row r="121" spans="1:99" x14ac:dyDescent="0.25">
      <c r="A121" t="str">
        <f>Single2String(Table13[[#This Row],[duration'[0']]])</f>
        <v>00000000</v>
      </c>
      <c r="B121" t="str">
        <f>Single2String(Table13[[#This Row],[duration'[1']]])</f>
        <v>00000000</v>
      </c>
      <c r="C121" t="str">
        <f>Single2String(Table13[[#This Row],[duration'[2']]])</f>
        <v>00000000</v>
      </c>
      <c r="D121" t="str">
        <f>INDEX(Table3[Hex], Table13[[#This Row],[int'[0']]]+1)</f>
        <v>00000000</v>
      </c>
      <c r="E121" t="str">
        <f>INDEX(Table3[Hex], Table13[[#This Row],[int'[1']]]+1)</f>
        <v>00000000</v>
      </c>
      <c r="F121" t="str">
        <f>INDEX(Table3[Hex], Table13[[#This Row],[int'[1']]]+1)</f>
        <v>00000000</v>
      </c>
      <c r="G121" t="str">
        <f>Single2String(Table13[[#This Row],[c ktrace]])</f>
        <v>00000000</v>
      </c>
      <c r="H121" t="str">
        <f>Single2String(Table13[[#This Row],[a ktrace]])</f>
        <v>00000000</v>
      </c>
      <c r="I121" t="str">
        <f>Single2String(Table13[[#This Row],[g ktrace]])</f>
        <v>00000000</v>
      </c>
      <c r="J121" t="str">
        <f>Single2String(Table13[[#This Row],[t ktrace]])</f>
        <v>00000000</v>
      </c>
      <c r="K121" s="3">
        <v>116</v>
      </c>
      <c r="L121">
        <f>SUM(Table13[[#This Row],[c ktrace'[2']]:[c ktrace'[0']]])</f>
        <v>0</v>
      </c>
      <c r="M121">
        <f>SUM(Table13[[#This Row],[a ktrace'[2']]:[a ktrace'[0']]])</f>
        <v>0</v>
      </c>
      <c r="N121">
        <f>SUM(Table13[[#This Row],[g ktrace'[2']]:[g ktrace'[0']]])</f>
        <v>0</v>
      </c>
      <c r="O121">
        <f>SUM(Table13[[#This Row],[t ktrace'[2']]:[t ktrace'[0']]])</f>
        <v>0</v>
      </c>
      <c r="P121">
        <f xml:space="preserve"> IF(Table13[[#This Row],[dye'[2']]]=3, Table13[[#This Row],[strength'[2']]], 0)</f>
        <v>0</v>
      </c>
      <c r="Q121">
        <f xml:space="preserve"> IF(Table13[[#This Row],[dye'[1']]]=3, Table13[[#This Row],[strength'[1']]], 0)</f>
        <v>0</v>
      </c>
      <c r="R121">
        <f xml:space="preserve"> IF(Table13[[#This Row],[dye'[0']]]=3, Table13[[#This Row],[strength'[0']]], 0)</f>
        <v>0</v>
      </c>
      <c r="S121">
        <f xml:space="preserve"> IF(Table13[[#This Row],[dye'[2']]]=2, Table13[[#This Row],[strength'[2']]], 0)</f>
        <v>0</v>
      </c>
      <c r="T121">
        <f xml:space="preserve"> IF(Table13[[#This Row],[dye'[1']]]=2, Table13[[#This Row],[strength'[1']]], 0)</f>
        <v>0</v>
      </c>
      <c r="U121">
        <f xml:space="preserve"> IF(Table13[[#This Row],[dye'[0']]]=2, Table13[[#This Row],[strength'[0']]], 0)</f>
        <v>0</v>
      </c>
      <c r="V121">
        <f xml:space="preserve"> IF(Table13[[#This Row],[dye'[2']]]=1, Table13[[#This Row],[strength'[2']]], 0)</f>
        <v>0</v>
      </c>
      <c r="W121">
        <f xml:space="preserve"> IF(Table13[[#This Row],[dye'[1']]]=1, Table13[[#This Row],[strength'[1']]], 0)</f>
        <v>0</v>
      </c>
      <c r="X121">
        <f xml:space="preserve"> IF(Table13[[#This Row],[dye'[0']]]=1, Table13[[#This Row],[strength'[0']]], 0)</f>
        <v>0</v>
      </c>
      <c r="Y121">
        <f xml:space="preserve"> IF(Table13[[#This Row],[dye'[2']]]=0, Table13[[#This Row],[strength'[2']]], 0)</f>
        <v>0</v>
      </c>
      <c r="Z121">
        <f xml:space="preserve"> IF(Table13[[#This Row],[dye'[1']]]=0, Table13[[#This Row],[strength'[1']]], 0)</f>
        <v>0</v>
      </c>
      <c r="AA121">
        <f xml:space="preserve"> IF(Table13[[#This Row],[dye'[0']]]=0, Table13[[#This Row],[strength'[0']]], 0)</f>
        <v>0</v>
      </c>
      <c r="AB121">
        <v>0</v>
      </c>
      <c r="AC121">
        <f>MAX($D$2, Table13[[#This Row],[t1'[0']]])</f>
        <v>0</v>
      </c>
      <c r="AD121">
        <v>0</v>
      </c>
      <c r="AE121">
        <f>Table13[[#This Row],[t1'[0']]]+Table13[[#This Row],[dt'[0']]]</f>
        <v>0</v>
      </c>
      <c r="AF121">
        <f>MIN($C$2, Table13[[#This Row],[tf'[0']]])</f>
        <v>0</v>
      </c>
      <c r="AG121">
        <f>Table13[[#This Row],[time2'[0']]]-Table13[[#This Row],[time1'[0']]]</f>
        <v>0</v>
      </c>
      <c r="AH121">
        <v>0</v>
      </c>
      <c r="AI121">
        <f xml:space="preserve"> INDEX(Table3[[#All],[Intensity]], Table13[[#This Row],[int'[0']]]+2)</f>
        <v>0</v>
      </c>
      <c r="AJ121">
        <f>Table13[[#This Row],[duration'[0']]]*Table13[[#This Row],[intensity'[0']]]</f>
        <v>0</v>
      </c>
      <c r="AK121">
        <f>MOD(Table13[[#This Row],[ZMW num]], 4)</f>
        <v>0</v>
      </c>
      <c r="AL121">
        <v>0</v>
      </c>
      <c r="AM121">
        <f>MAX($D$2, Table13[[#This Row],[t1'[1']]])</f>
        <v>0</v>
      </c>
      <c r="AN121">
        <v>0</v>
      </c>
      <c r="AO121">
        <f>Table13[[#This Row],[t1'[1']]]+Table13[[#This Row],[dt'[1']]]</f>
        <v>0</v>
      </c>
      <c r="AP121">
        <f>MIN($C$2, Table13[[#This Row],[tf'[1']]])</f>
        <v>0</v>
      </c>
      <c r="AQ121">
        <f>Table13[[#This Row],[time2'[1']]]-Table13[[#This Row],[time1'[1']]]</f>
        <v>0</v>
      </c>
      <c r="AR121">
        <v>0</v>
      </c>
      <c r="AS121">
        <f xml:space="preserve"> INDEX(Table3[[#All],[Intensity]], Table13[[#This Row],[int'[1']]]+2)</f>
        <v>0</v>
      </c>
      <c r="AT121">
        <f>Table13[[#This Row],[duration'[1']]]*Table13[[#This Row],[intensity'[1']]]</f>
        <v>0</v>
      </c>
      <c r="AU121">
        <f>MOD(Table13[[#This Row],[ZMW num]]+1, 4)</f>
        <v>1</v>
      </c>
      <c r="AV121">
        <v>0</v>
      </c>
      <c r="AW121">
        <f>MAX($D$2, Table13[[#This Row],[t1'[2']]])</f>
        <v>0</v>
      </c>
      <c r="AX121">
        <v>0</v>
      </c>
      <c r="AY121">
        <f>Table13[[#This Row],[t1'[2']]]+Table13[[#This Row],[dt'[2']]]</f>
        <v>0</v>
      </c>
      <c r="AZ121">
        <f>MIN($C$2, Table13[[#This Row],[tf'[2']]])</f>
        <v>0</v>
      </c>
      <c r="BA121">
        <f>Table13[[#This Row],[time2'[2']]]-Table13[[#This Row],[time1'[2']]]</f>
        <v>0</v>
      </c>
      <c r="BB121">
        <v>0</v>
      </c>
      <c r="BC121">
        <f xml:space="preserve"> INDEX(Table3[[#All],[Intensity]], Table13[[#This Row],[int'[2']]]+2)</f>
        <v>0</v>
      </c>
      <c r="BD121">
        <f>Table13[[#This Row],[duration'[2']]]*Table13[[#This Row],[intensity'[2']]]</f>
        <v>0</v>
      </c>
      <c r="BE121">
        <f>MOD(Table13[[#This Row],[ZMW num]]+2, 4)</f>
        <v>2</v>
      </c>
      <c r="BF121" s="2" t="str">
        <f>Single2String(Table13[[#This Row],[t1'[0']]])</f>
        <v>00000000</v>
      </c>
      <c r="BG121" s="1" t="str">
        <f>Single2String(Table13[[#This Row],[dt'[0']]])</f>
        <v>00000000</v>
      </c>
      <c r="BH121" s="1" t="str">
        <f>Single2String(Table13[[#This Row],[t1'[1']]])</f>
        <v>00000000</v>
      </c>
      <c r="BI121" s="1" t="str">
        <f>Single2String(Table13[[#This Row],[dt'[1']]])</f>
        <v>00000000</v>
      </c>
      <c r="BJ121" s="1" t="str">
        <f>Single2String(Table13[[#This Row],[t1'[2']]])</f>
        <v>00000000</v>
      </c>
      <c r="BK121" s="1" t="str">
        <f>Single2String(Table13[[#This Row],[dt'[2']]])</f>
        <v>00000000</v>
      </c>
      <c r="BL121" s="1" t="str">
        <f>DEC2HEX(Table13[[#This Row],[ZMW num]], 6)</f>
        <v>000074</v>
      </c>
      <c r="BM121" s="1">
        <f>LEN(Table13[[#This Row],[DRAM data]])</f>
        <v>64</v>
      </c>
      <c r="BN12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0000000000000000000000000000000000000000000000000010200000007400</v>
      </c>
      <c r="CU121"/>
    </row>
    <row r="122" spans="1:99" x14ac:dyDescent="0.25">
      <c r="A122" t="str">
        <f>Single2String(Table13[[#This Row],[duration'[0']]])</f>
        <v>00000000</v>
      </c>
      <c r="B122" t="str">
        <f>Single2String(Table13[[#This Row],[duration'[1']]])</f>
        <v>00000000</v>
      </c>
      <c r="C122" t="str">
        <f>Single2String(Table13[[#This Row],[duration'[2']]])</f>
        <v>00000000</v>
      </c>
      <c r="D122" t="str">
        <f>INDEX(Table3[Hex], Table13[[#This Row],[int'[0']]]+1)</f>
        <v>00000000</v>
      </c>
      <c r="E122" t="str">
        <f>INDEX(Table3[Hex], Table13[[#This Row],[int'[1']]]+1)</f>
        <v>00000000</v>
      </c>
      <c r="F122" t="str">
        <f>INDEX(Table3[Hex], Table13[[#This Row],[int'[1']]]+1)</f>
        <v>00000000</v>
      </c>
      <c r="G122" t="str">
        <f>Single2String(Table13[[#This Row],[c ktrace]])</f>
        <v>00000000</v>
      </c>
      <c r="H122" t="str">
        <f>Single2String(Table13[[#This Row],[a ktrace]])</f>
        <v>00000000</v>
      </c>
      <c r="I122" t="str">
        <f>Single2String(Table13[[#This Row],[g ktrace]])</f>
        <v>00000000</v>
      </c>
      <c r="J122" t="str">
        <f>Single2String(Table13[[#This Row],[t ktrace]])</f>
        <v>00000000</v>
      </c>
      <c r="K122" s="3">
        <v>117</v>
      </c>
      <c r="L122">
        <f>SUM(Table13[[#This Row],[c ktrace'[2']]:[c ktrace'[0']]])</f>
        <v>0</v>
      </c>
      <c r="M122">
        <f>SUM(Table13[[#This Row],[a ktrace'[2']]:[a ktrace'[0']]])</f>
        <v>0</v>
      </c>
      <c r="N122">
        <f>SUM(Table13[[#This Row],[g ktrace'[2']]:[g ktrace'[0']]])</f>
        <v>0</v>
      </c>
      <c r="O122">
        <f>SUM(Table13[[#This Row],[t ktrace'[2']]:[t ktrace'[0']]])</f>
        <v>0</v>
      </c>
      <c r="P122">
        <f xml:space="preserve"> IF(Table13[[#This Row],[dye'[2']]]=3, Table13[[#This Row],[strength'[2']]], 0)</f>
        <v>0</v>
      </c>
      <c r="Q122">
        <f xml:space="preserve"> IF(Table13[[#This Row],[dye'[1']]]=3, Table13[[#This Row],[strength'[1']]], 0)</f>
        <v>0</v>
      </c>
      <c r="R122">
        <f xml:space="preserve"> IF(Table13[[#This Row],[dye'[0']]]=3, Table13[[#This Row],[strength'[0']]], 0)</f>
        <v>0</v>
      </c>
      <c r="S122">
        <f xml:space="preserve"> IF(Table13[[#This Row],[dye'[2']]]=2, Table13[[#This Row],[strength'[2']]], 0)</f>
        <v>0</v>
      </c>
      <c r="T122">
        <f xml:space="preserve"> IF(Table13[[#This Row],[dye'[1']]]=2, Table13[[#This Row],[strength'[1']]], 0)</f>
        <v>0</v>
      </c>
      <c r="U122">
        <f xml:space="preserve"> IF(Table13[[#This Row],[dye'[0']]]=2, Table13[[#This Row],[strength'[0']]], 0)</f>
        <v>0</v>
      </c>
      <c r="V122">
        <f xml:space="preserve"> IF(Table13[[#This Row],[dye'[2']]]=1, Table13[[#This Row],[strength'[2']]], 0)</f>
        <v>0</v>
      </c>
      <c r="W122">
        <f xml:space="preserve"> IF(Table13[[#This Row],[dye'[1']]]=1, Table13[[#This Row],[strength'[1']]], 0)</f>
        <v>0</v>
      </c>
      <c r="X122">
        <f xml:space="preserve"> IF(Table13[[#This Row],[dye'[0']]]=1, Table13[[#This Row],[strength'[0']]], 0)</f>
        <v>0</v>
      </c>
      <c r="Y122">
        <f xml:space="preserve"> IF(Table13[[#This Row],[dye'[2']]]=0, Table13[[#This Row],[strength'[2']]], 0)</f>
        <v>0</v>
      </c>
      <c r="Z122">
        <f xml:space="preserve"> IF(Table13[[#This Row],[dye'[1']]]=0, Table13[[#This Row],[strength'[1']]], 0)</f>
        <v>0</v>
      </c>
      <c r="AA122">
        <f xml:space="preserve"> IF(Table13[[#This Row],[dye'[0']]]=0, Table13[[#This Row],[strength'[0']]], 0)</f>
        <v>0</v>
      </c>
      <c r="AB122">
        <v>0</v>
      </c>
      <c r="AC122">
        <f>MAX($D$2, Table13[[#This Row],[t1'[0']]])</f>
        <v>0</v>
      </c>
      <c r="AD122">
        <v>0</v>
      </c>
      <c r="AE122">
        <f>Table13[[#This Row],[t1'[0']]]+Table13[[#This Row],[dt'[0']]]</f>
        <v>0</v>
      </c>
      <c r="AF122">
        <f>MIN($C$2, Table13[[#This Row],[tf'[0']]])</f>
        <v>0</v>
      </c>
      <c r="AG122">
        <f>Table13[[#This Row],[time2'[0']]]-Table13[[#This Row],[time1'[0']]]</f>
        <v>0</v>
      </c>
      <c r="AH122">
        <v>0</v>
      </c>
      <c r="AI122">
        <f xml:space="preserve"> INDEX(Table3[[#All],[Intensity]], Table13[[#This Row],[int'[0']]]+2)</f>
        <v>0</v>
      </c>
      <c r="AJ122">
        <f>Table13[[#This Row],[duration'[0']]]*Table13[[#This Row],[intensity'[0']]]</f>
        <v>0</v>
      </c>
      <c r="AK122">
        <f>MOD(Table13[[#This Row],[ZMW num]], 4)</f>
        <v>1</v>
      </c>
      <c r="AL122">
        <v>0</v>
      </c>
      <c r="AM122">
        <f>MAX($D$2, Table13[[#This Row],[t1'[1']]])</f>
        <v>0</v>
      </c>
      <c r="AN122">
        <v>0</v>
      </c>
      <c r="AO122">
        <f>Table13[[#This Row],[t1'[1']]]+Table13[[#This Row],[dt'[1']]]</f>
        <v>0</v>
      </c>
      <c r="AP122">
        <f>MIN($C$2, Table13[[#This Row],[tf'[1']]])</f>
        <v>0</v>
      </c>
      <c r="AQ122">
        <f>Table13[[#This Row],[time2'[1']]]-Table13[[#This Row],[time1'[1']]]</f>
        <v>0</v>
      </c>
      <c r="AR122">
        <v>0</v>
      </c>
      <c r="AS122">
        <f xml:space="preserve"> INDEX(Table3[[#All],[Intensity]], Table13[[#This Row],[int'[1']]]+2)</f>
        <v>0</v>
      </c>
      <c r="AT122">
        <f>Table13[[#This Row],[duration'[1']]]*Table13[[#This Row],[intensity'[1']]]</f>
        <v>0</v>
      </c>
      <c r="AU122">
        <f>MOD(Table13[[#This Row],[ZMW num]]+1, 4)</f>
        <v>2</v>
      </c>
      <c r="AV122">
        <v>0</v>
      </c>
      <c r="AW122">
        <f>MAX($D$2, Table13[[#This Row],[t1'[2']]])</f>
        <v>0</v>
      </c>
      <c r="AX122">
        <v>0</v>
      </c>
      <c r="AY122">
        <f>Table13[[#This Row],[t1'[2']]]+Table13[[#This Row],[dt'[2']]]</f>
        <v>0</v>
      </c>
      <c r="AZ122">
        <f>MIN($C$2, Table13[[#This Row],[tf'[2']]])</f>
        <v>0</v>
      </c>
      <c r="BA122">
        <f>Table13[[#This Row],[time2'[2']]]-Table13[[#This Row],[time1'[2']]]</f>
        <v>0</v>
      </c>
      <c r="BB122">
        <v>0</v>
      </c>
      <c r="BC122">
        <f xml:space="preserve"> INDEX(Table3[[#All],[Intensity]], Table13[[#This Row],[int'[2']]]+2)</f>
        <v>0</v>
      </c>
      <c r="BD122">
        <f>Table13[[#This Row],[duration'[2']]]*Table13[[#This Row],[intensity'[2']]]</f>
        <v>0</v>
      </c>
      <c r="BE122">
        <f>MOD(Table13[[#This Row],[ZMW num]]+2, 4)</f>
        <v>3</v>
      </c>
      <c r="BF122" s="2" t="str">
        <f>Single2String(Table13[[#This Row],[t1'[0']]])</f>
        <v>00000000</v>
      </c>
      <c r="BG122" s="1" t="str">
        <f>Single2String(Table13[[#This Row],[dt'[0']]])</f>
        <v>00000000</v>
      </c>
      <c r="BH122" s="1" t="str">
        <f>Single2String(Table13[[#This Row],[t1'[1']]])</f>
        <v>00000000</v>
      </c>
      <c r="BI122" s="1" t="str">
        <f>Single2String(Table13[[#This Row],[dt'[1']]])</f>
        <v>00000000</v>
      </c>
      <c r="BJ122" s="1" t="str">
        <f>Single2String(Table13[[#This Row],[t1'[2']]])</f>
        <v>00000000</v>
      </c>
      <c r="BK122" s="1" t="str">
        <f>Single2String(Table13[[#This Row],[dt'[2']]])</f>
        <v>00000000</v>
      </c>
      <c r="BL122" s="1" t="str">
        <f>DEC2HEX(Table13[[#This Row],[ZMW num]], 6)</f>
        <v>000075</v>
      </c>
      <c r="BM122" s="1">
        <f>LEN(Table13[[#This Row],[DRAM data]])</f>
        <v>64</v>
      </c>
      <c r="BN12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0000000000000000000000000000000000000000000000001020300000007500</v>
      </c>
      <c r="CU122"/>
    </row>
    <row r="123" spans="1:99" x14ac:dyDescent="0.25">
      <c r="A123" t="str">
        <f>Single2String(Table13[[#This Row],[duration'[0']]])</f>
        <v>00000000</v>
      </c>
      <c r="B123" t="str">
        <f>Single2String(Table13[[#This Row],[duration'[1']]])</f>
        <v>00000000</v>
      </c>
      <c r="C123" t="str">
        <f>Single2String(Table13[[#This Row],[duration'[2']]])</f>
        <v>00000000</v>
      </c>
      <c r="D123" t="str">
        <f>INDEX(Table3[Hex], Table13[[#This Row],[int'[0']]]+1)</f>
        <v>00000000</v>
      </c>
      <c r="E123" t="str">
        <f>INDEX(Table3[Hex], Table13[[#This Row],[int'[1']]]+1)</f>
        <v>00000000</v>
      </c>
      <c r="F123" t="str">
        <f>INDEX(Table3[Hex], Table13[[#This Row],[int'[1']]]+1)</f>
        <v>00000000</v>
      </c>
      <c r="G123" t="str">
        <f>Single2String(Table13[[#This Row],[c ktrace]])</f>
        <v>00000000</v>
      </c>
      <c r="H123" t="str">
        <f>Single2String(Table13[[#This Row],[a ktrace]])</f>
        <v>00000000</v>
      </c>
      <c r="I123" t="str">
        <f>Single2String(Table13[[#This Row],[g ktrace]])</f>
        <v>00000000</v>
      </c>
      <c r="J123" t="str">
        <f>Single2String(Table13[[#This Row],[t ktrace]])</f>
        <v>00000000</v>
      </c>
      <c r="K123" s="3">
        <v>118</v>
      </c>
      <c r="L123">
        <f>SUM(Table13[[#This Row],[c ktrace'[2']]:[c ktrace'[0']]])</f>
        <v>0</v>
      </c>
      <c r="M123">
        <f>SUM(Table13[[#This Row],[a ktrace'[2']]:[a ktrace'[0']]])</f>
        <v>0</v>
      </c>
      <c r="N123">
        <f>SUM(Table13[[#This Row],[g ktrace'[2']]:[g ktrace'[0']]])</f>
        <v>0</v>
      </c>
      <c r="O123">
        <f>SUM(Table13[[#This Row],[t ktrace'[2']]:[t ktrace'[0']]])</f>
        <v>0</v>
      </c>
      <c r="P123">
        <f xml:space="preserve"> IF(Table13[[#This Row],[dye'[2']]]=3, Table13[[#This Row],[strength'[2']]], 0)</f>
        <v>0</v>
      </c>
      <c r="Q123">
        <f xml:space="preserve"> IF(Table13[[#This Row],[dye'[1']]]=3, Table13[[#This Row],[strength'[1']]], 0)</f>
        <v>0</v>
      </c>
      <c r="R123">
        <f xml:space="preserve"> IF(Table13[[#This Row],[dye'[0']]]=3, Table13[[#This Row],[strength'[0']]], 0)</f>
        <v>0</v>
      </c>
      <c r="S123">
        <f xml:space="preserve"> IF(Table13[[#This Row],[dye'[2']]]=2, Table13[[#This Row],[strength'[2']]], 0)</f>
        <v>0</v>
      </c>
      <c r="T123">
        <f xml:space="preserve"> IF(Table13[[#This Row],[dye'[1']]]=2, Table13[[#This Row],[strength'[1']]], 0)</f>
        <v>0</v>
      </c>
      <c r="U123">
        <f xml:space="preserve"> IF(Table13[[#This Row],[dye'[0']]]=2, Table13[[#This Row],[strength'[0']]], 0)</f>
        <v>0</v>
      </c>
      <c r="V123">
        <f xml:space="preserve"> IF(Table13[[#This Row],[dye'[2']]]=1, Table13[[#This Row],[strength'[2']]], 0)</f>
        <v>0</v>
      </c>
      <c r="W123">
        <f xml:space="preserve"> IF(Table13[[#This Row],[dye'[1']]]=1, Table13[[#This Row],[strength'[1']]], 0)</f>
        <v>0</v>
      </c>
      <c r="X123">
        <f xml:space="preserve"> IF(Table13[[#This Row],[dye'[0']]]=1, Table13[[#This Row],[strength'[0']]], 0)</f>
        <v>0</v>
      </c>
      <c r="Y123">
        <f xml:space="preserve"> IF(Table13[[#This Row],[dye'[2']]]=0, Table13[[#This Row],[strength'[2']]], 0)</f>
        <v>0</v>
      </c>
      <c r="Z123">
        <f xml:space="preserve"> IF(Table13[[#This Row],[dye'[1']]]=0, Table13[[#This Row],[strength'[1']]], 0)</f>
        <v>0</v>
      </c>
      <c r="AA123">
        <f xml:space="preserve"> IF(Table13[[#This Row],[dye'[0']]]=0, Table13[[#This Row],[strength'[0']]], 0)</f>
        <v>0</v>
      </c>
      <c r="AB123">
        <v>0</v>
      </c>
      <c r="AC123">
        <f>MAX($D$2, Table13[[#This Row],[t1'[0']]])</f>
        <v>0</v>
      </c>
      <c r="AD123">
        <v>0</v>
      </c>
      <c r="AE123">
        <f>Table13[[#This Row],[t1'[0']]]+Table13[[#This Row],[dt'[0']]]</f>
        <v>0</v>
      </c>
      <c r="AF123">
        <f>MIN($C$2, Table13[[#This Row],[tf'[0']]])</f>
        <v>0</v>
      </c>
      <c r="AG123">
        <f>Table13[[#This Row],[time2'[0']]]-Table13[[#This Row],[time1'[0']]]</f>
        <v>0</v>
      </c>
      <c r="AH123">
        <v>0</v>
      </c>
      <c r="AI123">
        <f xml:space="preserve"> INDEX(Table3[[#All],[Intensity]], Table13[[#This Row],[int'[0']]]+2)</f>
        <v>0</v>
      </c>
      <c r="AJ123">
        <f>Table13[[#This Row],[duration'[0']]]*Table13[[#This Row],[intensity'[0']]]</f>
        <v>0</v>
      </c>
      <c r="AK123">
        <f>MOD(Table13[[#This Row],[ZMW num]], 4)</f>
        <v>2</v>
      </c>
      <c r="AL123">
        <v>0</v>
      </c>
      <c r="AM123">
        <f>MAX($D$2, Table13[[#This Row],[t1'[1']]])</f>
        <v>0</v>
      </c>
      <c r="AN123">
        <v>0</v>
      </c>
      <c r="AO123">
        <f>Table13[[#This Row],[t1'[1']]]+Table13[[#This Row],[dt'[1']]]</f>
        <v>0</v>
      </c>
      <c r="AP123">
        <f>MIN($C$2, Table13[[#This Row],[tf'[1']]])</f>
        <v>0</v>
      </c>
      <c r="AQ123">
        <f>Table13[[#This Row],[time2'[1']]]-Table13[[#This Row],[time1'[1']]]</f>
        <v>0</v>
      </c>
      <c r="AR123">
        <v>0</v>
      </c>
      <c r="AS123">
        <f xml:space="preserve"> INDEX(Table3[[#All],[Intensity]], Table13[[#This Row],[int'[1']]]+2)</f>
        <v>0</v>
      </c>
      <c r="AT123">
        <f>Table13[[#This Row],[duration'[1']]]*Table13[[#This Row],[intensity'[1']]]</f>
        <v>0</v>
      </c>
      <c r="AU123">
        <f>MOD(Table13[[#This Row],[ZMW num]]+1, 4)</f>
        <v>3</v>
      </c>
      <c r="AV123">
        <v>0</v>
      </c>
      <c r="AW123">
        <f>MAX($D$2, Table13[[#This Row],[t1'[2']]])</f>
        <v>0</v>
      </c>
      <c r="AX123">
        <v>0</v>
      </c>
      <c r="AY123">
        <f>Table13[[#This Row],[t1'[2']]]+Table13[[#This Row],[dt'[2']]]</f>
        <v>0</v>
      </c>
      <c r="AZ123">
        <f>MIN($C$2, Table13[[#This Row],[tf'[2']]])</f>
        <v>0</v>
      </c>
      <c r="BA123">
        <f>Table13[[#This Row],[time2'[2']]]-Table13[[#This Row],[time1'[2']]]</f>
        <v>0</v>
      </c>
      <c r="BB123">
        <v>0</v>
      </c>
      <c r="BC123">
        <f xml:space="preserve"> INDEX(Table3[[#All],[Intensity]], Table13[[#This Row],[int'[2']]]+2)</f>
        <v>0</v>
      </c>
      <c r="BD123">
        <f>Table13[[#This Row],[duration'[2']]]*Table13[[#This Row],[intensity'[2']]]</f>
        <v>0</v>
      </c>
      <c r="BE123">
        <f>MOD(Table13[[#This Row],[ZMW num]]+2, 4)</f>
        <v>0</v>
      </c>
      <c r="BF123" s="2" t="str">
        <f>Single2String(Table13[[#This Row],[t1'[0']]])</f>
        <v>00000000</v>
      </c>
      <c r="BG123" s="1" t="str">
        <f>Single2String(Table13[[#This Row],[dt'[0']]])</f>
        <v>00000000</v>
      </c>
      <c r="BH123" s="1" t="str">
        <f>Single2String(Table13[[#This Row],[t1'[1']]])</f>
        <v>00000000</v>
      </c>
      <c r="BI123" s="1" t="str">
        <f>Single2String(Table13[[#This Row],[dt'[1']]])</f>
        <v>00000000</v>
      </c>
      <c r="BJ123" s="1" t="str">
        <f>Single2String(Table13[[#This Row],[t1'[2']]])</f>
        <v>00000000</v>
      </c>
      <c r="BK123" s="1" t="str">
        <f>Single2String(Table13[[#This Row],[dt'[2']]])</f>
        <v>00000000</v>
      </c>
      <c r="BL123" s="1" t="str">
        <f>DEC2HEX(Table13[[#This Row],[ZMW num]], 6)</f>
        <v>000076</v>
      </c>
      <c r="BM123" s="1">
        <f>LEN(Table13[[#This Row],[DRAM data]])</f>
        <v>64</v>
      </c>
      <c r="BN12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0000000000000000000000000000000000000000000000002030000000007600</v>
      </c>
      <c r="CU123"/>
    </row>
    <row r="124" spans="1:99" x14ac:dyDescent="0.25">
      <c r="A124" t="str">
        <f>Single2String(Table13[[#This Row],[duration'[0']]])</f>
        <v>00000000</v>
      </c>
      <c r="B124" t="str">
        <f>Single2String(Table13[[#This Row],[duration'[1']]])</f>
        <v>00000000</v>
      </c>
      <c r="C124" t="str">
        <f>Single2String(Table13[[#This Row],[duration'[2']]])</f>
        <v>00000000</v>
      </c>
      <c r="D124" t="str">
        <f>INDEX(Table3[Hex], Table13[[#This Row],[int'[0']]]+1)</f>
        <v>00000000</v>
      </c>
      <c r="E124" t="str">
        <f>INDEX(Table3[Hex], Table13[[#This Row],[int'[1']]]+1)</f>
        <v>00000000</v>
      </c>
      <c r="F124" t="str">
        <f>INDEX(Table3[Hex], Table13[[#This Row],[int'[1']]]+1)</f>
        <v>00000000</v>
      </c>
      <c r="G124" t="str">
        <f>Single2String(Table13[[#This Row],[c ktrace]])</f>
        <v>00000000</v>
      </c>
      <c r="H124" t="str">
        <f>Single2String(Table13[[#This Row],[a ktrace]])</f>
        <v>00000000</v>
      </c>
      <c r="I124" t="str">
        <f>Single2String(Table13[[#This Row],[g ktrace]])</f>
        <v>00000000</v>
      </c>
      <c r="J124" t="str">
        <f>Single2String(Table13[[#This Row],[t ktrace]])</f>
        <v>00000000</v>
      </c>
      <c r="K124" s="3">
        <v>119</v>
      </c>
      <c r="L124">
        <f>SUM(Table13[[#This Row],[c ktrace'[2']]:[c ktrace'[0']]])</f>
        <v>0</v>
      </c>
      <c r="M124">
        <f>SUM(Table13[[#This Row],[a ktrace'[2']]:[a ktrace'[0']]])</f>
        <v>0</v>
      </c>
      <c r="N124">
        <f>SUM(Table13[[#This Row],[g ktrace'[2']]:[g ktrace'[0']]])</f>
        <v>0</v>
      </c>
      <c r="O124">
        <f>SUM(Table13[[#This Row],[t ktrace'[2']]:[t ktrace'[0']]])</f>
        <v>0</v>
      </c>
      <c r="P124">
        <f xml:space="preserve"> IF(Table13[[#This Row],[dye'[2']]]=3, Table13[[#This Row],[strength'[2']]], 0)</f>
        <v>0</v>
      </c>
      <c r="Q124">
        <f xml:space="preserve"> IF(Table13[[#This Row],[dye'[1']]]=3, Table13[[#This Row],[strength'[1']]], 0)</f>
        <v>0</v>
      </c>
      <c r="R124">
        <f xml:space="preserve"> IF(Table13[[#This Row],[dye'[0']]]=3, Table13[[#This Row],[strength'[0']]], 0)</f>
        <v>0</v>
      </c>
      <c r="S124">
        <f xml:space="preserve"> IF(Table13[[#This Row],[dye'[2']]]=2, Table13[[#This Row],[strength'[2']]], 0)</f>
        <v>0</v>
      </c>
      <c r="T124">
        <f xml:space="preserve"> IF(Table13[[#This Row],[dye'[1']]]=2, Table13[[#This Row],[strength'[1']]], 0)</f>
        <v>0</v>
      </c>
      <c r="U124">
        <f xml:space="preserve"> IF(Table13[[#This Row],[dye'[0']]]=2, Table13[[#This Row],[strength'[0']]], 0)</f>
        <v>0</v>
      </c>
      <c r="V124">
        <f xml:space="preserve"> IF(Table13[[#This Row],[dye'[2']]]=1, Table13[[#This Row],[strength'[2']]], 0)</f>
        <v>0</v>
      </c>
      <c r="W124">
        <f xml:space="preserve"> IF(Table13[[#This Row],[dye'[1']]]=1, Table13[[#This Row],[strength'[1']]], 0)</f>
        <v>0</v>
      </c>
      <c r="X124">
        <f xml:space="preserve"> IF(Table13[[#This Row],[dye'[0']]]=1, Table13[[#This Row],[strength'[0']]], 0)</f>
        <v>0</v>
      </c>
      <c r="Y124">
        <f xml:space="preserve"> IF(Table13[[#This Row],[dye'[2']]]=0, Table13[[#This Row],[strength'[2']]], 0)</f>
        <v>0</v>
      </c>
      <c r="Z124">
        <f xml:space="preserve"> IF(Table13[[#This Row],[dye'[1']]]=0, Table13[[#This Row],[strength'[1']]], 0)</f>
        <v>0</v>
      </c>
      <c r="AA124">
        <f xml:space="preserve"> IF(Table13[[#This Row],[dye'[0']]]=0, Table13[[#This Row],[strength'[0']]], 0)</f>
        <v>0</v>
      </c>
      <c r="AB124">
        <v>0</v>
      </c>
      <c r="AC124">
        <f>MAX($D$2, Table13[[#This Row],[t1'[0']]])</f>
        <v>0</v>
      </c>
      <c r="AD124">
        <v>0</v>
      </c>
      <c r="AE124">
        <f>Table13[[#This Row],[t1'[0']]]+Table13[[#This Row],[dt'[0']]]</f>
        <v>0</v>
      </c>
      <c r="AF124">
        <f>MIN($C$2, Table13[[#This Row],[tf'[0']]])</f>
        <v>0</v>
      </c>
      <c r="AG124">
        <f>Table13[[#This Row],[time2'[0']]]-Table13[[#This Row],[time1'[0']]]</f>
        <v>0</v>
      </c>
      <c r="AH124">
        <v>0</v>
      </c>
      <c r="AI124">
        <f xml:space="preserve"> INDEX(Table3[[#All],[Intensity]], Table13[[#This Row],[int'[0']]]+2)</f>
        <v>0</v>
      </c>
      <c r="AJ124">
        <f>Table13[[#This Row],[duration'[0']]]*Table13[[#This Row],[intensity'[0']]]</f>
        <v>0</v>
      </c>
      <c r="AK124">
        <f>MOD(Table13[[#This Row],[ZMW num]], 4)</f>
        <v>3</v>
      </c>
      <c r="AL124">
        <v>0</v>
      </c>
      <c r="AM124">
        <f>MAX($D$2, Table13[[#This Row],[t1'[1']]])</f>
        <v>0</v>
      </c>
      <c r="AN124">
        <v>0</v>
      </c>
      <c r="AO124">
        <f>Table13[[#This Row],[t1'[1']]]+Table13[[#This Row],[dt'[1']]]</f>
        <v>0</v>
      </c>
      <c r="AP124">
        <f>MIN($C$2, Table13[[#This Row],[tf'[1']]])</f>
        <v>0</v>
      </c>
      <c r="AQ124">
        <f>Table13[[#This Row],[time2'[1']]]-Table13[[#This Row],[time1'[1']]]</f>
        <v>0</v>
      </c>
      <c r="AR124">
        <v>0</v>
      </c>
      <c r="AS124">
        <f xml:space="preserve"> INDEX(Table3[[#All],[Intensity]], Table13[[#This Row],[int'[1']]]+2)</f>
        <v>0</v>
      </c>
      <c r="AT124">
        <f>Table13[[#This Row],[duration'[1']]]*Table13[[#This Row],[intensity'[1']]]</f>
        <v>0</v>
      </c>
      <c r="AU124">
        <f>MOD(Table13[[#This Row],[ZMW num]]+1, 4)</f>
        <v>0</v>
      </c>
      <c r="AV124">
        <v>0</v>
      </c>
      <c r="AW124">
        <f>MAX($D$2, Table13[[#This Row],[t1'[2']]])</f>
        <v>0</v>
      </c>
      <c r="AX124">
        <v>0</v>
      </c>
      <c r="AY124">
        <f>Table13[[#This Row],[t1'[2']]]+Table13[[#This Row],[dt'[2']]]</f>
        <v>0</v>
      </c>
      <c r="AZ124">
        <f>MIN($C$2, Table13[[#This Row],[tf'[2']]])</f>
        <v>0</v>
      </c>
      <c r="BA124">
        <f>Table13[[#This Row],[time2'[2']]]-Table13[[#This Row],[time1'[2']]]</f>
        <v>0</v>
      </c>
      <c r="BB124">
        <v>0</v>
      </c>
      <c r="BC124">
        <f xml:space="preserve"> INDEX(Table3[[#All],[Intensity]], Table13[[#This Row],[int'[2']]]+2)</f>
        <v>0</v>
      </c>
      <c r="BD124">
        <f>Table13[[#This Row],[duration'[2']]]*Table13[[#This Row],[intensity'[2']]]</f>
        <v>0</v>
      </c>
      <c r="BE124">
        <f>MOD(Table13[[#This Row],[ZMW num]]+2, 4)</f>
        <v>1</v>
      </c>
      <c r="BF124" s="2" t="str">
        <f>Single2String(Table13[[#This Row],[t1'[0']]])</f>
        <v>00000000</v>
      </c>
      <c r="BG124" s="1" t="str">
        <f>Single2String(Table13[[#This Row],[dt'[0']]])</f>
        <v>00000000</v>
      </c>
      <c r="BH124" s="1" t="str">
        <f>Single2String(Table13[[#This Row],[t1'[1']]])</f>
        <v>00000000</v>
      </c>
      <c r="BI124" s="1" t="str">
        <f>Single2String(Table13[[#This Row],[dt'[1']]])</f>
        <v>00000000</v>
      </c>
      <c r="BJ124" s="1" t="str">
        <f>Single2String(Table13[[#This Row],[t1'[2']]])</f>
        <v>00000000</v>
      </c>
      <c r="BK124" s="1" t="str">
        <f>Single2String(Table13[[#This Row],[dt'[2']]])</f>
        <v>00000000</v>
      </c>
      <c r="BL124" s="1" t="str">
        <f>DEC2HEX(Table13[[#This Row],[ZMW num]], 6)</f>
        <v>000077</v>
      </c>
      <c r="BM124" s="1">
        <f>LEN(Table13[[#This Row],[DRAM data]])</f>
        <v>64</v>
      </c>
      <c r="BN12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0000000000000000000000000000000000000000000000003000100000007700</v>
      </c>
      <c r="CU124"/>
    </row>
    <row r="125" spans="1:99" x14ac:dyDescent="0.25">
      <c r="A125" t="str">
        <f>Single2String(Table13[[#This Row],[duration'[0']]])</f>
        <v>00000000</v>
      </c>
      <c r="B125" t="str">
        <f>Single2String(Table13[[#This Row],[duration'[1']]])</f>
        <v>00000000</v>
      </c>
      <c r="C125" t="str">
        <f>Single2String(Table13[[#This Row],[duration'[2']]])</f>
        <v>00000000</v>
      </c>
      <c r="D125" t="str">
        <f>INDEX(Table3[Hex], Table13[[#This Row],[int'[0']]]+1)</f>
        <v>00000000</v>
      </c>
      <c r="E125" t="str">
        <f>INDEX(Table3[Hex], Table13[[#This Row],[int'[1']]]+1)</f>
        <v>00000000</v>
      </c>
      <c r="F125" t="str">
        <f>INDEX(Table3[Hex], Table13[[#This Row],[int'[1']]]+1)</f>
        <v>00000000</v>
      </c>
      <c r="G125" t="str">
        <f>Single2String(Table13[[#This Row],[c ktrace]])</f>
        <v>00000000</v>
      </c>
      <c r="H125" t="str">
        <f>Single2String(Table13[[#This Row],[a ktrace]])</f>
        <v>00000000</v>
      </c>
      <c r="I125" t="str">
        <f>Single2String(Table13[[#This Row],[g ktrace]])</f>
        <v>00000000</v>
      </c>
      <c r="J125" t="str">
        <f>Single2String(Table13[[#This Row],[t ktrace]])</f>
        <v>00000000</v>
      </c>
      <c r="K125" s="3">
        <v>120</v>
      </c>
      <c r="L125">
        <f>SUM(Table13[[#This Row],[c ktrace'[2']]:[c ktrace'[0']]])</f>
        <v>0</v>
      </c>
      <c r="M125">
        <f>SUM(Table13[[#This Row],[a ktrace'[2']]:[a ktrace'[0']]])</f>
        <v>0</v>
      </c>
      <c r="N125">
        <f>SUM(Table13[[#This Row],[g ktrace'[2']]:[g ktrace'[0']]])</f>
        <v>0</v>
      </c>
      <c r="O125">
        <f>SUM(Table13[[#This Row],[t ktrace'[2']]:[t ktrace'[0']]])</f>
        <v>0</v>
      </c>
      <c r="P125">
        <f xml:space="preserve"> IF(Table13[[#This Row],[dye'[2']]]=3, Table13[[#This Row],[strength'[2']]], 0)</f>
        <v>0</v>
      </c>
      <c r="Q125">
        <f xml:space="preserve"> IF(Table13[[#This Row],[dye'[1']]]=3, Table13[[#This Row],[strength'[1']]], 0)</f>
        <v>0</v>
      </c>
      <c r="R125">
        <f xml:space="preserve"> IF(Table13[[#This Row],[dye'[0']]]=3, Table13[[#This Row],[strength'[0']]], 0)</f>
        <v>0</v>
      </c>
      <c r="S125">
        <f xml:space="preserve"> IF(Table13[[#This Row],[dye'[2']]]=2, Table13[[#This Row],[strength'[2']]], 0)</f>
        <v>0</v>
      </c>
      <c r="T125">
        <f xml:space="preserve"> IF(Table13[[#This Row],[dye'[1']]]=2, Table13[[#This Row],[strength'[1']]], 0)</f>
        <v>0</v>
      </c>
      <c r="U125">
        <f xml:space="preserve"> IF(Table13[[#This Row],[dye'[0']]]=2, Table13[[#This Row],[strength'[0']]], 0)</f>
        <v>0</v>
      </c>
      <c r="V125">
        <f xml:space="preserve"> IF(Table13[[#This Row],[dye'[2']]]=1, Table13[[#This Row],[strength'[2']]], 0)</f>
        <v>0</v>
      </c>
      <c r="W125">
        <f xml:space="preserve"> IF(Table13[[#This Row],[dye'[1']]]=1, Table13[[#This Row],[strength'[1']]], 0)</f>
        <v>0</v>
      </c>
      <c r="X125">
        <f xml:space="preserve"> IF(Table13[[#This Row],[dye'[0']]]=1, Table13[[#This Row],[strength'[0']]], 0)</f>
        <v>0</v>
      </c>
      <c r="Y125">
        <f xml:space="preserve"> IF(Table13[[#This Row],[dye'[2']]]=0, Table13[[#This Row],[strength'[2']]], 0)</f>
        <v>0</v>
      </c>
      <c r="Z125">
        <f xml:space="preserve"> IF(Table13[[#This Row],[dye'[1']]]=0, Table13[[#This Row],[strength'[1']]], 0)</f>
        <v>0</v>
      </c>
      <c r="AA125">
        <f xml:space="preserve"> IF(Table13[[#This Row],[dye'[0']]]=0, Table13[[#This Row],[strength'[0']]], 0)</f>
        <v>0</v>
      </c>
      <c r="AB125">
        <v>0</v>
      </c>
      <c r="AC125">
        <f>MAX($D$2, Table13[[#This Row],[t1'[0']]])</f>
        <v>0</v>
      </c>
      <c r="AD125">
        <v>0</v>
      </c>
      <c r="AE125">
        <f>Table13[[#This Row],[t1'[0']]]+Table13[[#This Row],[dt'[0']]]</f>
        <v>0</v>
      </c>
      <c r="AF125">
        <f>MIN($C$2, Table13[[#This Row],[tf'[0']]])</f>
        <v>0</v>
      </c>
      <c r="AG125">
        <f>Table13[[#This Row],[time2'[0']]]-Table13[[#This Row],[time1'[0']]]</f>
        <v>0</v>
      </c>
      <c r="AH125">
        <v>0</v>
      </c>
      <c r="AI125">
        <f xml:space="preserve"> INDEX(Table3[[#All],[Intensity]], Table13[[#This Row],[int'[0']]]+2)</f>
        <v>0</v>
      </c>
      <c r="AJ125">
        <f>Table13[[#This Row],[duration'[0']]]*Table13[[#This Row],[intensity'[0']]]</f>
        <v>0</v>
      </c>
      <c r="AK125">
        <f>MOD(Table13[[#This Row],[ZMW num]], 4)</f>
        <v>0</v>
      </c>
      <c r="AL125">
        <v>0</v>
      </c>
      <c r="AM125">
        <f>MAX($D$2, Table13[[#This Row],[t1'[1']]])</f>
        <v>0</v>
      </c>
      <c r="AN125">
        <v>0</v>
      </c>
      <c r="AO125">
        <f>Table13[[#This Row],[t1'[1']]]+Table13[[#This Row],[dt'[1']]]</f>
        <v>0</v>
      </c>
      <c r="AP125">
        <f>MIN($C$2, Table13[[#This Row],[tf'[1']]])</f>
        <v>0</v>
      </c>
      <c r="AQ125">
        <f>Table13[[#This Row],[time2'[1']]]-Table13[[#This Row],[time1'[1']]]</f>
        <v>0</v>
      </c>
      <c r="AR125">
        <v>0</v>
      </c>
      <c r="AS125">
        <f xml:space="preserve"> INDEX(Table3[[#All],[Intensity]], Table13[[#This Row],[int'[1']]]+2)</f>
        <v>0</v>
      </c>
      <c r="AT125">
        <f>Table13[[#This Row],[duration'[1']]]*Table13[[#This Row],[intensity'[1']]]</f>
        <v>0</v>
      </c>
      <c r="AU125">
        <f>MOD(Table13[[#This Row],[ZMW num]]+1, 4)</f>
        <v>1</v>
      </c>
      <c r="AV125">
        <v>0</v>
      </c>
      <c r="AW125">
        <f>MAX($D$2, Table13[[#This Row],[t1'[2']]])</f>
        <v>0</v>
      </c>
      <c r="AX125">
        <v>0</v>
      </c>
      <c r="AY125">
        <f>Table13[[#This Row],[t1'[2']]]+Table13[[#This Row],[dt'[2']]]</f>
        <v>0</v>
      </c>
      <c r="AZ125">
        <f>MIN($C$2, Table13[[#This Row],[tf'[2']]])</f>
        <v>0</v>
      </c>
      <c r="BA125">
        <f>Table13[[#This Row],[time2'[2']]]-Table13[[#This Row],[time1'[2']]]</f>
        <v>0</v>
      </c>
      <c r="BB125">
        <v>0</v>
      </c>
      <c r="BC125">
        <f xml:space="preserve"> INDEX(Table3[[#All],[Intensity]], Table13[[#This Row],[int'[2']]]+2)</f>
        <v>0</v>
      </c>
      <c r="BD125">
        <f>Table13[[#This Row],[duration'[2']]]*Table13[[#This Row],[intensity'[2']]]</f>
        <v>0</v>
      </c>
      <c r="BE125">
        <f>MOD(Table13[[#This Row],[ZMW num]]+2, 4)</f>
        <v>2</v>
      </c>
      <c r="BF125" s="2" t="str">
        <f>Single2String(Table13[[#This Row],[t1'[0']]])</f>
        <v>00000000</v>
      </c>
      <c r="BG125" s="1" t="str">
        <f>Single2String(Table13[[#This Row],[dt'[0']]])</f>
        <v>00000000</v>
      </c>
      <c r="BH125" s="1" t="str">
        <f>Single2String(Table13[[#This Row],[t1'[1']]])</f>
        <v>00000000</v>
      </c>
      <c r="BI125" s="1" t="str">
        <f>Single2String(Table13[[#This Row],[dt'[1']]])</f>
        <v>00000000</v>
      </c>
      <c r="BJ125" s="1" t="str">
        <f>Single2String(Table13[[#This Row],[t1'[2']]])</f>
        <v>00000000</v>
      </c>
      <c r="BK125" s="1" t="str">
        <f>Single2String(Table13[[#This Row],[dt'[2']]])</f>
        <v>00000000</v>
      </c>
      <c r="BL125" s="1" t="str">
        <f>DEC2HEX(Table13[[#This Row],[ZMW num]], 6)</f>
        <v>000078</v>
      </c>
      <c r="BM125" s="1">
        <f>LEN(Table13[[#This Row],[DRAM data]])</f>
        <v>64</v>
      </c>
      <c r="BN12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0000000000000000000000000000000000000000000000000010200000007800</v>
      </c>
      <c r="CU125"/>
    </row>
    <row r="126" spans="1:99" x14ac:dyDescent="0.25">
      <c r="A126" t="str">
        <f>Single2String(Table13[[#This Row],[duration'[0']]])</f>
        <v>00000000</v>
      </c>
      <c r="B126" t="str">
        <f>Single2String(Table13[[#This Row],[duration'[1']]])</f>
        <v>00000000</v>
      </c>
      <c r="C126" t="str">
        <f>Single2String(Table13[[#This Row],[duration'[2']]])</f>
        <v>00000000</v>
      </c>
      <c r="D126" t="str">
        <f>INDEX(Table3[Hex], Table13[[#This Row],[int'[0']]]+1)</f>
        <v>00000000</v>
      </c>
      <c r="E126" t="str">
        <f>INDEX(Table3[Hex], Table13[[#This Row],[int'[1']]]+1)</f>
        <v>00000000</v>
      </c>
      <c r="F126" t="str">
        <f>INDEX(Table3[Hex], Table13[[#This Row],[int'[1']]]+1)</f>
        <v>00000000</v>
      </c>
      <c r="G126" t="str">
        <f>Single2String(Table13[[#This Row],[c ktrace]])</f>
        <v>00000000</v>
      </c>
      <c r="H126" t="str">
        <f>Single2String(Table13[[#This Row],[a ktrace]])</f>
        <v>00000000</v>
      </c>
      <c r="I126" t="str">
        <f>Single2String(Table13[[#This Row],[g ktrace]])</f>
        <v>00000000</v>
      </c>
      <c r="J126" t="str">
        <f>Single2String(Table13[[#This Row],[t ktrace]])</f>
        <v>00000000</v>
      </c>
      <c r="K126" s="3">
        <v>121</v>
      </c>
      <c r="L126">
        <f>SUM(Table13[[#This Row],[c ktrace'[2']]:[c ktrace'[0']]])</f>
        <v>0</v>
      </c>
      <c r="M126">
        <f>SUM(Table13[[#This Row],[a ktrace'[2']]:[a ktrace'[0']]])</f>
        <v>0</v>
      </c>
      <c r="N126">
        <f>SUM(Table13[[#This Row],[g ktrace'[2']]:[g ktrace'[0']]])</f>
        <v>0</v>
      </c>
      <c r="O126">
        <f>SUM(Table13[[#This Row],[t ktrace'[2']]:[t ktrace'[0']]])</f>
        <v>0</v>
      </c>
      <c r="P126">
        <f xml:space="preserve"> IF(Table13[[#This Row],[dye'[2']]]=3, Table13[[#This Row],[strength'[2']]], 0)</f>
        <v>0</v>
      </c>
      <c r="Q126">
        <f xml:space="preserve"> IF(Table13[[#This Row],[dye'[1']]]=3, Table13[[#This Row],[strength'[1']]], 0)</f>
        <v>0</v>
      </c>
      <c r="R126">
        <f xml:space="preserve"> IF(Table13[[#This Row],[dye'[0']]]=3, Table13[[#This Row],[strength'[0']]], 0)</f>
        <v>0</v>
      </c>
      <c r="S126">
        <f xml:space="preserve"> IF(Table13[[#This Row],[dye'[2']]]=2, Table13[[#This Row],[strength'[2']]], 0)</f>
        <v>0</v>
      </c>
      <c r="T126">
        <f xml:space="preserve"> IF(Table13[[#This Row],[dye'[1']]]=2, Table13[[#This Row],[strength'[1']]], 0)</f>
        <v>0</v>
      </c>
      <c r="U126">
        <f xml:space="preserve"> IF(Table13[[#This Row],[dye'[0']]]=2, Table13[[#This Row],[strength'[0']]], 0)</f>
        <v>0</v>
      </c>
      <c r="V126">
        <f xml:space="preserve"> IF(Table13[[#This Row],[dye'[2']]]=1, Table13[[#This Row],[strength'[2']]], 0)</f>
        <v>0</v>
      </c>
      <c r="W126">
        <f xml:space="preserve"> IF(Table13[[#This Row],[dye'[1']]]=1, Table13[[#This Row],[strength'[1']]], 0)</f>
        <v>0</v>
      </c>
      <c r="X126">
        <f xml:space="preserve"> IF(Table13[[#This Row],[dye'[0']]]=1, Table13[[#This Row],[strength'[0']]], 0)</f>
        <v>0</v>
      </c>
      <c r="Y126">
        <f xml:space="preserve"> IF(Table13[[#This Row],[dye'[2']]]=0, Table13[[#This Row],[strength'[2']]], 0)</f>
        <v>0</v>
      </c>
      <c r="Z126">
        <f xml:space="preserve"> IF(Table13[[#This Row],[dye'[1']]]=0, Table13[[#This Row],[strength'[1']]], 0)</f>
        <v>0</v>
      </c>
      <c r="AA126">
        <f xml:space="preserve"> IF(Table13[[#This Row],[dye'[0']]]=0, Table13[[#This Row],[strength'[0']]], 0)</f>
        <v>0</v>
      </c>
      <c r="AB126">
        <v>0</v>
      </c>
      <c r="AC126">
        <f>MAX($D$2, Table13[[#This Row],[t1'[0']]])</f>
        <v>0</v>
      </c>
      <c r="AD126">
        <v>0</v>
      </c>
      <c r="AE126">
        <f>Table13[[#This Row],[t1'[0']]]+Table13[[#This Row],[dt'[0']]]</f>
        <v>0</v>
      </c>
      <c r="AF126">
        <f>MIN($C$2, Table13[[#This Row],[tf'[0']]])</f>
        <v>0</v>
      </c>
      <c r="AG126">
        <f>Table13[[#This Row],[time2'[0']]]-Table13[[#This Row],[time1'[0']]]</f>
        <v>0</v>
      </c>
      <c r="AH126">
        <v>0</v>
      </c>
      <c r="AI126">
        <f xml:space="preserve"> INDEX(Table3[[#All],[Intensity]], Table13[[#This Row],[int'[0']]]+2)</f>
        <v>0</v>
      </c>
      <c r="AJ126">
        <f>Table13[[#This Row],[duration'[0']]]*Table13[[#This Row],[intensity'[0']]]</f>
        <v>0</v>
      </c>
      <c r="AK126">
        <f>MOD(Table13[[#This Row],[ZMW num]], 4)</f>
        <v>1</v>
      </c>
      <c r="AL126">
        <v>0</v>
      </c>
      <c r="AM126">
        <f>MAX($D$2, Table13[[#This Row],[t1'[1']]])</f>
        <v>0</v>
      </c>
      <c r="AN126">
        <v>0</v>
      </c>
      <c r="AO126">
        <f>Table13[[#This Row],[t1'[1']]]+Table13[[#This Row],[dt'[1']]]</f>
        <v>0</v>
      </c>
      <c r="AP126">
        <f>MIN($C$2, Table13[[#This Row],[tf'[1']]])</f>
        <v>0</v>
      </c>
      <c r="AQ126">
        <f>Table13[[#This Row],[time2'[1']]]-Table13[[#This Row],[time1'[1']]]</f>
        <v>0</v>
      </c>
      <c r="AR126">
        <v>0</v>
      </c>
      <c r="AS126">
        <f xml:space="preserve"> INDEX(Table3[[#All],[Intensity]], Table13[[#This Row],[int'[1']]]+2)</f>
        <v>0</v>
      </c>
      <c r="AT126">
        <f>Table13[[#This Row],[duration'[1']]]*Table13[[#This Row],[intensity'[1']]]</f>
        <v>0</v>
      </c>
      <c r="AU126">
        <f>MOD(Table13[[#This Row],[ZMW num]]+1, 4)</f>
        <v>2</v>
      </c>
      <c r="AV126">
        <v>0</v>
      </c>
      <c r="AW126">
        <f>MAX($D$2, Table13[[#This Row],[t1'[2']]])</f>
        <v>0</v>
      </c>
      <c r="AX126">
        <v>0</v>
      </c>
      <c r="AY126">
        <f>Table13[[#This Row],[t1'[2']]]+Table13[[#This Row],[dt'[2']]]</f>
        <v>0</v>
      </c>
      <c r="AZ126">
        <f>MIN($C$2, Table13[[#This Row],[tf'[2']]])</f>
        <v>0</v>
      </c>
      <c r="BA126">
        <f>Table13[[#This Row],[time2'[2']]]-Table13[[#This Row],[time1'[2']]]</f>
        <v>0</v>
      </c>
      <c r="BB126">
        <v>0</v>
      </c>
      <c r="BC126">
        <f xml:space="preserve"> INDEX(Table3[[#All],[Intensity]], Table13[[#This Row],[int'[2']]]+2)</f>
        <v>0</v>
      </c>
      <c r="BD126">
        <f>Table13[[#This Row],[duration'[2']]]*Table13[[#This Row],[intensity'[2']]]</f>
        <v>0</v>
      </c>
      <c r="BE126">
        <f>MOD(Table13[[#This Row],[ZMW num]]+2, 4)</f>
        <v>3</v>
      </c>
      <c r="BF126" s="2" t="str">
        <f>Single2String(Table13[[#This Row],[t1'[0']]])</f>
        <v>00000000</v>
      </c>
      <c r="BG126" s="1" t="str">
        <f>Single2String(Table13[[#This Row],[dt'[0']]])</f>
        <v>00000000</v>
      </c>
      <c r="BH126" s="1" t="str">
        <f>Single2String(Table13[[#This Row],[t1'[1']]])</f>
        <v>00000000</v>
      </c>
      <c r="BI126" s="1" t="str">
        <f>Single2String(Table13[[#This Row],[dt'[1']]])</f>
        <v>00000000</v>
      </c>
      <c r="BJ126" s="1" t="str">
        <f>Single2String(Table13[[#This Row],[t1'[2']]])</f>
        <v>00000000</v>
      </c>
      <c r="BK126" s="1" t="str">
        <f>Single2String(Table13[[#This Row],[dt'[2']]])</f>
        <v>00000000</v>
      </c>
      <c r="BL126" s="1" t="str">
        <f>DEC2HEX(Table13[[#This Row],[ZMW num]], 6)</f>
        <v>000079</v>
      </c>
      <c r="BM126" s="1">
        <f>LEN(Table13[[#This Row],[DRAM data]])</f>
        <v>64</v>
      </c>
      <c r="BN12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0000000000000000000000000000000000000000000000001020300000007900</v>
      </c>
      <c r="CU126"/>
    </row>
    <row r="127" spans="1:99" x14ac:dyDescent="0.25">
      <c r="A127" t="str">
        <f>Single2String(Table13[[#This Row],[duration'[0']]])</f>
        <v>00000000</v>
      </c>
      <c r="B127" t="str">
        <f>Single2String(Table13[[#This Row],[duration'[1']]])</f>
        <v>00000000</v>
      </c>
      <c r="C127" t="str">
        <f>Single2String(Table13[[#This Row],[duration'[2']]])</f>
        <v>00000000</v>
      </c>
      <c r="D127" t="str">
        <f>INDEX(Table3[Hex], Table13[[#This Row],[int'[0']]]+1)</f>
        <v>00000000</v>
      </c>
      <c r="E127" t="str">
        <f>INDEX(Table3[Hex], Table13[[#This Row],[int'[1']]]+1)</f>
        <v>00000000</v>
      </c>
      <c r="F127" t="str">
        <f>INDEX(Table3[Hex], Table13[[#This Row],[int'[1']]]+1)</f>
        <v>00000000</v>
      </c>
      <c r="G127" t="str">
        <f>Single2String(Table13[[#This Row],[c ktrace]])</f>
        <v>00000000</v>
      </c>
      <c r="H127" t="str">
        <f>Single2String(Table13[[#This Row],[a ktrace]])</f>
        <v>00000000</v>
      </c>
      <c r="I127" t="str">
        <f>Single2String(Table13[[#This Row],[g ktrace]])</f>
        <v>00000000</v>
      </c>
      <c r="J127" t="str">
        <f>Single2String(Table13[[#This Row],[t ktrace]])</f>
        <v>00000000</v>
      </c>
      <c r="K127" s="3">
        <v>122</v>
      </c>
      <c r="L127">
        <f>SUM(Table13[[#This Row],[c ktrace'[2']]:[c ktrace'[0']]])</f>
        <v>0</v>
      </c>
      <c r="M127">
        <f>SUM(Table13[[#This Row],[a ktrace'[2']]:[a ktrace'[0']]])</f>
        <v>0</v>
      </c>
      <c r="N127">
        <f>SUM(Table13[[#This Row],[g ktrace'[2']]:[g ktrace'[0']]])</f>
        <v>0</v>
      </c>
      <c r="O127">
        <f>SUM(Table13[[#This Row],[t ktrace'[2']]:[t ktrace'[0']]])</f>
        <v>0</v>
      </c>
      <c r="P127">
        <f xml:space="preserve"> IF(Table13[[#This Row],[dye'[2']]]=3, Table13[[#This Row],[strength'[2']]], 0)</f>
        <v>0</v>
      </c>
      <c r="Q127">
        <f xml:space="preserve"> IF(Table13[[#This Row],[dye'[1']]]=3, Table13[[#This Row],[strength'[1']]], 0)</f>
        <v>0</v>
      </c>
      <c r="R127">
        <f xml:space="preserve"> IF(Table13[[#This Row],[dye'[0']]]=3, Table13[[#This Row],[strength'[0']]], 0)</f>
        <v>0</v>
      </c>
      <c r="S127">
        <f xml:space="preserve"> IF(Table13[[#This Row],[dye'[2']]]=2, Table13[[#This Row],[strength'[2']]], 0)</f>
        <v>0</v>
      </c>
      <c r="T127">
        <f xml:space="preserve"> IF(Table13[[#This Row],[dye'[1']]]=2, Table13[[#This Row],[strength'[1']]], 0)</f>
        <v>0</v>
      </c>
      <c r="U127">
        <f xml:space="preserve"> IF(Table13[[#This Row],[dye'[0']]]=2, Table13[[#This Row],[strength'[0']]], 0)</f>
        <v>0</v>
      </c>
      <c r="V127">
        <f xml:space="preserve"> IF(Table13[[#This Row],[dye'[2']]]=1, Table13[[#This Row],[strength'[2']]], 0)</f>
        <v>0</v>
      </c>
      <c r="W127">
        <f xml:space="preserve"> IF(Table13[[#This Row],[dye'[1']]]=1, Table13[[#This Row],[strength'[1']]], 0)</f>
        <v>0</v>
      </c>
      <c r="X127">
        <f xml:space="preserve"> IF(Table13[[#This Row],[dye'[0']]]=1, Table13[[#This Row],[strength'[0']]], 0)</f>
        <v>0</v>
      </c>
      <c r="Y127">
        <f xml:space="preserve"> IF(Table13[[#This Row],[dye'[2']]]=0, Table13[[#This Row],[strength'[2']]], 0)</f>
        <v>0</v>
      </c>
      <c r="Z127">
        <f xml:space="preserve"> IF(Table13[[#This Row],[dye'[1']]]=0, Table13[[#This Row],[strength'[1']]], 0)</f>
        <v>0</v>
      </c>
      <c r="AA127">
        <f xml:space="preserve"> IF(Table13[[#This Row],[dye'[0']]]=0, Table13[[#This Row],[strength'[0']]], 0)</f>
        <v>0</v>
      </c>
      <c r="AB127">
        <v>0</v>
      </c>
      <c r="AC127">
        <f>MAX($D$2, Table13[[#This Row],[t1'[0']]])</f>
        <v>0</v>
      </c>
      <c r="AD127">
        <v>0</v>
      </c>
      <c r="AE127">
        <f>Table13[[#This Row],[t1'[0']]]+Table13[[#This Row],[dt'[0']]]</f>
        <v>0</v>
      </c>
      <c r="AF127">
        <f>MIN($C$2, Table13[[#This Row],[tf'[0']]])</f>
        <v>0</v>
      </c>
      <c r="AG127">
        <f>Table13[[#This Row],[time2'[0']]]-Table13[[#This Row],[time1'[0']]]</f>
        <v>0</v>
      </c>
      <c r="AH127">
        <v>0</v>
      </c>
      <c r="AI127">
        <f xml:space="preserve"> INDEX(Table3[[#All],[Intensity]], Table13[[#This Row],[int'[0']]]+2)</f>
        <v>0</v>
      </c>
      <c r="AJ127">
        <f>Table13[[#This Row],[duration'[0']]]*Table13[[#This Row],[intensity'[0']]]</f>
        <v>0</v>
      </c>
      <c r="AK127">
        <f>MOD(Table13[[#This Row],[ZMW num]], 4)</f>
        <v>2</v>
      </c>
      <c r="AL127">
        <v>0</v>
      </c>
      <c r="AM127">
        <f>MAX($D$2, Table13[[#This Row],[t1'[1']]])</f>
        <v>0</v>
      </c>
      <c r="AN127">
        <v>0</v>
      </c>
      <c r="AO127">
        <f>Table13[[#This Row],[t1'[1']]]+Table13[[#This Row],[dt'[1']]]</f>
        <v>0</v>
      </c>
      <c r="AP127">
        <f>MIN($C$2, Table13[[#This Row],[tf'[1']]])</f>
        <v>0</v>
      </c>
      <c r="AQ127">
        <f>Table13[[#This Row],[time2'[1']]]-Table13[[#This Row],[time1'[1']]]</f>
        <v>0</v>
      </c>
      <c r="AR127">
        <v>0</v>
      </c>
      <c r="AS127">
        <f xml:space="preserve"> INDEX(Table3[[#All],[Intensity]], Table13[[#This Row],[int'[1']]]+2)</f>
        <v>0</v>
      </c>
      <c r="AT127">
        <f>Table13[[#This Row],[duration'[1']]]*Table13[[#This Row],[intensity'[1']]]</f>
        <v>0</v>
      </c>
      <c r="AU127">
        <f>MOD(Table13[[#This Row],[ZMW num]]+1, 4)</f>
        <v>3</v>
      </c>
      <c r="AV127">
        <v>0</v>
      </c>
      <c r="AW127">
        <f>MAX($D$2, Table13[[#This Row],[t1'[2']]])</f>
        <v>0</v>
      </c>
      <c r="AX127">
        <v>0</v>
      </c>
      <c r="AY127">
        <f>Table13[[#This Row],[t1'[2']]]+Table13[[#This Row],[dt'[2']]]</f>
        <v>0</v>
      </c>
      <c r="AZ127">
        <f>MIN($C$2, Table13[[#This Row],[tf'[2']]])</f>
        <v>0</v>
      </c>
      <c r="BA127">
        <f>Table13[[#This Row],[time2'[2']]]-Table13[[#This Row],[time1'[2']]]</f>
        <v>0</v>
      </c>
      <c r="BB127">
        <v>0</v>
      </c>
      <c r="BC127">
        <f xml:space="preserve"> INDEX(Table3[[#All],[Intensity]], Table13[[#This Row],[int'[2']]]+2)</f>
        <v>0</v>
      </c>
      <c r="BD127">
        <f>Table13[[#This Row],[duration'[2']]]*Table13[[#This Row],[intensity'[2']]]</f>
        <v>0</v>
      </c>
      <c r="BE127">
        <f>MOD(Table13[[#This Row],[ZMW num]]+2, 4)</f>
        <v>0</v>
      </c>
      <c r="BF127" s="2" t="str">
        <f>Single2String(Table13[[#This Row],[t1'[0']]])</f>
        <v>00000000</v>
      </c>
      <c r="BG127" s="1" t="str">
        <f>Single2String(Table13[[#This Row],[dt'[0']]])</f>
        <v>00000000</v>
      </c>
      <c r="BH127" s="1" t="str">
        <f>Single2String(Table13[[#This Row],[t1'[1']]])</f>
        <v>00000000</v>
      </c>
      <c r="BI127" s="1" t="str">
        <f>Single2String(Table13[[#This Row],[dt'[1']]])</f>
        <v>00000000</v>
      </c>
      <c r="BJ127" s="1" t="str">
        <f>Single2String(Table13[[#This Row],[t1'[2']]])</f>
        <v>00000000</v>
      </c>
      <c r="BK127" s="1" t="str">
        <f>Single2String(Table13[[#This Row],[dt'[2']]])</f>
        <v>00000000</v>
      </c>
      <c r="BL127" s="1" t="str">
        <f>DEC2HEX(Table13[[#This Row],[ZMW num]], 6)</f>
        <v>00007A</v>
      </c>
      <c r="BM127" s="1">
        <f>LEN(Table13[[#This Row],[DRAM data]])</f>
        <v>64</v>
      </c>
      <c r="BN12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0000000000000000000000000000000000000000000000002030000000007A00</v>
      </c>
      <c r="CU127"/>
    </row>
    <row r="128" spans="1:99" x14ac:dyDescent="0.25">
      <c r="A128" t="str">
        <f>Single2String(Table13[[#This Row],[duration'[0']]])</f>
        <v>00000000</v>
      </c>
      <c r="B128" t="str">
        <f>Single2String(Table13[[#This Row],[duration'[1']]])</f>
        <v>00000000</v>
      </c>
      <c r="C128" t="str">
        <f>Single2String(Table13[[#This Row],[duration'[2']]])</f>
        <v>00000000</v>
      </c>
      <c r="D128" t="str">
        <f>INDEX(Table3[Hex], Table13[[#This Row],[int'[0']]]+1)</f>
        <v>00000000</v>
      </c>
      <c r="E128" t="str">
        <f>INDEX(Table3[Hex], Table13[[#This Row],[int'[1']]]+1)</f>
        <v>00000000</v>
      </c>
      <c r="F128" t="str">
        <f>INDEX(Table3[Hex], Table13[[#This Row],[int'[1']]]+1)</f>
        <v>00000000</v>
      </c>
      <c r="G128" t="str">
        <f>Single2String(Table13[[#This Row],[c ktrace]])</f>
        <v>00000000</v>
      </c>
      <c r="H128" t="str">
        <f>Single2String(Table13[[#This Row],[a ktrace]])</f>
        <v>00000000</v>
      </c>
      <c r="I128" t="str">
        <f>Single2String(Table13[[#This Row],[g ktrace]])</f>
        <v>00000000</v>
      </c>
      <c r="J128" t="str">
        <f>Single2String(Table13[[#This Row],[t ktrace]])</f>
        <v>00000000</v>
      </c>
      <c r="K128" s="3">
        <v>123</v>
      </c>
      <c r="L128">
        <f>SUM(Table13[[#This Row],[c ktrace'[2']]:[c ktrace'[0']]])</f>
        <v>0</v>
      </c>
      <c r="M128">
        <f>SUM(Table13[[#This Row],[a ktrace'[2']]:[a ktrace'[0']]])</f>
        <v>0</v>
      </c>
      <c r="N128">
        <f>SUM(Table13[[#This Row],[g ktrace'[2']]:[g ktrace'[0']]])</f>
        <v>0</v>
      </c>
      <c r="O128">
        <f>SUM(Table13[[#This Row],[t ktrace'[2']]:[t ktrace'[0']]])</f>
        <v>0</v>
      </c>
      <c r="P128">
        <f xml:space="preserve"> IF(Table13[[#This Row],[dye'[2']]]=3, Table13[[#This Row],[strength'[2']]], 0)</f>
        <v>0</v>
      </c>
      <c r="Q128">
        <f xml:space="preserve"> IF(Table13[[#This Row],[dye'[1']]]=3, Table13[[#This Row],[strength'[1']]], 0)</f>
        <v>0</v>
      </c>
      <c r="R128">
        <f xml:space="preserve"> IF(Table13[[#This Row],[dye'[0']]]=3, Table13[[#This Row],[strength'[0']]], 0)</f>
        <v>0</v>
      </c>
      <c r="S128">
        <f xml:space="preserve"> IF(Table13[[#This Row],[dye'[2']]]=2, Table13[[#This Row],[strength'[2']]], 0)</f>
        <v>0</v>
      </c>
      <c r="T128">
        <f xml:space="preserve"> IF(Table13[[#This Row],[dye'[1']]]=2, Table13[[#This Row],[strength'[1']]], 0)</f>
        <v>0</v>
      </c>
      <c r="U128">
        <f xml:space="preserve"> IF(Table13[[#This Row],[dye'[0']]]=2, Table13[[#This Row],[strength'[0']]], 0)</f>
        <v>0</v>
      </c>
      <c r="V128">
        <f xml:space="preserve"> IF(Table13[[#This Row],[dye'[2']]]=1, Table13[[#This Row],[strength'[2']]], 0)</f>
        <v>0</v>
      </c>
      <c r="W128">
        <f xml:space="preserve"> IF(Table13[[#This Row],[dye'[1']]]=1, Table13[[#This Row],[strength'[1']]], 0)</f>
        <v>0</v>
      </c>
      <c r="X128">
        <f xml:space="preserve"> IF(Table13[[#This Row],[dye'[0']]]=1, Table13[[#This Row],[strength'[0']]], 0)</f>
        <v>0</v>
      </c>
      <c r="Y128">
        <f xml:space="preserve"> IF(Table13[[#This Row],[dye'[2']]]=0, Table13[[#This Row],[strength'[2']]], 0)</f>
        <v>0</v>
      </c>
      <c r="Z128">
        <f xml:space="preserve"> IF(Table13[[#This Row],[dye'[1']]]=0, Table13[[#This Row],[strength'[1']]], 0)</f>
        <v>0</v>
      </c>
      <c r="AA128">
        <f xml:space="preserve"> IF(Table13[[#This Row],[dye'[0']]]=0, Table13[[#This Row],[strength'[0']]], 0)</f>
        <v>0</v>
      </c>
      <c r="AB128">
        <v>0</v>
      </c>
      <c r="AC128">
        <f>MAX($D$2, Table13[[#This Row],[t1'[0']]])</f>
        <v>0</v>
      </c>
      <c r="AD128">
        <v>0</v>
      </c>
      <c r="AE128">
        <f>Table13[[#This Row],[t1'[0']]]+Table13[[#This Row],[dt'[0']]]</f>
        <v>0</v>
      </c>
      <c r="AF128">
        <f>MIN($C$2, Table13[[#This Row],[tf'[0']]])</f>
        <v>0</v>
      </c>
      <c r="AG128">
        <f>Table13[[#This Row],[time2'[0']]]-Table13[[#This Row],[time1'[0']]]</f>
        <v>0</v>
      </c>
      <c r="AH128">
        <v>0</v>
      </c>
      <c r="AI128">
        <f xml:space="preserve"> INDEX(Table3[[#All],[Intensity]], Table13[[#This Row],[int'[0']]]+2)</f>
        <v>0</v>
      </c>
      <c r="AJ128">
        <f>Table13[[#This Row],[duration'[0']]]*Table13[[#This Row],[intensity'[0']]]</f>
        <v>0</v>
      </c>
      <c r="AK128">
        <f>MOD(Table13[[#This Row],[ZMW num]], 4)</f>
        <v>3</v>
      </c>
      <c r="AL128">
        <v>0</v>
      </c>
      <c r="AM128">
        <f>MAX($D$2, Table13[[#This Row],[t1'[1']]])</f>
        <v>0</v>
      </c>
      <c r="AN128">
        <v>0</v>
      </c>
      <c r="AO128">
        <f>Table13[[#This Row],[t1'[1']]]+Table13[[#This Row],[dt'[1']]]</f>
        <v>0</v>
      </c>
      <c r="AP128">
        <f>MIN($C$2, Table13[[#This Row],[tf'[1']]])</f>
        <v>0</v>
      </c>
      <c r="AQ128">
        <f>Table13[[#This Row],[time2'[1']]]-Table13[[#This Row],[time1'[1']]]</f>
        <v>0</v>
      </c>
      <c r="AR128">
        <v>0</v>
      </c>
      <c r="AS128">
        <f xml:space="preserve"> INDEX(Table3[[#All],[Intensity]], Table13[[#This Row],[int'[1']]]+2)</f>
        <v>0</v>
      </c>
      <c r="AT128">
        <f>Table13[[#This Row],[duration'[1']]]*Table13[[#This Row],[intensity'[1']]]</f>
        <v>0</v>
      </c>
      <c r="AU128">
        <f>MOD(Table13[[#This Row],[ZMW num]]+1, 4)</f>
        <v>0</v>
      </c>
      <c r="AV128">
        <v>0</v>
      </c>
      <c r="AW128">
        <f>MAX($D$2, Table13[[#This Row],[t1'[2']]])</f>
        <v>0</v>
      </c>
      <c r="AX128">
        <v>0</v>
      </c>
      <c r="AY128">
        <f>Table13[[#This Row],[t1'[2']]]+Table13[[#This Row],[dt'[2']]]</f>
        <v>0</v>
      </c>
      <c r="AZ128">
        <f>MIN($C$2, Table13[[#This Row],[tf'[2']]])</f>
        <v>0</v>
      </c>
      <c r="BA128">
        <f>Table13[[#This Row],[time2'[2']]]-Table13[[#This Row],[time1'[2']]]</f>
        <v>0</v>
      </c>
      <c r="BB128">
        <v>0</v>
      </c>
      <c r="BC128">
        <f xml:space="preserve"> INDEX(Table3[[#All],[Intensity]], Table13[[#This Row],[int'[2']]]+2)</f>
        <v>0</v>
      </c>
      <c r="BD128">
        <f>Table13[[#This Row],[duration'[2']]]*Table13[[#This Row],[intensity'[2']]]</f>
        <v>0</v>
      </c>
      <c r="BE128">
        <f>MOD(Table13[[#This Row],[ZMW num]]+2, 4)</f>
        <v>1</v>
      </c>
      <c r="BF128" s="2" t="str">
        <f>Single2String(Table13[[#This Row],[t1'[0']]])</f>
        <v>00000000</v>
      </c>
      <c r="BG128" s="1" t="str">
        <f>Single2String(Table13[[#This Row],[dt'[0']]])</f>
        <v>00000000</v>
      </c>
      <c r="BH128" s="1" t="str">
        <f>Single2String(Table13[[#This Row],[t1'[1']]])</f>
        <v>00000000</v>
      </c>
      <c r="BI128" s="1" t="str">
        <f>Single2String(Table13[[#This Row],[dt'[1']]])</f>
        <v>00000000</v>
      </c>
      <c r="BJ128" s="1" t="str">
        <f>Single2String(Table13[[#This Row],[t1'[2']]])</f>
        <v>00000000</v>
      </c>
      <c r="BK128" s="1" t="str">
        <f>Single2String(Table13[[#This Row],[dt'[2']]])</f>
        <v>00000000</v>
      </c>
      <c r="BL128" s="1" t="str">
        <f>DEC2HEX(Table13[[#This Row],[ZMW num]], 6)</f>
        <v>00007B</v>
      </c>
      <c r="BM128" s="1">
        <f>LEN(Table13[[#This Row],[DRAM data]])</f>
        <v>64</v>
      </c>
      <c r="BN12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0000000000000000000000000000000000000000000000003000100000007B00</v>
      </c>
      <c r="CU128"/>
    </row>
    <row r="129" spans="1:99" x14ac:dyDescent="0.25">
      <c r="A129" t="str">
        <f>Single2String(Table13[[#This Row],[duration'[0']]])</f>
        <v>00000000</v>
      </c>
      <c r="B129" t="str">
        <f>Single2String(Table13[[#This Row],[duration'[1']]])</f>
        <v>00000000</v>
      </c>
      <c r="C129" t="str">
        <f>Single2String(Table13[[#This Row],[duration'[2']]])</f>
        <v>00000000</v>
      </c>
      <c r="D129" t="str">
        <f>INDEX(Table3[Hex], Table13[[#This Row],[int'[0']]]+1)</f>
        <v>00000000</v>
      </c>
      <c r="E129" t="str">
        <f>INDEX(Table3[Hex], Table13[[#This Row],[int'[1']]]+1)</f>
        <v>00000000</v>
      </c>
      <c r="F129" t="str">
        <f>INDEX(Table3[Hex], Table13[[#This Row],[int'[1']]]+1)</f>
        <v>00000000</v>
      </c>
      <c r="G129" t="str">
        <f>Single2String(Table13[[#This Row],[c ktrace]])</f>
        <v>00000000</v>
      </c>
      <c r="H129" t="str">
        <f>Single2String(Table13[[#This Row],[a ktrace]])</f>
        <v>00000000</v>
      </c>
      <c r="I129" t="str">
        <f>Single2String(Table13[[#This Row],[g ktrace]])</f>
        <v>00000000</v>
      </c>
      <c r="J129" t="str">
        <f>Single2String(Table13[[#This Row],[t ktrace]])</f>
        <v>00000000</v>
      </c>
      <c r="K129" s="3">
        <v>124</v>
      </c>
      <c r="L129">
        <f>SUM(Table13[[#This Row],[c ktrace'[2']]:[c ktrace'[0']]])</f>
        <v>0</v>
      </c>
      <c r="M129">
        <f>SUM(Table13[[#This Row],[a ktrace'[2']]:[a ktrace'[0']]])</f>
        <v>0</v>
      </c>
      <c r="N129">
        <f>SUM(Table13[[#This Row],[g ktrace'[2']]:[g ktrace'[0']]])</f>
        <v>0</v>
      </c>
      <c r="O129">
        <f>SUM(Table13[[#This Row],[t ktrace'[2']]:[t ktrace'[0']]])</f>
        <v>0</v>
      </c>
      <c r="P129">
        <f xml:space="preserve"> IF(Table13[[#This Row],[dye'[2']]]=3, Table13[[#This Row],[strength'[2']]], 0)</f>
        <v>0</v>
      </c>
      <c r="Q129">
        <f xml:space="preserve"> IF(Table13[[#This Row],[dye'[1']]]=3, Table13[[#This Row],[strength'[1']]], 0)</f>
        <v>0</v>
      </c>
      <c r="R129">
        <f xml:space="preserve"> IF(Table13[[#This Row],[dye'[0']]]=3, Table13[[#This Row],[strength'[0']]], 0)</f>
        <v>0</v>
      </c>
      <c r="S129">
        <f xml:space="preserve"> IF(Table13[[#This Row],[dye'[2']]]=2, Table13[[#This Row],[strength'[2']]], 0)</f>
        <v>0</v>
      </c>
      <c r="T129">
        <f xml:space="preserve"> IF(Table13[[#This Row],[dye'[1']]]=2, Table13[[#This Row],[strength'[1']]], 0)</f>
        <v>0</v>
      </c>
      <c r="U129">
        <f xml:space="preserve"> IF(Table13[[#This Row],[dye'[0']]]=2, Table13[[#This Row],[strength'[0']]], 0)</f>
        <v>0</v>
      </c>
      <c r="V129">
        <f xml:space="preserve"> IF(Table13[[#This Row],[dye'[2']]]=1, Table13[[#This Row],[strength'[2']]], 0)</f>
        <v>0</v>
      </c>
      <c r="W129">
        <f xml:space="preserve"> IF(Table13[[#This Row],[dye'[1']]]=1, Table13[[#This Row],[strength'[1']]], 0)</f>
        <v>0</v>
      </c>
      <c r="X129">
        <f xml:space="preserve"> IF(Table13[[#This Row],[dye'[0']]]=1, Table13[[#This Row],[strength'[0']]], 0)</f>
        <v>0</v>
      </c>
      <c r="Y129">
        <f xml:space="preserve"> IF(Table13[[#This Row],[dye'[2']]]=0, Table13[[#This Row],[strength'[2']]], 0)</f>
        <v>0</v>
      </c>
      <c r="Z129">
        <f xml:space="preserve"> IF(Table13[[#This Row],[dye'[1']]]=0, Table13[[#This Row],[strength'[1']]], 0)</f>
        <v>0</v>
      </c>
      <c r="AA129">
        <f xml:space="preserve"> IF(Table13[[#This Row],[dye'[0']]]=0, Table13[[#This Row],[strength'[0']]], 0)</f>
        <v>0</v>
      </c>
      <c r="AB129">
        <v>0</v>
      </c>
      <c r="AC129">
        <f>MAX($D$2, Table13[[#This Row],[t1'[0']]])</f>
        <v>0</v>
      </c>
      <c r="AD129">
        <v>0</v>
      </c>
      <c r="AE129">
        <f>Table13[[#This Row],[t1'[0']]]+Table13[[#This Row],[dt'[0']]]</f>
        <v>0</v>
      </c>
      <c r="AF129">
        <f>MIN($C$2, Table13[[#This Row],[tf'[0']]])</f>
        <v>0</v>
      </c>
      <c r="AG129">
        <f>Table13[[#This Row],[time2'[0']]]-Table13[[#This Row],[time1'[0']]]</f>
        <v>0</v>
      </c>
      <c r="AH129">
        <v>0</v>
      </c>
      <c r="AI129">
        <f xml:space="preserve"> INDEX(Table3[[#All],[Intensity]], Table13[[#This Row],[int'[0']]]+2)</f>
        <v>0</v>
      </c>
      <c r="AJ129">
        <f>Table13[[#This Row],[duration'[0']]]*Table13[[#This Row],[intensity'[0']]]</f>
        <v>0</v>
      </c>
      <c r="AK129">
        <f>MOD(Table13[[#This Row],[ZMW num]], 4)</f>
        <v>0</v>
      </c>
      <c r="AL129">
        <v>0</v>
      </c>
      <c r="AM129">
        <f>MAX($D$2, Table13[[#This Row],[t1'[1']]])</f>
        <v>0</v>
      </c>
      <c r="AN129">
        <v>0</v>
      </c>
      <c r="AO129">
        <f>Table13[[#This Row],[t1'[1']]]+Table13[[#This Row],[dt'[1']]]</f>
        <v>0</v>
      </c>
      <c r="AP129">
        <f>MIN($C$2, Table13[[#This Row],[tf'[1']]])</f>
        <v>0</v>
      </c>
      <c r="AQ129">
        <f>Table13[[#This Row],[time2'[1']]]-Table13[[#This Row],[time1'[1']]]</f>
        <v>0</v>
      </c>
      <c r="AR129">
        <v>0</v>
      </c>
      <c r="AS129">
        <f xml:space="preserve"> INDEX(Table3[[#All],[Intensity]], Table13[[#This Row],[int'[1']]]+2)</f>
        <v>0</v>
      </c>
      <c r="AT129">
        <f>Table13[[#This Row],[duration'[1']]]*Table13[[#This Row],[intensity'[1']]]</f>
        <v>0</v>
      </c>
      <c r="AU129">
        <f>MOD(Table13[[#This Row],[ZMW num]]+1, 4)</f>
        <v>1</v>
      </c>
      <c r="AV129">
        <v>0</v>
      </c>
      <c r="AW129">
        <f>MAX($D$2, Table13[[#This Row],[t1'[2']]])</f>
        <v>0</v>
      </c>
      <c r="AX129">
        <v>0</v>
      </c>
      <c r="AY129">
        <f>Table13[[#This Row],[t1'[2']]]+Table13[[#This Row],[dt'[2']]]</f>
        <v>0</v>
      </c>
      <c r="AZ129">
        <f>MIN($C$2, Table13[[#This Row],[tf'[2']]])</f>
        <v>0</v>
      </c>
      <c r="BA129">
        <f>Table13[[#This Row],[time2'[2']]]-Table13[[#This Row],[time1'[2']]]</f>
        <v>0</v>
      </c>
      <c r="BB129">
        <v>0</v>
      </c>
      <c r="BC129">
        <f xml:space="preserve"> INDEX(Table3[[#All],[Intensity]], Table13[[#This Row],[int'[2']]]+2)</f>
        <v>0</v>
      </c>
      <c r="BD129">
        <f>Table13[[#This Row],[duration'[2']]]*Table13[[#This Row],[intensity'[2']]]</f>
        <v>0</v>
      </c>
      <c r="BE129">
        <f>MOD(Table13[[#This Row],[ZMW num]]+2, 4)</f>
        <v>2</v>
      </c>
      <c r="BF129" s="2" t="str">
        <f>Single2String(Table13[[#This Row],[t1'[0']]])</f>
        <v>00000000</v>
      </c>
      <c r="BG129" s="1" t="str">
        <f>Single2String(Table13[[#This Row],[dt'[0']]])</f>
        <v>00000000</v>
      </c>
      <c r="BH129" s="1" t="str">
        <f>Single2String(Table13[[#This Row],[t1'[1']]])</f>
        <v>00000000</v>
      </c>
      <c r="BI129" s="1" t="str">
        <f>Single2String(Table13[[#This Row],[dt'[1']]])</f>
        <v>00000000</v>
      </c>
      <c r="BJ129" s="1" t="str">
        <f>Single2String(Table13[[#This Row],[t1'[2']]])</f>
        <v>00000000</v>
      </c>
      <c r="BK129" s="1" t="str">
        <f>Single2String(Table13[[#This Row],[dt'[2']]])</f>
        <v>00000000</v>
      </c>
      <c r="BL129" s="1" t="str">
        <f>DEC2HEX(Table13[[#This Row],[ZMW num]], 6)</f>
        <v>00007C</v>
      </c>
      <c r="BM129" s="1">
        <f>LEN(Table13[[#This Row],[DRAM data]])</f>
        <v>64</v>
      </c>
      <c r="BN12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0000000000000000000000000000000000000000000000000010200000007C00</v>
      </c>
      <c r="CU129"/>
    </row>
    <row r="130" spans="1:99" x14ac:dyDescent="0.25">
      <c r="A130" t="str">
        <f>Single2String(Table13[[#This Row],[duration'[0']]])</f>
        <v>00000000</v>
      </c>
      <c r="B130" t="str">
        <f>Single2String(Table13[[#This Row],[duration'[1']]])</f>
        <v>00000000</v>
      </c>
      <c r="C130" t="str">
        <f>Single2String(Table13[[#This Row],[duration'[2']]])</f>
        <v>00000000</v>
      </c>
      <c r="D130" t="str">
        <f>INDEX(Table3[Hex], Table13[[#This Row],[int'[0']]]+1)</f>
        <v>00000000</v>
      </c>
      <c r="E130" t="str">
        <f>INDEX(Table3[Hex], Table13[[#This Row],[int'[1']]]+1)</f>
        <v>00000000</v>
      </c>
      <c r="F130" t="str">
        <f>INDEX(Table3[Hex], Table13[[#This Row],[int'[1']]]+1)</f>
        <v>00000000</v>
      </c>
      <c r="G130" t="str">
        <f>Single2String(Table13[[#This Row],[c ktrace]])</f>
        <v>00000000</v>
      </c>
      <c r="H130" t="str">
        <f>Single2String(Table13[[#This Row],[a ktrace]])</f>
        <v>00000000</v>
      </c>
      <c r="I130" t="str">
        <f>Single2String(Table13[[#This Row],[g ktrace]])</f>
        <v>00000000</v>
      </c>
      <c r="J130" t="str">
        <f>Single2String(Table13[[#This Row],[t ktrace]])</f>
        <v>00000000</v>
      </c>
      <c r="K130" s="3">
        <v>125</v>
      </c>
      <c r="L130">
        <f>SUM(Table13[[#This Row],[c ktrace'[2']]:[c ktrace'[0']]])</f>
        <v>0</v>
      </c>
      <c r="M130">
        <f>SUM(Table13[[#This Row],[a ktrace'[2']]:[a ktrace'[0']]])</f>
        <v>0</v>
      </c>
      <c r="N130">
        <f>SUM(Table13[[#This Row],[g ktrace'[2']]:[g ktrace'[0']]])</f>
        <v>0</v>
      </c>
      <c r="O130">
        <f>SUM(Table13[[#This Row],[t ktrace'[2']]:[t ktrace'[0']]])</f>
        <v>0</v>
      </c>
      <c r="P130">
        <f xml:space="preserve"> IF(Table13[[#This Row],[dye'[2']]]=3, Table13[[#This Row],[strength'[2']]], 0)</f>
        <v>0</v>
      </c>
      <c r="Q130">
        <f xml:space="preserve"> IF(Table13[[#This Row],[dye'[1']]]=3, Table13[[#This Row],[strength'[1']]], 0)</f>
        <v>0</v>
      </c>
      <c r="R130">
        <f xml:space="preserve"> IF(Table13[[#This Row],[dye'[0']]]=3, Table13[[#This Row],[strength'[0']]], 0)</f>
        <v>0</v>
      </c>
      <c r="S130">
        <f xml:space="preserve"> IF(Table13[[#This Row],[dye'[2']]]=2, Table13[[#This Row],[strength'[2']]], 0)</f>
        <v>0</v>
      </c>
      <c r="T130">
        <f xml:space="preserve"> IF(Table13[[#This Row],[dye'[1']]]=2, Table13[[#This Row],[strength'[1']]], 0)</f>
        <v>0</v>
      </c>
      <c r="U130">
        <f xml:space="preserve"> IF(Table13[[#This Row],[dye'[0']]]=2, Table13[[#This Row],[strength'[0']]], 0)</f>
        <v>0</v>
      </c>
      <c r="V130">
        <f xml:space="preserve"> IF(Table13[[#This Row],[dye'[2']]]=1, Table13[[#This Row],[strength'[2']]], 0)</f>
        <v>0</v>
      </c>
      <c r="W130">
        <f xml:space="preserve"> IF(Table13[[#This Row],[dye'[1']]]=1, Table13[[#This Row],[strength'[1']]], 0)</f>
        <v>0</v>
      </c>
      <c r="X130">
        <f xml:space="preserve"> IF(Table13[[#This Row],[dye'[0']]]=1, Table13[[#This Row],[strength'[0']]], 0)</f>
        <v>0</v>
      </c>
      <c r="Y130">
        <f xml:space="preserve"> IF(Table13[[#This Row],[dye'[2']]]=0, Table13[[#This Row],[strength'[2']]], 0)</f>
        <v>0</v>
      </c>
      <c r="Z130">
        <f xml:space="preserve"> IF(Table13[[#This Row],[dye'[1']]]=0, Table13[[#This Row],[strength'[1']]], 0)</f>
        <v>0</v>
      </c>
      <c r="AA130">
        <f xml:space="preserve"> IF(Table13[[#This Row],[dye'[0']]]=0, Table13[[#This Row],[strength'[0']]], 0)</f>
        <v>0</v>
      </c>
      <c r="AB130">
        <v>0</v>
      </c>
      <c r="AC130">
        <f>MAX($D$2, Table13[[#This Row],[t1'[0']]])</f>
        <v>0</v>
      </c>
      <c r="AD130">
        <v>0</v>
      </c>
      <c r="AE130">
        <f>Table13[[#This Row],[t1'[0']]]+Table13[[#This Row],[dt'[0']]]</f>
        <v>0</v>
      </c>
      <c r="AF130">
        <f>MIN($C$2, Table13[[#This Row],[tf'[0']]])</f>
        <v>0</v>
      </c>
      <c r="AG130">
        <f>Table13[[#This Row],[time2'[0']]]-Table13[[#This Row],[time1'[0']]]</f>
        <v>0</v>
      </c>
      <c r="AH130">
        <v>0</v>
      </c>
      <c r="AI130">
        <f xml:space="preserve"> INDEX(Table3[[#All],[Intensity]], Table13[[#This Row],[int'[0']]]+2)</f>
        <v>0</v>
      </c>
      <c r="AJ130">
        <f>Table13[[#This Row],[duration'[0']]]*Table13[[#This Row],[intensity'[0']]]</f>
        <v>0</v>
      </c>
      <c r="AK130">
        <f>MOD(Table13[[#This Row],[ZMW num]], 4)</f>
        <v>1</v>
      </c>
      <c r="AL130">
        <v>0</v>
      </c>
      <c r="AM130">
        <f>MAX($D$2, Table13[[#This Row],[t1'[1']]])</f>
        <v>0</v>
      </c>
      <c r="AN130">
        <v>0</v>
      </c>
      <c r="AO130">
        <f>Table13[[#This Row],[t1'[1']]]+Table13[[#This Row],[dt'[1']]]</f>
        <v>0</v>
      </c>
      <c r="AP130">
        <f>MIN($C$2, Table13[[#This Row],[tf'[1']]])</f>
        <v>0</v>
      </c>
      <c r="AQ130">
        <f>Table13[[#This Row],[time2'[1']]]-Table13[[#This Row],[time1'[1']]]</f>
        <v>0</v>
      </c>
      <c r="AR130">
        <v>0</v>
      </c>
      <c r="AS130">
        <f xml:space="preserve"> INDEX(Table3[[#All],[Intensity]], Table13[[#This Row],[int'[1']]]+2)</f>
        <v>0</v>
      </c>
      <c r="AT130">
        <f>Table13[[#This Row],[duration'[1']]]*Table13[[#This Row],[intensity'[1']]]</f>
        <v>0</v>
      </c>
      <c r="AU130">
        <f>MOD(Table13[[#This Row],[ZMW num]]+1, 4)</f>
        <v>2</v>
      </c>
      <c r="AV130">
        <v>0</v>
      </c>
      <c r="AW130">
        <f>MAX($D$2, Table13[[#This Row],[t1'[2']]])</f>
        <v>0</v>
      </c>
      <c r="AX130">
        <v>0</v>
      </c>
      <c r="AY130">
        <f>Table13[[#This Row],[t1'[2']]]+Table13[[#This Row],[dt'[2']]]</f>
        <v>0</v>
      </c>
      <c r="AZ130">
        <f>MIN($C$2, Table13[[#This Row],[tf'[2']]])</f>
        <v>0</v>
      </c>
      <c r="BA130">
        <f>Table13[[#This Row],[time2'[2']]]-Table13[[#This Row],[time1'[2']]]</f>
        <v>0</v>
      </c>
      <c r="BB130">
        <v>0</v>
      </c>
      <c r="BC130">
        <f xml:space="preserve"> INDEX(Table3[[#All],[Intensity]], Table13[[#This Row],[int'[2']]]+2)</f>
        <v>0</v>
      </c>
      <c r="BD130">
        <f>Table13[[#This Row],[duration'[2']]]*Table13[[#This Row],[intensity'[2']]]</f>
        <v>0</v>
      </c>
      <c r="BE130">
        <f>MOD(Table13[[#This Row],[ZMW num]]+2, 4)</f>
        <v>3</v>
      </c>
      <c r="BF130" s="2" t="str">
        <f>Single2String(Table13[[#This Row],[t1'[0']]])</f>
        <v>00000000</v>
      </c>
      <c r="BG130" s="1" t="str">
        <f>Single2String(Table13[[#This Row],[dt'[0']]])</f>
        <v>00000000</v>
      </c>
      <c r="BH130" s="1" t="str">
        <f>Single2String(Table13[[#This Row],[t1'[1']]])</f>
        <v>00000000</v>
      </c>
      <c r="BI130" s="1" t="str">
        <f>Single2String(Table13[[#This Row],[dt'[1']]])</f>
        <v>00000000</v>
      </c>
      <c r="BJ130" s="1" t="str">
        <f>Single2String(Table13[[#This Row],[t1'[2']]])</f>
        <v>00000000</v>
      </c>
      <c r="BK130" s="1" t="str">
        <f>Single2String(Table13[[#This Row],[dt'[2']]])</f>
        <v>00000000</v>
      </c>
      <c r="BL130" s="1" t="str">
        <f>DEC2HEX(Table13[[#This Row],[ZMW num]], 6)</f>
        <v>00007D</v>
      </c>
      <c r="BM130" s="1">
        <f>LEN(Table13[[#This Row],[DRAM data]])</f>
        <v>64</v>
      </c>
      <c r="BN13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0000000000000000000000000000000000000000000000001020300000007D00</v>
      </c>
      <c r="CU130"/>
    </row>
    <row r="131" spans="1:99" x14ac:dyDescent="0.25">
      <c r="A131" t="str">
        <f>Single2String(Table13[[#This Row],[duration'[0']]])</f>
        <v>00000000</v>
      </c>
      <c r="B131" t="str">
        <f>Single2String(Table13[[#This Row],[duration'[1']]])</f>
        <v>00000000</v>
      </c>
      <c r="C131" t="str">
        <f>Single2String(Table13[[#This Row],[duration'[2']]])</f>
        <v>00000000</v>
      </c>
      <c r="D131" t="str">
        <f>INDEX(Table3[Hex], Table13[[#This Row],[int'[0']]]+1)</f>
        <v>00000000</v>
      </c>
      <c r="E131" t="str">
        <f>INDEX(Table3[Hex], Table13[[#This Row],[int'[1']]]+1)</f>
        <v>00000000</v>
      </c>
      <c r="F131" t="str">
        <f>INDEX(Table3[Hex], Table13[[#This Row],[int'[1']]]+1)</f>
        <v>00000000</v>
      </c>
      <c r="G131" t="str">
        <f>Single2String(Table13[[#This Row],[c ktrace]])</f>
        <v>00000000</v>
      </c>
      <c r="H131" t="str">
        <f>Single2String(Table13[[#This Row],[a ktrace]])</f>
        <v>00000000</v>
      </c>
      <c r="I131" t="str">
        <f>Single2String(Table13[[#This Row],[g ktrace]])</f>
        <v>00000000</v>
      </c>
      <c r="J131" t="str">
        <f>Single2String(Table13[[#This Row],[t ktrace]])</f>
        <v>00000000</v>
      </c>
      <c r="K131" s="3">
        <v>126</v>
      </c>
      <c r="L131">
        <f>SUM(Table13[[#This Row],[c ktrace'[2']]:[c ktrace'[0']]])</f>
        <v>0</v>
      </c>
      <c r="M131">
        <f>SUM(Table13[[#This Row],[a ktrace'[2']]:[a ktrace'[0']]])</f>
        <v>0</v>
      </c>
      <c r="N131">
        <f>SUM(Table13[[#This Row],[g ktrace'[2']]:[g ktrace'[0']]])</f>
        <v>0</v>
      </c>
      <c r="O131">
        <f>SUM(Table13[[#This Row],[t ktrace'[2']]:[t ktrace'[0']]])</f>
        <v>0</v>
      </c>
      <c r="P131">
        <f xml:space="preserve"> IF(Table13[[#This Row],[dye'[2']]]=3, Table13[[#This Row],[strength'[2']]], 0)</f>
        <v>0</v>
      </c>
      <c r="Q131">
        <f xml:space="preserve"> IF(Table13[[#This Row],[dye'[1']]]=3, Table13[[#This Row],[strength'[1']]], 0)</f>
        <v>0</v>
      </c>
      <c r="R131">
        <f xml:space="preserve"> IF(Table13[[#This Row],[dye'[0']]]=3, Table13[[#This Row],[strength'[0']]], 0)</f>
        <v>0</v>
      </c>
      <c r="S131">
        <f xml:space="preserve"> IF(Table13[[#This Row],[dye'[2']]]=2, Table13[[#This Row],[strength'[2']]], 0)</f>
        <v>0</v>
      </c>
      <c r="T131">
        <f xml:space="preserve"> IF(Table13[[#This Row],[dye'[1']]]=2, Table13[[#This Row],[strength'[1']]], 0)</f>
        <v>0</v>
      </c>
      <c r="U131">
        <f xml:space="preserve"> IF(Table13[[#This Row],[dye'[0']]]=2, Table13[[#This Row],[strength'[0']]], 0)</f>
        <v>0</v>
      </c>
      <c r="V131">
        <f xml:space="preserve"> IF(Table13[[#This Row],[dye'[2']]]=1, Table13[[#This Row],[strength'[2']]], 0)</f>
        <v>0</v>
      </c>
      <c r="W131">
        <f xml:space="preserve"> IF(Table13[[#This Row],[dye'[1']]]=1, Table13[[#This Row],[strength'[1']]], 0)</f>
        <v>0</v>
      </c>
      <c r="X131">
        <f xml:space="preserve"> IF(Table13[[#This Row],[dye'[0']]]=1, Table13[[#This Row],[strength'[0']]], 0)</f>
        <v>0</v>
      </c>
      <c r="Y131">
        <f xml:space="preserve"> IF(Table13[[#This Row],[dye'[2']]]=0, Table13[[#This Row],[strength'[2']]], 0)</f>
        <v>0</v>
      </c>
      <c r="Z131">
        <f xml:space="preserve"> IF(Table13[[#This Row],[dye'[1']]]=0, Table13[[#This Row],[strength'[1']]], 0)</f>
        <v>0</v>
      </c>
      <c r="AA131">
        <f xml:space="preserve"> IF(Table13[[#This Row],[dye'[0']]]=0, Table13[[#This Row],[strength'[0']]], 0)</f>
        <v>0</v>
      </c>
      <c r="AB131">
        <v>0</v>
      </c>
      <c r="AC131">
        <f>MAX($D$2, Table13[[#This Row],[t1'[0']]])</f>
        <v>0</v>
      </c>
      <c r="AD131">
        <v>0</v>
      </c>
      <c r="AE131">
        <f>Table13[[#This Row],[t1'[0']]]+Table13[[#This Row],[dt'[0']]]</f>
        <v>0</v>
      </c>
      <c r="AF131">
        <f>MIN($C$2, Table13[[#This Row],[tf'[0']]])</f>
        <v>0</v>
      </c>
      <c r="AG131">
        <f>Table13[[#This Row],[time2'[0']]]-Table13[[#This Row],[time1'[0']]]</f>
        <v>0</v>
      </c>
      <c r="AH131">
        <v>0</v>
      </c>
      <c r="AI131">
        <f xml:space="preserve"> INDEX(Table3[[#All],[Intensity]], Table13[[#This Row],[int'[0']]]+2)</f>
        <v>0</v>
      </c>
      <c r="AJ131">
        <f>Table13[[#This Row],[duration'[0']]]*Table13[[#This Row],[intensity'[0']]]</f>
        <v>0</v>
      </c>
      <c r="AK131">
        <f>MOD(Table13[[#This Row],[ZMW num]], 4)</f>
        <v>2</v>
      </c>
      <c r="AL131">
        <v>0</v>
      </c>
      <c r="AM131">
        <f>MAX($D$2, Table13[[#This Row],[t1'[1']]])</f>
        <v>0</v>
      </c>
      <c r="AN131">
        <v>0</v>
      </c>
      <c r="AO131">
        <f>Table13[[#This Row],[t1'[1']]]+Table13[[#This Row],[dt'[1']]]</f>
        <v>0</v>
      </c>
      <c r="AP131">
        <f>MIN($C$2, Table13[[#This Row],[tf'[1']]])</f>
        <v>0</v>
      </c>
      <c r="AQ131">
        <f>Table13[[#This Row],[time2'[1']]]-Table13[[#This Row],[time1'[1']]]</f>
        <v>0</v>
      </c>
      <c r="AR131">
        <v>0</v>
      </c>
      <c r="AS131">
        <f xml:space="preserve"> INDEX(Table3[[#All],[Intensity]], Table13[[#This Row],[int'[1']]]+2)</f>
        <v>0</v>
      </c>
      <c r="AT131">
        <f>Table13[[#This Row],[duration'[1']]]*Table13[[#This Row],[intensity'[1']]]</f>
        <v>0</v>
      </c>
      <c r="AU131">
        <f>MOD(Table13[[#This Row],[ZMW num]]+1, 4)</f>
        <v>3</v>
      </c>
      <c r="AV131">
        <v>0</v>
      </c>
      <c r="AW131">
        <f>MAX($D$2, Table13[[#This Row],[t1'[2']]])</f>
        <v>0</v>
      </c>
      <c r="AX131">
        <v>0</v>
      </c>
      <c r="AY131">
        <f>Table13[[#This Row],[t1'[2']]]+Table13[[#This Row],[dt'[2']]]</f>
        <v>0</v>
      </c>
      <c r="AZ131">
        <f>MIN($C$2, Table13[[#This Row],[tf'[2']]])</f>
        <v>0</v>
      </c>
      <c r="BA131">
        <f>Table13[[#This Row],[time2'[2']]]-Table13[[#This Row],[time1'[2']]]</f>
        <v>0</v>
      </c>
      <c r="BB131">
        <v>0</v>
      </c>
      <c r="BC131">
        <f xml:space="preserve"> INDEX(Table3[[#All],[Intensity]], Table13[[#This Row],[int'[2']]]+2)</f>
        <v>0</v>
      </c>
      <c r="BD131">
        <f>Table13[[#This Row],[duration'[2']]]*Table13[[#This Row],[intensity'[2']]]</f>
        <v>0</v>
      </c>
      <c r="BE131">
        <f>MOD(Table13[[#This Row],[ZMW num]]+2, 4)</f>
        <v>0</v>
      </c>
      <c r="BF131" s="2" t="str">
        <f>Single2String(Table13[[#This Row],[t1'[0']]])</f>
        <v>00000000</v>
      </c>
      <c r="BG131" s="1" t="str">
        <f>Single2String(Table13[[#This Row],[dt'[0']]])</f>
        <v>00000000</v>
      </c>
      <c r="BH131" s="1" t="str">
        <f>Single2String(Table13[[#This Row],[t1'[1']]])</f>
        <v>00000000</v>
      </c>
      <c r="BI131" s="1" t="str">
        <f>Single2String(Table13[[#This Row],[dt'[1']]])</f>
        <v>00000000</v>
      </c>
      <c r="BJ131" s="1" t="str">
        <f>Single2String(Table13[[#This Row],[t1'[2']]])</f>
        <v>00000000</v>
      </c>
      <c r="BK131" s="1" t="str">
        <f>Single2String(Table13[[#This Row],[dt'[2']]])</f>
        <v>00000000</v>
      </c>
      <c r="BL131" s="1" t="str">
        <f>DEC2HEX(Table13[[#This Row],[ZMW num]], 6)</f>
        <v>00007E</v>
      </c>
      <c r="BM131" s="1">
        <f>LEN(Table13[[#This Row],[DRAM data]])</f>
        <v>64</v>
      </c>
      <c r="BN13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0000000000000000000000000000000000000000000000002030000000007E00</v>
      </c>
      <c r="CU131"/>
    </row>
    <row r="132" spans="1:99" x14ac:dyDescent="0.25">
      <c r="A132" t="str">
        <f>Single2String(Table13[[#This Row],[duration'[0']]])</f>
        <v>00000000</v>
      </c>
      <c r="B132" t="str">
        <f>Single2String(Table13[[#This Row],[duration'[1']]])</f>
        <v>00000000</v>
      </c>
      <c r="C132" t="str">
        <f>Single2String(Table13[[#This Row],[duration'[2']]])</f>
        <v>00000000</v>
      </c>
      <c r="D132" t="str">
        <f>INDEX(Table3[Hex], Table13[[#This Row],[int'[0']]]+1)</f>
        <v>00000000</v>
      </c>
      <c r="E132" t="str">
        <f>INDEX(Table3[Hex], Table13[[#This Row],[int'[1']]]+1)</f>
        <v>00000000</v>
      </c>
      <c r="F132" t="str">
        <f>INDEX(Table3[Hex], Table13[[#This Row],[int'[1']]]+1)</f>
        <v>00000000</v>
      </c>
      <c r="G132" t="str">
        <f>Single2String(Table13[[#This Row],[c ktrace]])</f>
        <v>00000000</v>
      </c>
      <c r="H132" t="str">
        <f>Single2String(Table13[[#This Row],[a ktrace]])</f>
        <v>00000000</v>
      </c>
      <c r="I132" t="str">
        <f>Single2String(Table13[[#This Row],[g ktrace]])</f>
        <v>00000000</v>
      </c>
      <c r="J132" t="str">
        <f>Single2String(Table13[[#This Row],[t ktrace]])</f>
        <v>00000000</v>
      </c>
      <c r="K132" s="3">
        <v>127</v>
      </c>
      <c r="L132">
        <f>SUM(Table13[[#This Row],[c ktrace'[2']]:[c ktrace'[0']]])</f>
        <v>0</v>
      </c>
      <c r="M132">
        <f>SUM(Table13[[#This Row],[a ktrace'[2']]:[a ktrace'[0']]])</f>
        <v>0</v>
      </c>
      <c r="N132">
        <f>SUM(Table13[[#This Row],[g ktrace'[2']]:[g ktrace'[0']]])</f>
        <v>0</v>
      </c>
      <c r="O132">
        <f>SUM(Table13[[#This Row],[t ktrace'[2']]:[t ktrace'[0']]])</f>
        <v>0</v>
      </c>
      <c r="P132">
        <f xml:space="preserve"> IF(Table13[[#This Row],[dye'[2']]]=3, Table13[[#This Row],[strength'[2']]], 0)</f>
        <v>0</v>
      </c>
      <c r="Q132">
        <f xml:space="preserve"> IF(Table13[[#This Row],[dye'[1']]]=3, Table13[[#This Row],[strength'[1']]], 0)</f>
        <v>0</v>
      </c>
      <c r="R132">
        <f xml:space="preserve"> IF(Table13[[#This Row],[dye'[0']]]=3, Table13[[#This Row],[strength'[0']]], 0)</f>
        <v>0</v>
      </c>
      <c r="S132">
        <f xml:space="preserve"> IF(Table13[[#This Row],[dye'[2']]]=2, Table13[[#This Row],[strength'[2']]], 0)</f>
        <v>0</v>
      </c>
      <c r="T132">
        <f xml:space="preserve"> IF(Table13[[#This Row],[dye'[1']]]=2, Table13[[#This Row],[strength'[1']]], 0)</f>
        <v>0</v>
      </c>
      <c r="U132">
        <f xml:space="preserve"> IF(Table13[[#This Row],[dye'[0']]]=2, Table13[[#This Row],[strength'[0']]], 0)</f>
        <v>0</v>
      </c>
      <c r="V132">
        <f xml:space="preserve"> IF(Table13[[#This Row],[dye'[2']]]=1, Table13[[#This Row],[strength'[2']]], 0)</f>
        <v>0</v>
      </c>
      <c r="W132">
        <f xml:space="preserve"> IF(Table13[[#This Row],[dye'[1']]]=1, Table13[[#This Row],[strength'[1']]], 0)</f>
        <v>0</v>
      </c>
      <c r="X132">
        <f xml:space="preserve"> IF(Table13[[#This Row],[dye'[0']]]=1, Table13[[#This Row],[strength'[0']]], 0)</f>
        <v>0</v>
      </c>
      <c r="Y132">
        <f xml:space="preserve"> IF(Table13[[#This Row],[dye'[2']]]=0, Table13[[#This Row],[strength'[2']]], 0)</f>
        <v>0</v>
      </c>
      <c r="Z132">
        <f xml:space="preserve"> IF(Table13[[#This Row],[dye'[1']]]=0, Table13[[#This Row],[strength'[1']]], 0)</f>
        <v>0</v>
      </c>
      <c r="AA132">
        <f xml:space="preserve"> IF(Table13[[#This Row],[dye'[0']]]=0, Table13[[#This Row],[strength'[0']]], 0)</f>
        <v>0</v>
      </c>
      <c r="AB132">
        <v>0</v>
      </c>
      <c r="AC132">
        <f>MAX($D$2, Table13[[#This Row],[t1'[0']]])</f>
        <v>0</v>
      </c>
      <c r="AD132">
        <v>0</v>
      </c>
      <c r="AE132">
        <f>Table13[[#This Row],[t1'[0']]]+Table13[[#This Row],[dt'[0']]]</f>
        <v>0</v>
      </c>
      <c r="AF132">
        <f>MIN($C$2, Table13[[#This Row],[tf'[0']]])</f>
        <v>0</v>
      </c>
      <c r="AG132">
        <f>Table13[[#This Row],[time2'[0']]]-Table13[[#This Row],[time1'[0']]]</f>
        <v>0</v>
      </c>
      <c r="AH132">
        <v>0</v>
      </c>
      <c r="AI132">
        <f xml:space="preserve"> INDEX(Table3[[#All],[Intensity]], Table13[[#This Row],[int'[0']]]+2)</f>
        <v>0</v>
      </c>
      <c r="AJ132">
        <f>Table13[[#This Row],[duration'[0']]]*Table13[[#This Row],[intensity'[0']]]</f>
        <v>0</v>
      </c>
      <c r="AK132">
        <f>MOD(Table13[[#This Row],[ZMW num]], 4)</f>
        <v>3</v>
      </c>
      <c r="AL132">
        <v>0</v>
      </c>
      <c r="AM132">
        <f>MAX($D$2, Table13[[#This Row],[t1'[1']]])</f>
        <v>0</v>
      </c>
      <c r="AN132">
        <v>0</v>
      </c>
      <c r="AO132">
        <f>Table13[[#This Row],[t1'[1']]]+Table13[[#This Row],[dt'[1']]]</f>
        <v>0</v>
      </c>
      <c r="AP132">
        <f>MIN($C$2, Table13[[#This Row],[tf'[1']]])</f>
        <v>0</v>
      </c>
      <c r="AQ132">
        <f>Table13[[#This Row],[time2'[1']]]-Table13[[#This Row],[time1'[1']]]</f>
        <v>0</v>
      </c>
      <c r="AR132">
        <v>0</v>
      </c>
      <c r="AS132">
        <f xml:space="preserve"> INDEX(Table3[[#All],[Intensity]], Table13[[#This Row],[int'[1']]]+2)</f>
        <v>0</v>
      </c>
      <c r="AT132">
        <f>Table13[[#This Row],[duration'[1']]]*Table13[[#This Row],[intensity'[1']]]</f>
        <v>0</v>
      </c>
      <c r="AU132">
        <f>MOD(Table13[[#This Row],[ZMW num]]+1, 4)</f>
        <v>0</v>
      </c>
      <c r="AV132">
        <v>0</v>
      </c>
      <c r="AW132">
        <f>MAX($D$2, Table13[[#This Row],[t1'[2']]])</f>
        <v>0</v>
      </c>
      <c r="AX132">
        <v>0</v>
      </c>
      <c r="AY132">
        <f>Table13[[#This Row],[t1'[2']]]+Table13[[#This Row],[dt'[2']]]</f>
        <v>0</v>
      </c>
      <c r="AZ132">
        <f>MIN($C$2, Table13[[#This Row],[tf'[2']]])</f>
        <v>0</v>
      </c>
      <c r="BA132">
        <f>Table13[[#This Row],[time2'[2']]]-Table13[[#This Row],[time1'[2']]]</f>
        <v>0</v>
      </c>
      <c r="BB132">
        <v>0</v>
      </c>
      <c r="BC132">
        <f xml:space="preserve"> INDEX(Table3[[#All],[Intensity]], Table13[[#This Row],[int'[2']]]+2)</f>
        <v>0</v>
      </c>
      <c r="BD132">
        <f>Table13[[#This Row],[duration'[2']]]*Table13[[#This Row],[intensity'[2']]]</f>
        <v>0</v>
      </c>
      <c r="BE132">
        <f>MOD(Table13[[#This Row],[ZMW num]]+2, 4)</f>
        <v>1</v>
      </c>
      <c r="BF132" s="2" t="str">
        <f>Single2String(Table13[[#This Row],[t1'[0']]])</f>
        <v>00000000</v>
      </c>
      <c r="BG132" s="1" t="str">
        <f>Single2String(Table13[[#This Row],[dt'[0']]])</f>
        <v>00000000</v>
      </c>
      <c r="BH132" s="1" t="str">
        <f>Single2String(Table13[[#This Row],[t1'[1']]])</f>
        <v>00000000</v>
      </c>
      <c r="BI132" s="1" t="str">
        <f>Single2String(Table13[[#This Row],[dt'[1']]])</f>
        <v>00000000</v>
      </c>
      <c r="BJ132" s="1" t="str">
        <f>Single2String(Table13[[#This Row],[t1'[2']]])</f>
        <v>00000000</v>
      </c>
      <c r="BK132" s="1" t="str">
        <f>Single2String(Table13[[#This Row],[dt'[2']]])</f>
        <v>00000000</v>
      </c>
      <c r="BL132" s="1" t="str">
        <f>DEC2HEX(Table13[[#This Row],[ZMW num]], 6)</f>
        <v>00007F</v>
      </c>
      <c r="BM132" s="1">
        <f>LEN(Table13[[#This Row],[DRAM data]])</f>
        <v>64</v>
      </c>
      <c r="BN13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0000000000000000000000000000000000000000000000003000100000007F00</v>
      </c>
      <c r="CU13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"/>
  <sheetViews>
    <sheetView workbookViewId="0">
      <selection activeCell="B2" sqref="B2:B17"/>
    </sheetView>
  </sheetViews>
  <sheetFormatPr defaultRowHeight="15" x14ac:dyDescent="0.25"/>
  <cols>
    <col min="1" max="1" width="11" customWidth="1"/>
    <col min="2" max="2" width="11.5703125" customWidth="1"/>
  </cols>
  <sheetData>
    <row r="1" spans="1:2" x14ac:dyDescent="0.25">
      <c r="A1" t="s">
        <v>52</v>
      </c>
      <c r="B1" t="s">
        <v>53</v>
      </c>
    </row>
    <row r="2" spans="1:2" x14ac:dyDescent="0.25">
      <c r="A2">
        <f t="shared" ref="A2:A17" si="0">(ROW()-2)/(16-1)</f>
        <v>0</v>
      </c>
      <c r="B2" t="str">
        <f>Single2String(A2)</f>
        <v>00000000</v>
      </c>
    </row>
    <row r="3" spans="1:2" x14ac:dyDescent="0.25">
      <c r="A3">
        <f t="shared" si="0"/>
        <v>6.6666666666666666E-2</v>
      </c>
      <c r="B3" t="str">
        <f>Single2String(A3)</f>
        <v>3D888889</v>
      </c>
    </row>
    <row r="4" spans="1:2" x14ac:dyDescent="0.25">
      <c r="A4">
        <f t="shared" si="0"/>
        <v>0.13333333333333333</v>
      </c>
      <c r="B4" t="str">
        <f t="shared" ref="B4:B17" si="1">Single2String(A4)</f>
        <v>3E088889</v>
      </c>
    </row>
    <row r="5" spans="1:2" x14ac:dyDescent="0.25">
      <c r="A5">
        <f t="shared" si="0"/>
        <v>0.2</v>
      </c>
      <c r="B5" t="str">
        <f t="shared" si="1"/>
        <v>3E4CCCCD</v>
      </c>
    </row>
    <row r="6" spans="1:2" x14ac:dyDescent="0.25">
      <c r="A6">
        <f t="shared" si="0"/>
        <v>0.26666666666666666</v>
      </c>
      <c r="B6" t="str">
        <f t="shared" si="1"/>
        <v>3E888889</v>
      </c>
    </row>
    <row r="7" spans="1:2" x14ac:dyDescent="0.25">
      <c r="A7">
        <f t="shared" si="0"/>
        <v>0.33333333333333331</v>
      </c>
      <c r="B7" t="str">
        <f t="shared" si="1"/>
        <v>3EAAAAAB</v>
      </c>
    </row>
    <row r="8" spans="1:2" x14ac:dyDescent="0.25">
      <c r="A8">
        <f t="shared" si="0"/>
        <v>0.4</v>
      </c>
      <c r="B8" t="str">
        <f t="shared" si="1"/>
        <v>3ECCCCCD</v>
      </c>
    </row>
    <row r="9" spans="1:2" x14ac:dyDescent="0.25">
      <c r="A9">
        <f t="shared" si="0"/>
        <v>0.46666666666666667</v>
      </c>
      <c r="B9" t="str">
        <f t="shared" si="1"/>
        <v>3EEEEEEF</v>
      </c>
    </row>
    <row r="10" spans="1:2" x14ac:dyDescent="0.25">
      <c r="A10">
        <f t="shared" si="0"/>
        <v>0.53333333333333333</v>
      </c>
      <c r="B10" t="str">
        <f t="shared" si="1"/>
        <v>3F088889</v>
      </c>
    </row>
    <row r="11" spans="1:2" x14ac:dyDescent="0.25">
      <c r="A11">
        <f t="shared" si="0"/>
        <v>0.6</v>
      </c>
      <c r="B11" t="str">
        <f t="shared" si="1"/>
        <v>3F19999A</v>
      </c>
    </row>
    <row r="12" spans="1:2" x14ac:dyDescent="0.25">
      <c r="A12">
        <f t="shared" si="0"/>
        <v>0.66666666666666663</v>
      </c>
      <c r="B12" t="str">
        <f t="shared" si="1"/>
        <v>3F2AAAAB</v>
      </c>
    </row>
    <row r="13" spans="1:2" x14ac:dyDescent="0.25">
      <c r="A13">
        <f t="shared" si="0"/>
        <v>0.73333333333333328</v>
      </c>
      <c r="B13" t="str">
        <f t="shared" si="1"/>
        <v>3F3BBBBC</v>
      </c>
    </row>
    <row r="14" spans="1:2" x14ac:dyDescent="0.25">
      <c r="A14">
        <f t="shared" si="0"/>
        <v>0.8</v>
      </c>
      <c r="B14" t="str">
        <f t="shared" si="1"/>
        <v>3F4CCCCD</v>
      </c>
    </row>
    <row r="15" spans="1:2" x14ac:dyDescent="0.25">
      <c r="A15">
        <f t="shared" si="0"/>
        <v>0.8666666666666667</v>
      </c>
      <c r="B15" t="str">
        <f t="shared" si="1"/>
        <v>3F5DDDDE</v>
      </c>
    </row>
    <row r="16" spans="1:2" x14ac:dyDescent="0.25">
      <c r="A16">
        <f t="shared" si="0"/>
        <v>0.93333333333333335</v>
      </c>
      <c r="B16" t="str">
        <f t="shared" si="1"/>
        <v>3F6EEEEF</v>
      </c>
    </row>
    <row r="17" spans="1:2" x14ac:dyDescent="0.25">
      <c r="A17">
        <f t="shared" si="0"/>
        <v>1</v>
      </c>
      <c r="B17" t="str">
        <f t="shared" si="1"/>
        <v>3F800000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SmallFP</vt:lpstr>
      <vt:lpstr>ZMW data</vt:lpstr>
      <vt:lpstr>Pulse data</vt:lpstr>
      <vt:lpstr>Pulse Intensity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2013-03-29T15:52:33Z</dcterms:modified>
</cp:coreProperties>
</file>