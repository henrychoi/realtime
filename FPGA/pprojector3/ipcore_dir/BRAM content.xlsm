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05" windowWidth="14805" windowHeight="8010" tabRatio="508" activeTab="1"/>
  </bookViews>
  <sheets>
    <sheet name="SmallFP" sheetId="4" r:id="rId1"/>
    <sheet name="ZMW data" sheetId="2" r:id="rId2"/>
    <sheet name="ZMWRAM" sheetId="3" r:id="rId3"/>
    <sheet name="Truncation" sheetId="5" r:id="rId4"/>
  </sheets>
  <functionGroups builtInGroupCount="17"/>
  <calcPr calcId="145621"/>
</workbook>
</file>

<file path=xl/calcChain.xml><?xml version="1.0" encoding="utf-8"?>
<calcChain xmlns="http://schemas.openxmlformats.org/spreadsheetml/2006/main">
  <c r="H2" i="2" l="1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B2" i="2" l="1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3" i="5"/>
  <c r="B2" i="5"/>
  <c r="D2" i="5"/>
  <c r="A2" i="4"/>
  <c r="A4" i="4"/>
  <c r="A6" i="4"/>
  <c r="A8" i="4"/>
  <c r="A10" i="4"/>
  <c r="A12" i="4"/>
  <c r="A14" i="4"/>
  <c r="A16" i="4"/>
  <c r="A18" i="4"/>
  <c r="A20" i="4"/>
  <c r="A22" i="4"/>
  <c r="A24" i="4"/>
  <c r="A26" i="4"/>
  <c r="A28" i="4"/>
  <c r="A30" i="4"/>
  <c r="A32" i="4"/>
  <c r="A34" i="4"/>
  <c r="A36" i="4"/>
  <c r="A38" i="4"/>
  <c r="A40" i="4"/>
  <c r="A42" i="4"/>
  <c r="A44" i="4"/>
  <c r="A46" i="4"/>
  <c r="A48" i="4"/>
  <c r="A50" i="4"/>
  <c r="A52" i="4"/>
  <c r="A54" i="4"/>
  <c r="A56" i="4"/>
  <c r="A58" i="4"/>
  <c r="A60" i="4"/>
  <c r="A62" i="4"/>
  <c r="A64" i="4"/>
  <c r="A66" i="4"/>
  <c r="A68" i="4"/>
  <c r="A70" i="4"/>
  <c r="A72" i="4"/>
  <c r="A74" i="4"/>
  <c r="A76" i="4"/>
  <c r="A78" i="4"/>
  <c r="A80" i="4"/>
  <c r="A82" i="4"/>
  <c r="A84" i="4"/>
  <c r="A86" i="4"/>
  <c r="A88" i="4"/>
  <c r="A90" i="4"/>
  <c r="A92" i="4"/>
  <c r="A94" i="4"/>
  <c r="A96" i="4"/>
  <c r="A98" i="4"/>
  <c r="A100" i="4"/>
  <c r="A102" i="4"/>
  <c r="A104" i="4"/>
  <c r="A106" i="4"/>
  <c r="A108" i="4"/>
  <c r="A110" i="4"/>
  <c r="A112" i="4"/>
  <c r="A114" i="4"/>
  <c r="A116" i="4"/>
  <c r="A118" i="4"/>
  <c r="A120" i="4"/>
  <c r="A122" i="4"/>
  <c r="A124" i="4"/>
  <c r="A126" i="4"/>
  <c r="A128" i="4"/>
  <c r="A130" i="4"/>
  <c r="A132" i="4"/>
  <c r="A134" i="4"/>
  <c r="A136" i="4"/>
  <c r="A138" i="4"/>
  <c r="A140" i="4"/>
  <c r="A142" i="4"/>
  <c r="A144" i="4"/>
  <c r="A146" i="4"/>
  <c r="A148" i="4"/>
  <c r="A150" i="4"/>
  <c r="A152" i="4"/>
  <c r="A154" i="4"/>
  <c r="A156" i="4"/>
  <c r="A158" i="4"/>
  <c r="A160" i="4"/>
  <c r="A162" i="4"/>
  <c r="A164" i="4"/>
  <c r="A166" i="4"/>
  <c r="A168" i="4"/>
  <c r="A170" i="4"/>
  <c r="A172" i="4"/>
  <c r="A174" i="4"/>
  <c r="A176" i="4"/>
  <c r="A178" i="4"/>
  <c r="A180" i="4"/>
  <c r="A182" i="4"/>
  <c r="A184" i="4"/>
  <c r="A186" i="4"/>
  <c r="A188" i="4"/>
  <c r="A190" i="4"/>
  <c r="A192" i="4"/>
  <c r="A194" i="4"/>
  <c r="A196" i="4"/>
  <c r="A198" i="4"/>
  <c r="A200" i="4"/>
  <c r="A202" i="4"/>
  <c r="A204" i="4"/>
  <c r="A206" i="4"/>
  <c r="A208" i="4"/>
  <c r="A210" i="4"/>
  <c r="A212" i="4"/>
  <c r="A214" i="4"/>
  <c r="A216" i="4"/>
  <c r="A218" i="4"/>
  <c r="A220" i="4"/>
  <c r="A222" i="4"/>
  <c r="A224" i="4"/>
  <c r="A226" i="4"/>
  <c r="A3" i="4"/>
  <c r="A5" i="4"/>
  <c r="A7" i="4"/>
  <c r="A9" i="4"/>
  <c r="A11" i="4"/>
  <c r="A13" i="4"/>
  <c r="A15" i="4"/>
  <c r="A17" i="4"/>
  <c r="A19" i="4"/>
  <c r="A21" i="4"/>
  <c r="A23" i="4"/>
  <c r="A25" i="4"/>
  <c r="A27" i="4"/>
  <c r="A29" i="4"/>
  <c r="A31" i="4"/>
  <c r="A33" i="4"/>
  <c r="A35" i="4"/>
  <c r="A37" i="4"/>
  <c r="A39" i="4"/>
  <c r="A41" i="4"/>
  <c r="A43" i="4"/>
  <c r="A45" i="4"/>
  <c r="A47" i="4"/>
  <c r="A49" i="4"/>
  <c r="A51" i="4"/>
  <c r="A53" i="4"/>
  <c r="A55" i="4"/>
  <c r="A57" i="4"/>
  <c r="A59" i="4"/>
  <c r="A61" i="4"/>
  <c r="A63" i="4"/>
  <c r="A65" i="4"/>
  <c r="A67" i="4"/>
  <c r="A69" i="4"/>
  <c r="A71" i="4"/>
  <c r="A73" i="4"/>
  <c r="A75" i="4"/>
  <c r="A77" i="4"/>
  <c r="A79" i="4"/>
  <c r="A81" i="4"/>
  <c r="A83" i="4"/>
  <c r="A85" i="4"/>
  <c r="A87" i="4"/>
  <c r="A89" i="4"/>
  <c r="A91" i="4"/>
  <c r="A93" i="4"/>
  <c r="A95" i="4"/>
  <c r="A97" i="4"/>
  <c r="A99" i="4"/>
  <c r="A101" i="4"/>
  <c r="A103" i="4"/>
  <c r="A105" i="4"/>
  <c r="A107" i="4"/>
  <c r="A109" i="4"/>
  <c r="A111" i="4"/>
  <c r="A113" i="4"/>
  <c r="A115" i="4"/>
  <c r="A117" i="4"/>
  <c r="A119" i="4"/>
  <c r="A121" i="4"/>
  <c r="A123" i="4"/>
  <c r="A125" i="4"/>
  <c r="A127" i="4"/>
  <c r="A129" i="4"/>
  <c r="A131" i="4"/>
  <c r="A133" i="4"/>
  <c r="A135" i="4"/>
  <c r="A137" i="4"/>
  <c r="A139" i="4"/>
  <c r="A141" i="4"/>
  <c r="A143" i="4"/>
  <c r="A145" i="4"/>
  <c r="A147" i="4"/>
  <c r="A149" i="4"/>
  <c r="A151" i="4"/>
  <c r="A153" i="4"/>
  <c r="A155" i="4"/>
  <c r="A157" i="4"/>
  <c r="A159" i="4"/>
  <c r="A161" i="4"/>
  <c r="A163" i="4"/>
  <c r="A165" i="4"/>
  <c r="A167" i="4"/>
  <c r="A169" i="4"/>
  <c r="A171" i="4"/>
  <c r="A173" i="4"/>
  <c r="A175" i="4"/>
  <c r="A177" i="4"/>
  <c r="A179" i="4"/>
  <c r="A181" i="4"/>
  <c r="A183" i="4"/>
  <c r="A185" i="4"/>
  <c r="A187" i="4"/>
  <c r="A189" i="4"/>
  <c r="A191" i="4"/>
  <c r="A193" i="4"/>
  <c r="A195" i="4"/>
  <c r="A197" i="4"/>
  <c r="A199" i="4"/>
  <c r="A201" i="4"/>
  <c r="A203" i="4"/>
  <c r="A205" i="4"/>
  <c r="A207" i="4"/>
  <c r="A209" i="4"/>
  <c r="A211" i="4"/>
  <c r="A213" i="4"/>
  <c r="A215" i="4"/>
  <c r="A217" i="4"/>
  <c r="A219" i="4"/>
  <c r="A221" i="4"/>
  <c r="A223" i="4"/>
  <c r="A225" i="4"/>
  <c r="A227" i="4"/>
  <c r="A229" i="4"/>
  <c r="A231" i="4"/>
  <c r="A233" i="4"/>
  <c r="A235" i="4"/>
  <c r="A237" i="4"/>
  <c r="A239" i="4"/>
  <c r="A241" i="4"/>
  <c r="A243" i="4"/>
  <c r="A245" i="4"/>
  <c r="A247" i="4"/>
  <c r="A249" i="4"/>
  <c r="A251" i="4"/>
  <c r="A253" i="4"/>
  <c r="A255" i="4"/>
  <c r="A230" i="4"/>
  <c r="A234" i="4"/>
  <c r="A238" i="4"/>
  <c r="A242" i="4"/>
  <c r="A246" i="4"/>
  <c r="A250" i="4"/>
  <c r="A254" i="4"/>
  <c r="A228" i="4"/>
  <c r="A232" i="4"/>
  <c r="A236" i="4"/>
  <c r="A240" i="4"/>
  <c r="A244" i="4"/>
  <c r="A248" i="4"/>
  <c r="A252" i="4"/>
  <c r="A256" i="4"/>
  <c r="A1" i="4"/>
  <c r="D3" i="5"/>
  <c r="C3" i="5" l="1"/>
  <c r="C2" i="5"/>
  <c r="AF2" i="2"/>
  <c r="AF3" i="2"/>
  <c r="AF4" i="2"/>
  <c r="AF5" i="2"/>
  <c r="AF6" i="2"/>
  <c r="AF7" i="2"/>
  <c r="AF8" i="2"/>
  <c r="AF9" i="2"/>
  <c r="AF10" i="2"/>
  <c r="AF11" i="2"/>
  <c r="AF12" i="2"/>
  <c r="AF13" i="2"/>
  <c r="AF14" i="2"/>
  <c r="AF15" i="2"/>
  <c r="AF16" i="2"/>
  <c r="AF17" i="2"/>
  <c r="AF18" i="2"/>
  <c r="AF19" i="2"/>
  <c r="AF20" i="2"/>
  <c r="AF21" i="2"/>
  <c r="AF22" i="2"/>
  <c r="AF23" i="2"/>
  <c r="AF24" i="2"/>
  <c r="AF25" i="2"/>
  <c r="AF26" i="2"/>
  <c r="AF27" i="2"/>
  <c r="AF28" i="2"/>
  <c r="AF29" i="2"/>
  <c r="AF30" i="2"/>
  <c r="AF31" i="2"/>
  <c r="AF32" i="2"/>
  <c r="AF33" i="2"/>
  <c r="AF34" i="2"/>
  <c r="AF35" i="2"/>
  <c r="AF36" i="2"/>
  <c r="AF37" i="2"/>
  <c r="AF38" i="2"/>
  <c r="AF39" i="2"/>
  <c r="AF40" i="2"/>
  <c r="AF41" i="2"/>
  <c r="AF42" i="2"/>
  <c r="AF43" i="2"/>
  <c r="AF44" i="2"/>
  <c r="AF45" i="2"/>
  <c r="AF46" i="2"/>
  <c r="AF47" i="2"/>
  <c r="AF48" i="2"/>
  <c r="AF49" i="2"/>
  <c r="AF50" i="2"/>
  <c r="AF51" i="2"/>
  <c r="AF52" i="2"/>
  <c r="AF53" i="2"/>
  <c r="AF54" i="2"/>
  <c r="AF55" i="2"/>
  <c r="AF56" i="2"/>
  <c r="AF57" i="2"/>
  <c r="AF58" i="2"/>
  <c r="AF59" i="2"/>
  <c r="AF60" i="2"/>
  <c r="AF61" i="2"/>
  <c r="AF62" i="2"/>
  <c r="AF63" i="2"/>
  <c r="AF64" i="2"/>
  <c r="AF65" i="2"/>
  <c r="AF66" i="2"/>
  <c r="AF67" i="2"/>
  <c r="AF68" i="2"/>
  <c r="AF69" i="2"/>
  <c r="AF70" i="2"/>
  <c r="AF71" i="2"/>
  <c r="AF72" i="2"/>
  <c r="AF73" i="2"/>
  <c r="AF74" i="2"/>
  <c r="AF75" i="2"/>
  <c r="AF76" i="2"/>
  <c r="AF77" i="2"/>
  <c r="AF78" i="2"/>
  <c r="AF79" i="2"/>
  <c r="AF80" i="2"/>
  <c r="AF81" i="2"/>
  <c r="AF82" i="2"/>
  <c r="AF83" i="2"/>
  <c r="AF84" i="2"/>
  <c r="AF85" i="2"/>
  <c r="AF86" i="2"/>
  <c r="AF87" i="2"/>
  <c r="AF88" i="2"/>
  <c r="AF89" i="2"/>
  <c r="AF90" i="2"/>
  <c r="AF91" i="2"/>
  <c r="AF92" i="2"/>
  <c r="AF93" i="2"/>
  <c r="AF94" i="2"/>
  <c r="AF95" i="2"/>
  <c r="AF96" i="2"/>
  <c r="AF97" i="2"/>
  <c r="AF98" i="2"/>
  <c r="AF99" i="2"/>
  <c r="AF100" i="2"/>
  <c r="AF101" i="2"/>
  <c r="AF102" i="2"/>
  <c r="AF103" i="2"/>
  <c r="AF104" i="2"/>
  <c r="AF105" i="2"/>
  <c r="AF106" i="2"/>
  <c r="AF107" i="2"/>
  <c r="AF108" i="2"/>
  <c r="AF109" i="2"/>
  <c r="AF110" i="2"/>
  <c r="AF111" i="2"/>
  <c r="AF112" i="2"/>
  <c r="AF113" i="2"/>
  <c r="AF114" i="2"/>
  <c r="AF115" i="2"/>
  <c r="AF116" i="2"/>
  <c r="AF117" i="2"/>
  <c r="AF118" i="2"/>
  <c r="AF119" i="2"/>
  <c r="AF120" i="2"/>
  <c r="AF121" i="2"/>
  <c r="AF122" i="2"/>
  <c r="AF123" i="2"/>
  <c r="AF124" i="2"/>
  <c r="AF125" i="2"/>
  <c r="AF126" i="2"/>
  <c r="AF127" i="2"/>
  <c r="AF128" i="2"/>
  <c r="AF129" i="2"/>
  <c r="AH3" i="2" l="1"/>
  <c r="AH4" i="2"/>
  <c r="AH5" i="2"/>
  <c r="AH6" i="2"/>
  <c r="AH7" i="2"/>
  <c r="AH8" i="2"/>
  <c r="AH9" i="2"/>
  <c r="AH10" i="2"/>
  <c r="AH11" i="2"/>
  <c r="AH12" i="2"/>
  <c r="AH13" i="2"/>
  <c r="AH14" i="2"/>
  <c r="AH15" i="2"/>
  <c r="AH16" i="2"/>
  <c r="AH17" i="2"/>
  <c r="AH18" i="2"/>
  <c r="AH19" i="2"/>
  <c r="AH20" i="2"/>
  <c r="AH21" i="2"/>
  <c r="AH22" i="2"/>
  <c r="AH23" i="2"/>
  <c r="AH24" i="2"/>
  <c r="AH25" i="2"/>
  <c r="AH26" i="2"/>
  <c r="AH27" i="2"/>
  <c r="AH28" i="2"/>
  <c r="AH29" i="2"/>
  <c r="AH30" i="2"/>
  <c r="AH31" i="2"/>
  <c r="AH32" i="2"/>
  <c r="AH33" i="2"/>
  <c r="AH34" i="2"/>
  <c r="AH35" i="2"/>
  <c r="AH36" i="2"/>
  <c r="AH37" i="2"/>
  <c r="AH38" i="2"/>
  <c r="AH39" i="2"/>
  <c r="AH40" i="2"/>
  <c r="AH41" i="2"/>
  <c r="AH42" i="2"/>
  <c r="AH43" i="2"/>
  <c r="AH44" i="2"/>
  <c r="AH45" i="2"/>
  <c r="AH46" i="2"/>
  <c r="AH47" i="2"/>
  <c r="AH48" i="2"/>
  <c r="AH49" i="2"/>
  <c r="AH50" i="2"/>
  <c r="AH51" i="2"/>
  <c r="AH52" i="2"/>
  <c r="AH53" i="2"/>
  <c r="AH54" i="2"/>
  <c r="AH55" i="2"/>
  <c r="AH56" i="2"/>
  <c r="AH57" i="2"/>
  <c r="AH58" i="2"/>
  <c r="AH59" i="2"/>
  <c r="AH60" i="2"/>
  <c r="AH61" i="2"/>
  <c r="AH62" i="2"/>
  <c r="AH63" i="2"/>
  <c r="AH64" i="2"/>
  <c r="AH65" i="2"/>
  <c r="AH66" i="2"/>
  <c r="AH67" i="2"/>
  <c r="AH68" i="2"/>
  <c r="AH69" i="2"/>
  <c r="AH70" i="2"/>
  <c r="AH71" i="2"/>
  <c r="AH72" i="2"/>
  <c r="AH73" i="2"/>
  <c r="AH74" i="2"/>
  <c r="AH75" i="2"/>
  <c r="AH76" i="2"/>
  <c r="AH77" i="2"/>
  <c r="AH78" i="2"/>
  <c r="AH79" i="2"/>
  <c r="AH80" i="2"/>
  <c r="AH81" i="2"/>
  <c r="AH82" i="2"/>
  <c r="AH83" i="2"/>
  <c r="AH84" i="2"/>
  <c r="AH85" i="2"/>
  <c r="AH86" i="2"/>
  <c r="AH87" i="2"/>
  <c r="AH88" i="2"/>
  <c r="AH89" i="2"/>
  <c r="AH90" i="2"/>
  <c r="AH91" i="2"/>
  <c r="AH92" i="2"/>
  <c r="AH93" i="2"/>
  <c r="AH94" i="2"/>
  <c r="AH95" i="2"/>
  <c r="AH96" i="2"/>
  <c r="AH97" i="2"/>
  <c r="AH98" i="2"/>
  <c r="AH99" i="2"/>
  <c r="AH100" i="2"/>
  <c r="AH101" i="2"/>
  <c r="AH102" i="2"/>
  <c r="AH103" i="2"/>
  <c r="AH104" i="2"/>
  <c r="AH105" i="2"/>
  <c r="AH106" i="2"/>
  <c r="AH107" i="2"/>
  <c r="AH108" i="2"/>
  <c r="AH109" i="2"/>
  <c r="AH110" i="2"/>
  <c r="AH111" i="2"/>
  <c r="AH112" i="2"/>
  <c r="AH113" i="2"/>
  <c r="AH114" i="2"/>
  <c r="AH115" i="2"/>
  <c r="AH116" i="2"/>
  <c r="AH117" i="2"/>
  <c r="AH118" i="2"/>
  <c r="AH119" i="2"/>
  <c r="AH120" i="2"/>
  <c r="AH121" i="2"/>
  <c r="AH122" i="2"/>
  <c r="AH123" i="2"/>
  <c r="AH124" i="2"/>
  <c r="AH125" i="2"/>
  <c r="AH126" i="2"/>
  <c r="AH127" i="2"/>
  <c r="AH128" i="2"/>
  <c r="AH129" i="2"/>
  <c r="AH2" i="2"/>
  <c r="AG2" i="2"/>
  <c r="AG3" i="2"/>
  <c r="AG4" i="2"/>
  <c r="AG5" i="2"/>
  <c r="AG6" i="2"/>
  <c r="AG7" i="2"/>
  <c r="AG8" i="2"/>
  <c r="AG9" i="2"/>
  <c r="AG10" i="2"/>
  <c r="AG11" i="2"/>
  <c r="AG12" i="2"/>
  <c r="AG13" i="2"/>
  <c r="AG14" i="2"/>
  <c r="AG15" i="2"/>
  <c r="AG16" i="2"/>
  <c r="AG17" i="2"/>
  <c r="AG18" i="2"/>
  <c r="AG19" i="2"/>
  <c r="AG20" i="2"/>
  <c r="AG21" i="2"/>
  <c r="AG22" i="2"/>
  <c r="AG23" i="2"/>
  <c r="AG24" i="2"/>
  <c r="AG25" i="2"/>
  <c r="AG26" i="2"/>
  <c r="AG27" i="2"/>
  <c r="AG28" i="2"/>
  <c r="AG29" i="2"/>
  <c r="AG30" i="2"/>
  <c r="AG31" i="2"/>
  <c r="AG32" i="2"/>
  <c r="AG33" i="2"/>
  <c r="AG34" i="2"/>
  <c r="AG35" i="2"/>
  <c r="AG36" i="2"/>
  <c r="AG37" i="2"/>
  <c r="AG38" i="2"/>
  <c r="AG39" i="2"/>
  <c r="AG40" i="2"/>
  <c r="AG41" i="2"/>
  <c r="AG42" i="2"/>
  <c r="AG43" i="2"/>
  <c r="AG44" i="2"/>
  <c r="AG45" i="2"/>
  <c r="AG46" i="2"/>
  <c r="AG47" i="2"/>
  <c r="AG48" i="2"/>
  <c r="AG49" i="2"/>
  <c r="AG50" i="2"/>
  <c r="AG51" i="2"/>
  <c r="AG52" i="2"/>
  <c r="AG53" i="2"/>
  <c r="AG54" i="2"/>
  <c r="AG55" i="2"/>
  <c r="AG56" i="2"/>
  <c r="AG57" i="2"/>
  <c r="AG58" i="2"/>
  <c r="AG59" i="2"/>
  <c r="AG60" i="2"/>
  <c r="AG61" i="2"/>
  <c r="AG62" i="2"/>
  <c r="AG63" i="2"/>
  <c r="AG64" i="2"/>
  <c r="AG65" i="2"/>
  <c r="AG66" i="2"/>
  <c r="AG67" i="2"/>
  <c r="AG68" i="2"/>
  <c r="AG69" i="2"/>
  <c r="AG70" i="2"/>
  <c r="AG71" i="2"/>
  <c r="AG72" i="2"/>
  <c r="AG73" i="2"/>
  <c r="AG74" i="2"/>
  <c r="AG75" i="2"/>
  <c r="AG76" i="2"/>
  <c r="AG77" i="2"/>
  <c r="AG78" i="2"/>
  <c r="AG79" i="2"/>
  <c r="AG80" i="2"/>
  <c r="AG81" i="2"/>
  <c r="AG82" i="2"/>
  <c r="AG83" i="2"/>
  <c r="AG84" i="2"/>
  <c r="AG85" i="2"/>
  <c r="AG86" i="2"/>
  <c r="AG87" i="2"/>
  <c r="AG88" i="2"/>
  <c r="AG89" i="2"/>
  <c r="AG90" i="2"/>
  <c r="AG91" i="2"/>
  <c r="AG92" i="2"/>
  <c r="AG93" i="2"/>
  <c r="AG94" i="2"/>
  <c r="AG95" i="2"/>
  <c r="AG96" i="2"/>
  <c r="AG97" i="2"/>
  <c r="AG98" i="2"/>
  <c r="AG99" i="2"/>
  <c r="AG100" i="2"/>
  <c r="AG101" i="2"/>
  <c r="AG102" i="2"/>
  <c r="AG103" i="2"/>
  <c r="AG104" i="2"/>
  <c r="AG105" i="2"/>
  <c r="AG106" i="2"/>
  <c r="AG107" i="2"/>
  <c r="AG108" i="2"/>
  <c r="AG109" i="2"/>
  <c r="AG110" i="2"/>
  <c r="AG111" i="2"/>
  <c r="AG112" i="2"/>
  <c r="AG113" i="2"/>
  <c r="AG114" i="2"/>
  <c r="AG115" i="2"/>
  <c r="AG116" i="2"/>
  <c r="AG117" i="2"/>
  <c r="AG118" i="2"/>
  <c r="AG119" i="2"/>
  <c r="AG120" i="2"/>
  <c r="AG121" i="2"/>
  <c r="AG122" i="2"/>
  <c r="AG123" i="2"/>
  <c r="AG124" i="2"/>
  <c r="AG125" i="2"/>
  <c r="AG126" i="2"/>
  <c r="AG127" i="2"/>
  <c r="AG128" i="2"/>
  <c r="AG129" i="2"/>
  <c r="AE2" i="2"/>
  <c r="AE3" i="2"/>
  <c r="AE4" i="2"/>
  <c r="AE5" i="2"/>
  <c r="AE6" i="2"/>
  <c r="AE7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4" i="2"/>
  <c r="AE45" i="2"/>
  <c r="AE46" i="2"/>
  <c r="AE47" i="2"/>
  <c r="AE48" i="2"/>
  <c r="AE49" i="2"/>
  <c r="AE50" i="2"/>
  <c r="AE51" i="2"/>
  <c r="AE52" i="2"/>
  <c r="AE53" i="2"/>
  <c r="AE54" i="2"/>
  <c r="AE55" i="2"/>
  <c r="AE56" i="2"/>
  <c r="AE57" i="2"/>
  <c r="AE58" i="2"/>
  <c r="AE59" i="2"/>
  <c r="AE60" i="2"/>
  <c r="AE61" i="2"/>
  <c r="AE62" i="2"/>
  <c r="AE63" i="2"/>
  <c r="AE64" i="2"/>
  <c r="AE65" i="2"/>
  <c r="AE66" i="2"/>
  <c r="AE67" i="2"/>
  <c r="AE68" i="2"/>
  <c r="AE69" i="2"/>
  <c r="AE70" i="2"/>
  <c r="AE71" i="2"/>
  <c r="AE72" i="2"/>
  <c r="AE73" i="2"/>
  <c r="AE74" i="2"/>
  <c r="AE75" i="2"/>
  <c r="AE76" i="2"/>
  <c r="AE77" i="2"/>
  <c r="AE78" i="2"/>
  <c r="AE79" i="2"/>
  <c r="AE80" i="2"/>
  <c r="AE81" i="2"/>
  <c r="AE82" i="2"/>
  <c r="AE83" i="2"/>
  <c r="AE84" i="2"/>
  <c r="AE85" i="2"/>
  <c r="AE86" i="2"/>
  <c r="AE87" i="2"/>
  <c r="AE88" i="2"/>
  <c r="AE89" i="2"/>
  <c r="AE90" i="2"/>
  <c r="AE91" i="2"/>
  <c r="AE92" i="2"/>
  <c r="AE93" i="2"/>
  <c r="AE94" i="2"/>
  <c r="AE95" i="2"/>
  <c r="AE96" i="2"/>
  <c r="AE97" i="2"/>
  <c r="AE98" i="2"/>
  <c r="AE99" i="2"/>
  <c r="AE100" i="2"/>
  <c r="AE101" i="2"/>
  <c r="AE102" i="2"/>
  <c r="AE103" i="2"/>
  <c r="AE104" i="2"/>
  <c r="AE105" i="2"/>
  <c r="AE106" i="2"/>
  <c r="AE107" i="2"/>
  <c r="AE108" i="2"/>
  <c r="AE109" i="2"/>
  <c r="AE110" i="2"/>
  <c r="AE111" i="2"/>
  <c r="AE112" i="2"/>
  <c r="AE113" i="2"/>
  <c r="AE114" i="2"/>
  <c r="AE115" i="2"/>
  <c r="AE116" i="2"/>
  <c r="AE117" i="2"/>
  <c r="AE118" i="2"/>
  <c r="AE119" i="2"/>
  <c r="AE120" i="2"/>
  <c r="AE121" i="2"/>
  <c r="AE122" i="2"/>
  <c r="AE123" i="2"/>
  <c r="AE124" i="2"/>
  <c r="AE125" i="2"/>
  <c r="AE126" i="2"/>
  <c r="AE127" i="2"/>
  <c r="AE128" i="2"/>
  <c r="AE129" i="2"/>
  <c r="L2" i="2"/>
  <c r="AK2" i="2" s="1"/>
  <c r="L3" i="2"/>
  <c r="AK3" i="2" s="1"/>
  <c r="L4" i="2"/>
  <c r="AK4" i="2" s="1"/>
  <c r="L5" i="2"/>
  <c r="AK5" i="2" s="1"/>
  <c r="L6" i="2"/>
  <c r="AK6" i="2" s="1"/>
  <c r="L7" i="2"/>
  <c r="AK7" i="2" s="1"/>
  <c r="L8" i="2"/>
  <c r="AK8" i="2" s="1"/>
  <c r="L9" i="2"/>
  <c r="AK9" i="2" s="1"/>
  <c r="L10" i="2"/>
  <c r="AK10" i="2" s="1"/>
  <c r="L11" i="2"/>
  <c r="AK11" i="2" s="1"/>
  <c r="L12" i="2"/>
  <c r="AK12" i="2" s="1"/>
  <c r="L13" i="2"/>
  <c r="AK13" i="2" s="1"/>
  <c r="L14" i="2"/>
  <c r="AK14" i="2" s="1"/>
  <c r="L15" i="2"/>
  <c r="AK15" i="2" s="1"/>
  <c r="L16" i="2"/>
  <c r="AK16" i="2" s="1"/>
  <c r="L17" i="2"/>
  <c r="AK17" i="2" s="1"/>
  <c r="L18" i="2"/>
  <c r="AK18" i="2" s="1"/>
  <c r="L19" i="2"/>
  <c r="AK19" i="2" s="1"/>
  <c r="L20" i="2"/>
  <c r="AK20" i="2" s="1"/>
  <c r="L21" i="2"/>
  <c r="AK21" i="2" s="1"/>
  <c r="L22" i="2"/>
  <c r="AK22" i="2" s="1"/>
  <c r="L23" i="2"/>
  <c r="AK23" i="2" s="1"/>
  <c r="L24" i="2"/>
  <c r="AK24" i="2" s="1"/>
  <c r="L25" i="2"/>
  <c r="AK25" i="2" s="1"/>
  <c r="L26" i="2"/>
  <c r="AK26" i="2" s="1"/>
  <c r="L27" i="2"/>
  <c r="AK27" i="2" s="1"/>
  <c r="L28" i="2"/>
  <c r="AK28" i="2" s="1"/>
  <c r="L29" i="2"/>
  <c r="AK29" i="2" s="1"/>
  <c r="L30" i="2"/>
  <c r="AK30" i="2" s="1"/>
  <c r="L31" i="2"/>
  <c r="AK31" i="2" s="1"/>
  <c r="L32" i="2"/>
  <c r="AK32" i="2" s="1"/>
  <c r="L33" i="2"/>
  <c r="AK33" i="2" s="1"/>
  <c r="L34" i="2"/>
  <c r="AK34" i="2" s="1"/>
  <c r="L35" i="2"/>
  <c r="AK35" i="2" s="1"/>
  <c r="L36" i="2"/>
  <c r="AK36" i="2" s="1"/>
  <c r="L37" i="2"/>
  <c r="AK37" i="2" s="1"/>
  <c r="L38" i="2"/>
  <c r="AK38" i="2" s="1"/>
  <c r="L39" i="2"/>
  <c r="AK39" i="2" s="1"/>
  <c r="L40" i="2"/>
  <c r="AK40" i="2" s="1"/>
  <c r="L41" i="2"/>
  <c r="AK41" i="2" s="1"/>
  <c r="L42" i="2"/>
  <c r="AK42" i="2" s="1"/>
  <c r="L43" i="2"/>
  <c r="AK43" i="2" s="1"/>
  <c r="L44" i="2"/>
  <c r="AK44" i="2" s="1"/>
  <c r="L45" i="2"/>
  <c r="AK45" i="2" s="1"/>
  <c r="L46" i="2"/>
  <c r="AK46" i="2" s="1"/>
  <c r="L47" i="2"/>
  <c r="AK47" i="2" s="1"/>
  <c r="L48" i="2"/>
  <c r="AK48" i="2" s="1"/>
  <c r="L49" i="2"/>
  <c r="AK49" i="2" s="1"/>
  <c r="L50" i="2"/>
  <c r="AK50" i="2" s="1"/>
  <c r="L51" i="2"/>
  <c r="AK51" i="2" s="1"/>
  <c r="L52" i="2"/>
  <c r="AK52" i="2" s="1"/>
  <c r="L53" i="2"/>
  <c r="AK53" i="2" s="1"/>
  <c r="L54" i="2"/>
  <c r="AK54" i="2" s="1"/>
  <c r="L55" i="2"/>
  <c r="AK55" i="2" s="1"/>
  <c r="L56" i="2"/>
  <c r="AK56" i="2" s="1"/>
  <c r="L57" i="2"/>
  <c r="AK57" i="2" s="1"/>
  <c r="L58" i="2"/>
  <c r="AK58" i="2" s="1"/>
  <c r="L59" i="2"/>
  <c r="AK59" i="2" s="1"/>
  <c r="L60" i="2"/>
  <c r="AK60" i="2" s="1"/>
  <c r="L61" i="2"/>
  <c r="AK61" i="2" s="1"/>
  <c r="L62" i="2"/>
  <c r="AK62" i="2" s="1"/>
  <c r="L63" i="2"/>
  <c r="AK63" i="2" s="1"/>
  <c r="L64" i="2"/>
  <c r="AK64" i="2" s="1"/>
  <c r="L65" i="2"/>
  <c r="AK65" i="2" s="1"/>
  <c r="L66" i="2"/>
  <c r="AK66" i="2" s="1"/>
  <c r="L67" i="2"/>
  <c r="AK67" i="2" s="1"/>
  <c r="L68" i="2"/>
  <c r="AK68" i="2" s="1"/>
  <c r="L69" i="2"/>
  <c r="AK69" i="2" s="1"/>
  <c r="L70" i="2"/>
  <c r="AK70" i="2" s="1"/>
  <c r="L71" i="2"/>
  <c r="AK71" i="2" s="1"/>
  <c r="L72" i="2"/>
  <c r="AK72" i="2" s="1"/>
  <c r="L73" i="2"/>
  <c r="AK73" i="2" s="1"/>
  <c r="L74" i="2"/>
  <c r="AK74" i="2" s="1"/>
  <c r="L75" i="2"/>
  <c r="AK75" i="2" s="1"/>
  <c r="L76" i="2"/>
  <c r="AK76" i="2" s="1"/>
  <c r="L77" i="2"/>
  <c r="AK77" i="2" s="1"/>
  <c r="L78" i="2"/>
  <c r="AK78" i="2" s="1"/>
  <c r="L79" i="2"/>
  <c r="AK79" i="2" s="1"/>
  <c r="L80" i="2"/>
  <c r="AK80" i="2" s="1"/>
  <c r="L81" i="2"/>
  <c r="AK81" i="2" s="1"/>
  <c r="L82" i="2"/>
  <c r="AK82" i="2" s="1"/>
  <c r="L83" i="2"/>
  <c r="AK83" i="2" s="1"/>
  <c r="L84" i="2"/>
  <c r="AK84" i="2" s="1"/>
  <c r="L85" i="2"/>
  <c r="AK85" i="2" s="1"/>
  <c r="L86" i="2"/>
  <c r="AK86" i="2" s="1"/>
  <c r="L87" i="2"/>
  <c r="AK87" i="2" s="1"/>
  <c r="L88" i="2"/>
  <c r="AK88" i="2" s="1"/>
  <c r="L89" i="2"/>
  <c r="AK89" i="2" s="1"/>
  <c r="L90" i="2"/>
  <c r="AK90" i="2" s="1"/>
  <c r="L91" i="2"/>
  <c r="AK91" i="2" s="1"/>
  <c r="L92" i="2"/>
  <c r="AK92" i="2" s="1"/>
  <c r="L93" i="2"/>
  <c r="AK93" i="2" s="1"/>
  <c r="L94" i="2"/>
  <c r="AK94" i="2" s="1"/>
  <c r="L95" i="2"/>
  <c r="AK95" i="2" s="1"/>
  <c r="L96" i="2"/>
  <c r="AK96" i="2" s="1"/>
  <c r="L97" i="2"/>
  <c r="AK97" i="2" s="1"/>
  <c r="L98" i="2"/>
  <c r="AK98" i="2" s="1"/>
  <c r="L99" i="2"/>
  <c r="AK99" i="2" s="1"/>
  <c r="L100" i="2"/>
  <c r="AK100" i="2" s="1"/>
  <c r="L101" i="2"/>
  <c r="AK101" i="2" s="1"/>
  <c r="L102" i="2"/>
  <c r="AK102" i="2" s="1"/>
  <c r="L103" i="2"/>
  <c r="AK103" i="2" s="1"/>
  <c r="L104" i="2"/>
  <c r="AK104" i="2" s="1"/>
  <c r="L105" i="2"/>
  <c r="AK105" i="2" s="1"/>
  <c r="L106" i="2"/>
  <c r="AK106" i="2" s="1"/>
  <c r="L107" i="2"/>
  <c r="AK107" i="2" s="1"/>
  <c r="L108" i="2"/>
  <c r="AK108" i="2" s="1"/>
  <c r="L109" i="2"/>
  <c r="AK109" i="2" s="1"/>
  <c r="L110" i="2"/>
  <c r="AK110" i="2" s="1"/>
  <c r="L111" i="2"/>
  <c r="AK111" i="2" s="1"/>
  <c r="L112" i="2"/>
  <c r="AK112" i="2" s="1"/>
  <c r="L113" i="2"/>
  <c r="AK113" i="2" s="1"/>
  <c r="L114" i="2"/>
  <c r="AK114" i="2" s="1"/>
  <c r="L115" i="2"/>
  <c r="AK115" i="2" s="1"/>
  <c r="L116" i="2"/>
  <c r="AK116" i="2" s="1"/>
  <c r="L117" i="2"/>
  <c r="AK117" i="2" s="1"/>
  <c r="L118" i="2"/>
  <c r="AK118" i="2" s="1"/>
  <c r="L119" i="2"/>
  <c r="AK119" i="2" s="1"/>
  <c r="L120" i="2"/>
  <c r="AK120" i="2" s="1"/>
  <c r="L121" i="2"/>
  <c r="AK121" i="2" s="1"/>
  <c r="L122" i="2"/>
  <c r="AK122" i="2" s="1"/>
  <c r="L123" i="2"/>
  <c r="AK123" i="2" s="1"/>
  <c r="L124" i="2"/>
  <c r="AK124" i="2" s="1"/>
  <c r="L125" i="2"/>
  <c r="AK125" i="2" s="1"/>
  <c r="L126" i="2"/>
  <c r="AK126" i="2" s="1"/>
  <c r="L127" i="2"/>
  <c r="AK127" i="2" s="1"/>
  <c r="L128" i="2"/>
  <c r="AK128" i="2" s="1"/>
  <c r="L129" i="2"/>
  <c r="AK129" i="2" s="1"/>
  <c r="I3" i="2"/>
  <c r="I4" i="2"/>
  <c r="I6" i="2"/>
  <c r="I7" i="2"/>
  <c r="I8" i="2"/>
  <c r="I10" i="2"/>
  <c r="N11" i="2"/>
  <c r="N12" i="2"/>
  <c r="I14" i="2"/>
  <c r="I15" i="2"/>
  <c r="I16" i="2"/>
  <c r="I18" i="2"/>
  <c r="I19" i="2"/>
  <c r="I20" i="2"/>
  <c r="I22" i="2"/>
  <c r="I23" i="2"/>
  <c r="I24" i="2"/>
  <c r="I26" i="2"/>
  <c r="N27" i="2"/>
  <c r="N28" i="2"/>
  <c r="N30" i="2"/>
  <c r="N31" i="2"/>
  <c r="N32" i="2"/>
  <c r="N34" i="2"/>
  <c r="N35" i="2"/>
  <c r="N36" i="2"/>
  <c r="N38" i="2"/>
  <c r="N39" i="2"/>
  <c r="N40" i="2"/>
  <c r="N42" i="2"/>
  <c r="N43" i="2"/>
  <c r="N44" i="2"/>
  <c r="N46" i="2"/>
  <c r="N47" i="2"/>
  <c r="N48" i="2"/>
  <c r="N50" i="2"/>
  <c r="N51" i="2"/>
  <c r="N52" i="2"/>
  <c r="N54" i="2"/>
  <c r="N55" i="2"/>
  <c r="N56" i="2"/>
  <c r="N58" i="2"/>
  <c r="N59" i="2"/>
  <c r="N60" i="2"/>
  <c r="N62" i="2"/>
  <c r="N63" i="2"/>
  <c r="N64" i="2"/>
  <c r="N66" i="2"/>
  <c r="N67" i="2"/>
  <c r="N68" i="2"/>
  <c r="N70" i="2"/>
  <c r="N71" i="2"/>
  <c r="N72" i="2"/>
  <c r="N74" i="2"/>
  <c r="N75" i="2"/>
  <c r="N78" i="2"/>
  <c r="N79" i="2"/>
  <c r="N82" i="2"/>
  <c r="N83" i="2"/>
  <c r="N86" i="2"/>
  <c r="N87" i="2"/>
  <c r="N90" i="2"/>
  <c r="N91" i="2"/>
  <c r="N94" i="2"/>
  <c r="N95" i="2"/>
  <c r="N98" i="2"/>
  <c r="N99" i="2"/>
  <c r="N102" i="2"/>
  <c r="N103" i="2"/>
  <c r="N106" i="2"/>
  <c r="N107" i="2"/>
  <c r="N110" i="2"/>
  <c r="N111" i="2"/>
  <c r="N114" i="2"/>
  <c r="N115" i="2"/>
  <c r="N118" i="2"/>
  <c r="N119" i="2"/>
  <c r="N122" i="2"/>
  <c r="N123" i="2"/>
  <c r="N126" i="2"/>
  <c r="N127" i="2"/>
  <c r="I2" i="2"/>
  <c r="D67" i="2"/>
  <c r="D99" i="2" s="1"/>
  <c r="D68" i="2"/>
  <c r="D100" i="2" s="1"/>
  <c r="D69" i="2"/>
  <c r="D101" i="2" s="1"/>
  <c r="D70" i="2"/>
  <c r="D102" i="2" s="1"/>
  <c r="D71" i="2"/>
  <c r="D103" i="2" s="1"/>
  <c r="D72" i="2"/>
  <c r="D104" i="2" s="1"/>
  <c r="D73" i="2"/>
  <c r="D105" i="2" s="1"/>
  <c r="D74" i="2"/>
  <c r="D106" i="2" s="1"/>
  <c r="D75" i="2"/>
  <c r="D107" i="2" s="1"/>
  <c r="D76" i="2"/>
  <c r="D108" i="2" s="1"/>
  <c r="D77" i="2"/>
  <c r="D109" i="2" s="1"/>
  <c r="D78" i="2"/>
  <c r="D110" i="2" s="1"/>
  <c r="D79" i="2"/>
  <c r="D111" i="2" s="1"/>
  <c r="D80" i="2"/>
  <c r="D112" i="2" s="1"/>
  <c r="D81" i="2"/>
  <c r="D113" i="2" s="1"/>
  <c r="D82" i="2"/>
  <c r="D114" i="2" s="1"/>
  <c r="D83" i="2"/>
  <c r="D115" i="2" s="1"/>
  <c r="D84" i="2"/>
  <c r="D116" i="2" s="1"/>
  <c r="D85" i="2"/>
  <c r="D117" i="2" s="1"/>
  <c r="D86" i="2"/>
  <c r="D118" i="2" s="1"/>
  <c r="D87" i="2"/>
  <c r="D119" i="2" s="1"/>
  <c r="D88" i="2"/>
  <c r="D120" i="2" s="1"/>
  <c r="D89" i="2"/>
  <c r="D121" i="2" s="1"/>
  <c r="D90" i="2"/>
  <c r="D122" i="2" s="1"/>
  <c r="D91" i="2"/>
  <c r="D123" i="2" s="1"/>
  <c r="D92" i="2"/>
  <c r="D124" i="2" s="1"/>
  <c r="D93" i="2"/>
  <c r="D125" i="2" s="1"/>
  <c r="D94" i="2"/>
  <c r="D126" i="2" s="1"/>
  <c r="D95" i="2"/>
  <c r="D127" i="2" s="1"/>
  <c r="D96" i="2"/>
  <c r="D128" i="2" s="1"/>
  <c r="D97" i="2"/>
  <c r="D129" i="2" s="1"/>
  <c r="D66" i="2"/>
  <c r="D98" i="2" s="1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34" i="2"/>
  <c r="J3" i="2"/>
  <c r="J6" i="2"/>
  <c r="J8" i="2"/>
  <c r="J14" i="2"/>
  <c r="J16" i="2"/>
  <c r="J19" i="2"/>
  <c r="J22" i="2"/>
  <c r="J24" i="2"/>
  <c r="J4" i="2"/>
  <c r="J7" i="2"/>
  <c r="J10" i="2"/>
  <c r="J15" i="2"/>
  <c r="J18" i="2"/>
  <c r="J20" i="2"/>
  <c r="J23" i="2"/>
  <c r="J26" i="2"/>
  <c r="J2" i="2"/>
  <c r="K3" i="2"/>
  <c r="K15" i="2"/>
  <c r="K23" i="2"/>
  <c r="K4" i="2"/>
  <c r="K24" i="2"/>
  <c r="K10" i="2"/>
  <c r="K18" i="2"/>
  <c r="K26" i="2"/>
  <c r="K16" i="2"/>
  <c r="AL39" i="2"/>
  <c r="AL71" i="2"/>
  <c r="AL103" i="2"/>
  <c r="AL28" i="2"/>
  <c r="AL60" i="2"/>
  <c r="AL46" i="2"/>
  <c r="AL78" i="2"/>
  <c r="AL110" i="2"/>
  <c r="AJ19" i="2"/>
  <c r="AJ10" i="2"/>
  <c r="AI10" i="2"/>
  <c r="AI42" i="2"/>
  <c r="AI74" i="2"/>
  <c r="AI106" i="2"/>
  <c r="AI11" i="2"/>
  <c r="AI43" i="2"/>
  <c r="AI75" i="2"/>
  <c r="AI107" i="2"/>
  <c r="AI12" i="2"/>
  <c r="AI44" i="2"/>
  <c r="AI76" i="2"/>
  <c r="AI108" i="2"/>
  <c r="AI13" i="2"/>
  <c r="AI45" i="2"/>
  <c r="AI77" i="2"/>
  <c r="AI109" i="2"/>
  <c r="AI33" i="2"/>
  <c r="AI97" i="2"/>
  <c r="AI67" i="2"/>
  <c r="AI84" i="2"/>
  <c r="AI37" i="2"/>
  <c r="AI24" i="2"/>
  <c r="AI25" i="2"/>
  <c r="AI121" i="2"/>
  <c r="AL43" i="2"/>
  <c r="AL75" i="2"/>
  <c r="AL107" i="2"/>
  <c r="AL32" i="2"/>
  <c r="AL64" i="2"/>
  <c r="AL50" i="2"/>
  <c r="AL82" i="2"/>
  <c r="AL114" i="2"/>
  <c r="AJ23" i="2"/>
  <c r="AJ14" i="2"/>
  <c r="AI14" i="2"/>
  <c r="AI46" i="2"/>
  <c r="AI78" i="2"/>
  <c r="AI110" i="2"/>
  <c r="AI15" i="2"/>
  <c r="AI47" i="2"/>
  <c r="AI79" i="2"/>
  <c r="AI111" i="2"/>
  <c r="AI16" i="2"/>
  <c r="AI48" i="2"/>
  <c r="AI80" i="2"/>
  <c r="AI112" i="2"/>
  <c r="AI17" i="2"/>
  <c r="AI81" i="2"/>
  <c r="AI99" i="2"/>
  <c r="AI52" i="2"/>
  <c r="AI21" i="2"/>
  <c r="AI117" i="2"/>
  <c r="AI120" i="2"/>
  <c r="AL31" i="2"/>
  <c r="AL63" i="2"/>
  <c r="AL95" i="2"/>
  <c r="AL127" i="2"/>
  <c r="AL52" i="2"/>
  <c r="AL38" i="2"/>
  <c r="AL70" i="2"/>
  <c r="AL102" i="2"/>
  <c r="AJ7" i="2"/>
  <c r="AJ24" i="2"/>
  <c r="AI2" i="2"/>
  <c r="AI34" i="2"/>
  <c r="AI66" i="2"/>
  <c r="AI98" i="2"/>
  <c r="AI3" i="2"/>
  <c r="AI35" i="2"/>
  <c r="AI83" i="2"/>
  <c r="AI20" i="2"/>
  <c r="AI116" i="2"/>
  <c r="AI101" i="2"/>
  <c r="AI41" i="2"/>
  <c r="AL35" i="2"/>
  <c r="AL67" i="2"/>
  <c r="AL99" i="2"/>
  <c r="AL12" i="2"/>
  <c r="AL56" i="2"/>
  <c r="AL42" i="2"/>
  <c r="AL74" i="2"/>
  <c r="AL106" i="2"/>
  <c r="AJ15" i="2"/>
  <c r="AJ6" i="2"/>
  <c r="AI6" i="2"/>
  <c r="AI38" i="2"/>
  <c r="AI70" i="2"/>
  <c r="AI102" i="2"/>
  <c r="AI7" i="2"/>
  <c r="AI39" i="2"/>
  <c r="AI71" i="2"/>
  <c r="AI103" i="2"/>
  <c r="AI8" i="2"/>
  <c r="AI72" i="2"/>
  <c r="AI89" i="2"/>
  <c r="AI23" i="2"/>
  <c r="AI87" i="2"/>
  <c r="AI40" i="2"/>
  <c r="K7" i="2"/>
  <c r="K19" i="2"/>
  <c r="K20" i="2"/>
  <c r="K8" i="2"/>
  <c r="K6" i="2"/>
  <c r="K14" i="2"/>
  <c r="K22" i="2"/>
  <c r="K2" i="2"/>
  <c r="AL11" i="2"/>
  <c r="AL55" i="2"/>
  <c r="AL87" i="2"/>
  <c r="AL119" i="2"/>
  <c r="AL44" i="2"/>
  <c r="AL30" i="2"/>
  <c r="AL62" i="2"/>
  <c r="AL94" i="2"/>
  <c r="AL126" i="2"/>
  <c r="AJ16" i="2"/>
  <c r="AJ26" i="2"/>
  <c r="AI26" i="2"/>
  <c r="AI58" i="2"/>
  <c r="AI90" i="2"/>
  <c r="AI122" i="2"/>
  <c r="AI27" i="2"/>
  <c r="AI59" i="2"/>
  <c r="AI91" i="2"/>
  <c r="AI123" i="2"/>
  <c r="AI28" i="2"/>
  <c r="AI60" i="2"/>
  <c r="AI92" i="2"/>
  <c r="AI124" i="2"/>
  <c r="AI29" i="2"/>
  <c r="AI61" i="2"/>
  <c r="AI93" i="2"/>
  <c r="AI125" i="2"/>
  <c r="AI65" i="2"/>
  <c r="AI129" i="2"/>
  <c r="AI36" i="2"/>
  <c r="AI5" i="2"/>
  <c r="AI85" i="2"/>
  <c r="AI104" i="2"/>
  <c r="AI73" i="2"/>
  <c r="AL27" i="2"/>
  <c r="AL59" i="2"/>
  <c r="AL91" i="2"/>
  <c r="AL123" i="2"/>
  <c r="AL48" i="2"/>
  <c r="AL34" i="2"/>
  <c r="AL66" i="2"/>
  <c r="AL98" i="2"/>
  <c r="AJ3" i="2"/>
  <c r="AJ20" i="2"/>
  <c r="AJ2" i="2"/>
  <c r="AI30" i="2"/>
  <c r="AI62" i="2"/>
  <c r="AI94" i="2"/>
  <c r="AI126" i="2"/>
  <c r="AI31" i="2"/>
  <c r="AI63" i="2"/>
  <c r="AI95" i="2"/>
  <c r="AI127" i="2"/>
  <c r="AI32" i="2"/>
  <c r="AI64" i="2"/>
  <c r="AI96" i="2"/>
  <c r="AI128" i="2"/>
  <c r="AI49" i="2"/>
  <c r="AI113" i="2"/>
  <c r="AI4" i="2"/>
  <c r="AI100" i="2"/>
  <c r="AI69" i="2"/>
  <c r="AI56" i="2"/>
  <c r="AI57" i="2"/>
  <c r="AL47" i="2"/>
  <c r="AL79" i="2"/>
  <c r="AL111" i="2"/>
  <c r="AL36" i="2"/>
  <c r="AL68" i="2"/>
  <c r="AL54" i="2"/>
  <c r="AL86" i="2"/>
  <c r="AL118" i="2"/>
  <c r="AJ4" i="2"/>
  <c r="AJ18" i="2"/>
  <c r="AI18" i="2"/>
  <c r="AI50" i="2"/>
  <c r="AI82" i="2"/>
  <c r="AI114" i="2"/>
  <c r="AI19" i="2"/>
  <c r="AI51" i="2"/>
  <c r="AI115" i="2"/>
  <c r="AI68" i="2"/>
  <c r="AI53" i="2"/>
  <c r="AI88" i="2"/>
  <c r="AI105" i="2"/>
  <c r="AL51" i="2"/>
  <c r="AL83" i="2"/>
  <c r="AL115" i="2"/>
  <c r="AL40" i="2"/>
  <c r="AL72" i="2"/>
  <c r="AL58" i="2"/>
  <c r="AL90" i="2"/>
  <c r="AL122" i="2"/>
  <c r="AJ8" i="2"/>
  <c r="AJ22" i="2"/>
  <c r="AI22" i="2"/>
  <c r="AI54" i="2"/>
  <c r="AI86" i="2"/>
  <c r="AI118" i="2"/>
  <c r="AI55" i="2"/>
  <c r="AI119" i="2"/>
  <c r="AI9" i="2"/>
  <c r="AA2" i="2" l="1"/>
  <c r="U2" i="2"/>
  <c r="O2" i="2"/>
  <c r="AA26" i="2"/>
  <c r="U26" i="2"/>
  <c r="O26" i="2"/>
  <c r="AA22" i="2"/>
  <c r="U22" i="2"/>
  <c r="O22" i="2"/>
  <c r="AA18" i="2"/>
  <c r="U18" i="2"/>
  <c r="O18" i="2"/>
  <c r="AA14" i="2"/>
  <c r="U14" i="2"/>
  <c r="O14" i="2"/>
  <c r="AA10" i="2"/>
  <c r="U10" i="2"/>
  <c r="O10" i="2"/>
  <c r="AA6" i="2"/>
  <c r="U6" i="2"/>
  <c r="O6" i="2"/>
  <c r="Z129" i="2"/>
  <c r="T129" i="2"/>
  <c r="N129" i="2"/>
  <c r="I129" i="2"/>
  <c r="Z125" i="2"/>
  <c r="T125" i="2"/>
  <c r="N125" i="2"/>
  <c r="I125" i="2"/>
  <c r="Z121" i="2"/>
  <c r="T121" i="2"/>
  <c r="N121" i="2"/>
  <c r="I121" i="2"/>
  <c r="Z128" i="2"/>
  <c r="T128" i="2"/>
  <c r="N128" i="2"/>
  <c r="I128" i="2"/>
  <c r="Z124" i="2"/>
  <c r="T124" i="2"/>
  <c r="N124" i="2"/>
  <c r="I124" i="2"/>
  <c r="Z120" i="2"/>
  <c r="T120" i="2"/>
  <c r="N120" i="2"/>
  <c r="I120" i="2"/>
  <c r="Z116" i="2"/>
  <c r="T116" i="2"/>
  <c r="N116" i="2"/>
  <c r="I116" i="2"/>
  <c r="Z112" i="2"/>
  <c r="T112" i="2"/>
  <c r="N112" i="2"/>
  <c r="I112" i="2"/>
  <c r="Z108" i="2"/>
  <c r="T108" i="2"/>
  <c r="N108" i="2"/>
  <c r="I108" i="2"/>
  <c r="Z104" i="2"/>
  <c r="T104" i="2"/>
  <c r="N104" i="2"/>
  <c r="I104" i="2"/>
  <c r="Z100" i="2"/>
  <c r="T100" i="2"/>
  <c r="N100" i="2"/>
  <c r="I100" i="2"/>
  <c r="Z96" i="2"/>
  <c r="T96" i="2"/>
  <c r="N96" i="2"/>
  <c r="I96" i="2"/>
  <c r="Z92" i="2"/>
  <c r="T92" i="2"/>
  <c r="N92" i="2"/>
  <c r="I92" i="2"/>
  <c r="Z88" i="2"/>
  <c r="T88" i="2"/>
  <c r="N88" i="2"/>
  <c r="I88" i="2"/>
  <c r="Z84" i="2"/>
  <c r="T84" i="2"/>
  <c r="N84" i="2"/>
  <c r="I84" i="2"/>
  <c r="Z80" i="2"/>
  <c r="T80" i="2"/>
  <c r="N80" i="2"/>
  <c r="I80" i="2"/>
  <c r="Z76" i="2"/>
  <c r="T76" i="2"/>
  <c r="N76" i="2"/>
  <c r="I76" i="2"/>
  <c r="AA24" i="2"/>
  <c r="U24" i="2"/>
  <c r="O24" i="2"/>
  <c r="AA20" i="2"/>
  <c r="U20" i="2"/>
  <c r="O20" i="2"/>
  <c r="AA16" i="2"/>
  <c r="U16" i="2"/>
  <c r="O16" i="2"/>
  <c r="AA8" i="2"/>
  <c r="U8" i="2"/>
  <c r="O8" i="2"/>
  <c r="AA4" i="2"/>
  <c r="U4" i="2"/>
  <c r="O4" i="2"/>
  <c r="AA23" i="2"/>
  <c r="U23" i="2"/>
  <c r="O23" i="2"/>
  <c r="AA19" i="2"/>
  <c r="U19" i="2"/>
  <c r="O19" i="2"/>
  <c r="AA15" i="2"/>
  <c r="U15" i="2"/>
  <c r="O15" i="2"/>
  <c r="AA7" i="2"/>
  <c r="U7" i="2"/>
  <c r="O7" i="2"/>
  <c r="AA3" i="2"/>
  <c r="U3" i="2"/>
  <c r="O3" i="2"/>
  <c r="Z117" i="2"/>
  <c r="T117" i="2"/>
  <c r="Z113" i="2"/>
  <c r="T113" i="2"/>
  <c r="Z109" i="2"/>
  <c r="T109" i="2"/>
  <c r="Z105" i="2"/>
  <c r="T105" i="2"/>
  <c r="Z101" i="2"/>
  <c r="T101" i="2"/>
  <c r="Z97" i="2"/>
  <c r="T97" i="2"/>
  <c r="Z93" i="2"/>
  <c r="T93" i="2"/>
  <c r="Z89" i="2"/>
  <c r="T89" i="2"/>
  <c r="Z85" i="2"/>
  <c r="T85" i="2"/>
  <c r="Z81" i="2"/>
  <c r="T81" i="2"/>
  <c r="Z77" i="2"/>
  <c r="T77" i="2"/>
  <c r="Z73" i="2"/>
  <c r="T73" i="2"/>
  <c r="Z69" i="2"/>
  <c r="T69" i="2"/>
  <c r="Z65" i="2"/>
  <c r="T65" i="2"/>
  <c r="Z61" i="2"/>
  <c r="T61" i="2"/>
  <c r="Z57" i="2"/>
  <c r="T57" i="2"/>
  <c r="Z53" i="2"/>
  <c r="T53" i="2"/>
  <c r="Z49" i="2"/>
  <c r="T49" i="2"/>
  <c r="Z45" i="2"/>
  <c r="T45" i="2"/>
  <c r="Z41" i="2"/>
  <c r="T41" i="2"/>
  <c r="Z37" i="2"/>
  <c r="T37" i="2"/>
  <c r="Z33" i="2"/>
  <c r="T33" i="2"/>
  <c r="Z29" i="2"/>
  <c r="T29" i="2"/>
  <c r="Z25" i="2"/>
  <c r="T25" i="2"/>
  <c r="Z21" i="2"/>
  <c r="T21" i="2"/>
  <c r="Z17" i="2"/>
  <c r="T17" i="2"/>
  <c r="Z13" i="2"/>
  <c r="T13" i="2"/>
  <c r="Z9" i="2"/>
  <c r="T9" i="2"/>
  <c r="Z5" i="2"/>
  <c r="T5" i="2"/>
  <c r="I72" i="2"/>
  <c r="I68" i="2"/>
  <c r="I64" i="2"/>
  <c r="I60" i="2"/>
  <c r="I56" i="2"/>
  <c r="I52" i="2"/>
  <c r="I48" i="2"/>
  <c r="I44" i="2"/>
  <c r="I40" i="2"/>
  <c r="I36" i="2"/>
  <c r="I32" i="2"/>
  <c r="I28" i="2"/>
  <c r="I12" i="2"/>
  <c r="AD128" i="2"/>
  <c r="AT128" i="2" s="1"/>
  <c r="X128" i="2"/>
  <c r="AQ128" i="2" s="1"/>
  <c r="R128" i="2"/>
  <c r="AN128" i="2" s="1"/>
  <c r="AD124" i="2"/>
  <c r="AT124" i="2" s="1"/>
  <c r="X124" i="2"/>
  <c r="AQ124" i="2" s="1"/>
  <c r="R124" i="2"/>
  <c r="AN124" i="2" s="1"/>
  <c r="AD120" i="2"/>
  <c r="AT120" i="2" s="1"/>
  <c r="X120" i="2"/>
  <c r="AQ120" i="2" s="1"/>
  <c r="R120" i="2"/>
  <c r="AN120" i="2" s="1"/>
  <c r="AD116" i="2"/>
  <c r="AT116" i="2" s="1"/>
  <c r="X116" i="2"/>
  <c r="AQ116" i="2" s="1"/>
  <c r="R116" i="2"/>
  <c r="AN116" i="2" s="1"/>
  <c r="AD112" i="2"/>
  <c r="AT112" i="2" s="1"/>
  <c r="X112" i="2"/>
  <c r="AQ112" i="2" s="1"/>
  <c r="R112" i="2"/>
  <c r="AN112" i="2" s="1"/>
  <c r="AD108" i="2"/>
  <c r="AT108" i="2" s="1"/>
  <c r="X108" i="2"/>
  <c r="AQ108" i="2" s="1"/>
  <c r="R108" i="2"/>
  <c r="AN108" i="2" s="1"/>
  <c r="AD104" i="2"/>
  <c r="AT104" i="2" s="1"/>
  <c r="X104" i="2"/>
  <c r="AQ104" i="2" s="1"/>
  <c r="R104" i="2"/>
  <c r="AN104" i="2" s="1"/>
  <c r="AD100" i="2"/>
  <c r="AT100" i="2" s="1"/>
  <c r="X100" i="2"/>
  <c r="AQ100" i="2" s="1"/>
  <c r="R100" i="2"/>
  <c r="AN100" i="2" s="1"/>
  <c r="AD96" i="2"/>
  <c r="AT96" i="2" s="1"/>
  <c r="X96" i="2"/>
  <c r="AQ96" i="2" s="1"/>
  <c r="R96" i="2"/>
  <c r="AN96" i="2" s="1"/>
  <c r="AD92" i="2"/>
  <c r="AT92" i="2" s="1"/>
  <c r="X92" i="2"/>
  <c r="AQ92" i="2" s="1"/>
  <c r="R92" i="2"/>
  <c r="AN92" i="2" s="1"/>
  <c r="AD88" i="2"/>
  <c r="AT88" i="2" s="1"/>
  <c r="X88" i="2"/>
  <c r="AQ88" i="2" s="1"/>
  <c r="R88" i="2"/>
  <c r="AN88" i="2" s="1"/>
  <c r="AD84" i="2"/>
  <c r="AT84" i="2" s="1"/>
  <c r="X84" i="2"/>
  <c r="AQ84" i="2" s="1"/>
  <c r="R84" i="2"/>
  <c r="AN84" i="2" s="1"/>
  <c r="X80" i="2"/>
  <c r="AQ80" i="2" s="1"/>
  <c r="AD80" i="2"/>
  <c r="AT80" i="2" s="1"/>
  <c r="R80" i="2"/>
  <c r="AN80" i="2" s="1"/>
  <c r="AD76" i="2"/>
  <c r="AT76" i="2" s="1"/>
  <c r="X76" i="2"/>
  <c r="AQ76" i="2" s="1"/>
  <c r="R76" i="2"/>
  <c r="AN76" i="2" s="1"/>
  <c r="AD72" i="2"/>
  <c r="AT72" i="2" s="1"/>
  <c r="X72" i="2"/>
  <c r="AQ72" i="2" s="1"/>
  <c r="R72" i="2"/>
  <c r="AN72" i="2" s="1"/>
  <c r="AD68" i="2"/>
  <c r="AT68" i="2" s="1"/>
  <c r="X68" i="2"/>
  <c r="AQ68" i="2" s="1"/>
  <c r="R68" i="2"/>
  <c r="AN68" i="2" s="1"/>
  <c r="AD64" i="2"/>
  <c r="AT64" i="2" s="1"/>
  <c r="X64" i="2"/>
  <c r="AQ64" i="2" s="1"/>
  <c r="R64" i="2"/>
  <c r="AN64" i="2" s="1"/>
  <c r="AD60" i="2"/>
  <c r="AT60" i="2" s="1"/>
  <c r="X60" i="2"/>
  <c r="AQ60" i="2" s="1"/>
  <c r="R60" i="2"/>
  <c r="AN60" i="2" s="1"/>
  <c r="AD56" i="2"/>
  <c r="AT56" i="2" s="1"/>
  <c r="X56" i="2"/>
  <c r="AQ56" i="2" s="1"/>
  <c r="R56" i="2"/>
  <c r="AN56" i="2" s="1"/>
  <c r="AD52" i="2"/>
  <c r="AT52" i="2" s="1"/>
  <c r="X52" i="2"/>
  <c r="AQ52" i="2" s="1"/>
  <c r="R52" i="2"/>
  <c r="AN52" i="2" s="1"/>
  <c r="AD48" i="2"/>
  <c r="AT48" i="2" s="1"/>
  <c r="X48" i="2"/>
  <c r="AQ48" i="2" s="1"/>
  <c r="R48" i="2"/>
  <c r="AN48" i="2" s="1"/>
  <c r="AD44" i="2"/>
  <c r="AT44" i="2" s="1"/>
  <c r="X44" i="2"/>
  <c r="AQ44" i="2" s="1"/>
  <c r="R44" i="2"/>
  <c r="AN44" i="2" s="1"/>
  <c r="AD40" i="2"/>
  <c r="AT40" i="2" s="1"/>
  <c r="X40" i="2"/>
  <c r="AQ40" i="2" s="1"/>
  <c r="R40" i="2"/>
  <c r="AN40" i="2" s="1"/>
  <c r="AD36" i="2"/>
  <c r="AT36" i="2" s="1"/>
  <c r="X36" i="2"/>
  <c r="AQ36" i="2" s="1"/>
  <c r="R36" i="2"/>
  <c r="AN36" i="2" s="1"/>
  <c r="AD32" i="2"/>
  <c r="AT32" i="2" s="1"/>
  <c r="X32" i="2"/>
  <c r="AQ32" i="2" s="1"/>
  <c r="R32" i="2"/>
  <c r="AN32" i="2" s="1"/>
  <c r="AD28" i="2"/>
  <c r="AT28" i="2" s="1"/>
  <c r="X28" i="2"/>
  <c r="AQ28" i="2" s="1"/>
  <c r="R28" i="2"/>
  <c r="AN28" i="2" s="1"/>
  <c r="AD24" i="2"/>
  <c r="AT24" i="2" s="1"/>
  <c r="X24" i="2"/>
  <c r="AQ24" i="2" s="1"/>
  <c r="R24" i="2"/>
  <c r="AN24" i="2" s="1"/>
  <c r="AD20" i="2"/>
  <c r="AT20" i="2" s="1"/>
  <c r="X20" i="2"/>
  <c r="AQ20" i="2" s="1"/>
  <c r="R20" i="2"/>
  <c r="AN20" i="2" s="1"/>
  <c r="AD16" i="2"/>
  <c r="AT16" i="2" s="1"/>
  <c r="X16" i="2"/>
  <c r="AQ16" i="2" s="1"/>
  <c r="R16" i="2"/>
  <c r="AN16" i="2" s="1"/>
  <c r="AD12" i="2"/>
  <c r="AT12" i="2" s="1"/>
  <c r="X12" i="2"/>
  <c r="AQ12" i="2" s="1"/>
  <c r="R12" i="2"/>
  <c r="AN12" i="2" s="1"/>
  <c r="AD8" i="2"/>
  <c r="AT8" i="2" s="1"/>
  <c r="X8" i="2"/>
  <c r="AQ8" i="2" s="1"/>
  <c r="R8" i="2"/>
  <c r="AN8" i="2" s="1"/>
  <c r="AD4" i="2"/>
  <c r="AT4" i="2" s="1"/>
  <c r="X4" i="2"/>
  <c r="AQ4" i="2" s="1"/>
  <c r="R4" i="2"/>
  <c r="AN4" i="2" s="1"/>
  <c r="N23" i="2"/>
  <c r="N17" i="2"/>
  <c r="N7" i="2"/>
  <c r="Z72" i="2"/>
  <c r="T72" i="2"/>
  <c r="Z68" i="2"/>
  <c r="T68" i="2"/>
  <c r="Z64" i="2"/>
  <c r="T64" i="2"/>
  <c r="Z60" i="2"/>
  <c r="T60" i="2"/>
  <c r="Z56" i="2"/>
  <c r="T56" i="2"/>
  <c r="Z52" i="2"/>
  <c r="T52" i="2"/>
  <c r="Z48" i="2"/>
  <c r="T48" i="2"/>
  <c r="Z44" i="2"/>
  <c r="T44" i="2"/>
  <c r="Z40" i="2"/>
  <c r="T40" i="2"/>
  <c r="Z36" i="2"/>
  <c r="T36" i="2"/>
  <c r="Z32" i="2"/>
  <c r="T32" i="2"/>
  <c r="Z28" i="2"/>
  <c r="T28" i="2"/>
  <c r="Z24" i="2"/>
  <c r="T24" i="2"/>
  <c r="Z20" i="2"/>
  <c r="T20" i="2"/>
  <c r="Z16" i="2"/>
  <c r="T16" i="2"/>
  <c r="Z12" i="2"/>
  <c r="T12" i="2"/>
  <c r="Z8" i="2"/>
  <c r="T8" i="2"/>
  <c r="Z4" i="2"/>
  <c r="T4" i="2"/>
  <c r="I127" i="2"/>
  <c r="I123" i="2"/>
  <c r="I119" i="2"/>
  <c r="I115" i="2"/>
  <c r="I111" i="2"/>
  <c r="I107" i="2"/>
  <c r="I103" i="2"/>
  <c r="I99" i="2"/>
  <c r="I95" i="2"/>
  <c r="I91" i="2"/>
  <c r="I87" i="2"/>
  <c r="I83" i="2"/>
  <c r="I79" i="2"/>
  <c r="I75" i="2"/>
  <c r="I71" i="2"/>
  <c r="I67" i="2"/>
  <c r="I63" i="2"/>
  <c r="I59" i="2"/>
  <c r="I55" i="2"/>
  <c r="I51" i="2"/>
  <c r="I47" i="2"/>
  <c r="I43" i="2"/>
  <c r="I39" i="2"/>
  <c r="I35" i="2"/>
  <c r="I31" i="2"/>
  <c r="I27" i="2"/>
  <c r="I11" i="2"/>
  <c r="AD127" i="2"/>
  <c r="AT127" i="2" s="1"/>
  <c r="X127" i="2"/>
  <c r="AQ127" i="2" s="1"/>
  <c r="R127" i="2"/>
  <c r="AN127" i="2" s="1"/>
  <c r="AD123" i="2"/>
  <c r="AT123" i="2" s="1"/>
  <c r="X123" i="2"/>
  <c r="AQ123" i="2" s="1"/>
  <c r="R123" i="2"/>
  <c r="AN123" i="2" s="1"/>
  <c r="AD119" i="2"/>
  <c r="AT119" i="2" s="1"/>
  <c r="X119" i="2"/>
  <c r="AQ119" i="2" s="1"/>
  <c r="R119" i="2"/>
  <c r="AN119" i="2" s="1"/>
  <c r="AD115" i="2"/>
  <c r="AT115" i="2" s="1"/>
  <c r="X115" i="2"/>
  <c r="AQ115" i="2" s="1"/>
  <c r="R115" i="2"/>
  <c r="AN115" i="2" s="1"/>
  <c r="AD111" i="2"/>
  <c r="AT111" i="2" s="1"/>
  <c r="X111" i="2"/>
  <c r="AQ111" i="2" s="1"/>
  <c r="R111" i="2"/>
  <c r="AN111" i="2" s="1"/>
  <c r="AD107" i="2"/>
  <c r="AT107" i="2" s="1"/>
  <c r="X107" i="2"/>
  <c r="AQ107" i="2" s="1"/>
  <c r="R107" i="2"/>
  <c r="AN107" i="2" s="1"/>
  <c r="AD103" i="2"/>
  <c r="AT103" i="2" s="1"/>
  <c r="X103" i="2"/>
  <c r="AQ103" i="2" s="1"/>
  <c r="R103" i="2"/>
  <c r="AN103" i="2" s="1"/>
  <c r="AD99" i="2"/>
  <c r="AT99" i="2" s="1"/>
  <c r="X99" i="2"/>
  <c r="AQ99" i="2" s="1"/>
  <c r="R99" i="2"/>
  <c r="AN99" i="2" s="1"/>
  <c r="AD95" i="2"/>
  <c r="AT95" i="2" s="1"/>
  <c r="X95" i="2"/>
  <c r="AQ95" i="2" s="1"/>
  <c r="R95" i="2"/>
  <c r="AN95" i="2" s="1"/>
  <c r="AD91" i="2"/>
  <c r="AT91" i="2" s="1"/>
  <c r="X91" i="2"/>
  <c r="AQ91" i="2" s="1"/>
  <c r="R91" i="2"/>
  <c r="AN91" i="2" s="1"/>
  <c r="AD87" i="2"/>
  <c r="AT87" i="2" s="1"/>
  <c r="X87" i="2"/>
  <c r="AQ87" i="2" s="1"/>
  <c r="R87" i="2"/>
  <c r="AN87" i="2" s="1"/>
  <c r="AD83" i="2"/>
  <c r="AT83" i="2" s="1"/>
  <c r="X83" i="2"/>
  <c r="AQ83" i="2" s="1"/>
  <c r="R83" i="2"/>
  <c r="AN83" i="2" s="1"/>
  <c r="X79" i="2"/>
  <c r="AQ79" i="2" s="1"/>
  <c r="AD79" i="2"/>
  <c r="AT79" i="2" s="1"/>
  <c r="R79" i="2"/>
  <c r="AN79" i="2" s="1"/>
  <c r="AD75" i="2"/>
  <c r="AT75" i="2" s="1"/>
  <c r="X75" i="2"/>
  <c r="AQ75" i="2" s="1"/>
  <c r="R75" i="2"/>
  <c r="AN75" i="2" s="1"/>
  <c r="AD71" i="2"/>
  <c r="AT71" i="2" s="1"/>
  <c r="X71" i="2"/>
  <c r="AQ71" i="2" s="1"/>
  <c r="R71" i="2"/>
  <c r="AN71" i="2" s="1"/>
  <c r="AD67" i="2"/>
  <c r="AT67" i="2" s="1"/>
  <c r="X67" i="2"/>
  <c r="AQ67" i="2" s="1"/>
  <c r="R67" i="2"/>
  <c r="AN67" i="2" s="1"/>
  <c r="AD63" i="2"/>
  <c r="AT63" i="2" s="1"/>
  <c r="X63" i="2"/>
  <c r="AQ63" i="2" s="1"/>
  <c r="R63" i="2"/>
  <c r="AN63" i="2" s="1"/>
  <c r="AD59" i="2"/>
  <c r="AT59" i="2" s="1"/>
  <c r="X59" i="2"/>
  <c r="AQ59" i="2" s="1"/>
  <c r="R59" i="2"/>
  <c r="AN59" i="2" s="1"/>
  <c r="AD55" i="2"/>
  <c r="AT55" i="2" s="1"/>
  <c r="X55" i="2"/>
  <c r="AQ55" i="2" s="1"/>
  <c r="R55" i="2"/>
  <c r="AN55" i="2" s="1"/>
  <c r="AD51" i="2"/>
  <c r="AT51" i="2" s="1"/>
  <c r="X51" i="2"/>
  <c r="AQ51" i="2" s="1"/>
  <c r="R51" i="2"/>
  <c r="AN51" i="2" s="1"/>
  <c r="AD47" i="2"/>
  <c r="AT47" i="2" s="1"/>
  <c r="X47" i="2"/>
  <c r="AQ47" i="2" s="1"/>
  <c r="R47" i="2"/>
  <c r="AN47" i="2" s="1"/>
  <c r="AD43" i="2"/>
  <c r="AT43" i="2" s="1"/>
  <c r="X43" i="2"/>
  <c r="AQ43" i="2" s="1"/>
  <c r="R43" i="2"/>
  <c r="AN43" i="2" s="1"/>
  <c r="AD39" i="2"/>
  <c r="AT39" i="2" s="1"/>
  <c r="X39" i="2"/>
  <c r="AQ39" i="2" s="1"/>
  <c r="R39" i="2"/>
  <c r="AN39" i="2" s="1"/>
  <c r="AD35" i="2"/>
  <c r="AT35" i="2" s="1"/>
  <c r="X35" i="2"/>
  <c r="AQ35" i="2" s="1"/>
  <c r="R35" i="2"/>
  <c r="AN35" i="2" s="1"/>
  <c r="AD31" i="2"/>
  <c r="AT31" i="2" s="1"/>
  <c r="X31" i="2"/>
  <c r="AQ31" i="2" s="1"/>
  <c r="R31" i="2"/>
  <c r="AN31" i="2" s="1"/>
  <c r="AD27" i="2"/>
  <c r="AT27" i="2" s="1"/>
  <c r="X27" i="2"/>
  <c r="AQ27" i="2" s="1"/>
  <c r="R27" i="2"/>
  <c r="AN27" i="2" s="1"/>
  <c r="AD23" i="2"/>
  <c r="AT23" i="2" s="1"/>
  <c r="X23" i="2"/>
  <c r="AQ23" i="2" s="1"/>
  <c r="R23" i="2"/>
  <c r="AN23" i="2" s="1"/>
  <c r="AD19" i="2"/>
  <c r="AT19" i="2" s="1"/>
  <c r="X19" i="2"/>
  <c r="AQ19" i="2" s="1"/>
  <c r="R19" i="2"/>
  <c r="AN19" i="2" s="1"/>
  <c r="AD15" i="2"/>
  <c r="AT15" i="2" s="1"/>
  <c r="X15" i="2"/>
  <c r="AQ15" i="2" s="1"/>
  <c r="R15" i="2"/>
  <c r="AN15" i="2" s="1"/>
  <c r="AD11" i="2"/>
  <c r="AT11" i="2" s="1"/>
  <c r="X11" i="2"/>
  <c r="AQ11" i="2" s="1"/>
  <c r="R11" i="2"/>
  <c r="AN11" i="2" s="1"/>
  <c r="AD7" i="2"/>
  <c r="AT7" i="2" s="1"/>
  <c r="X7" i="2"/>
  <c r="AQ7" i="2" s="1"/>
  <c r="R7" i="2"/>
  <c r="AN7" i="2" s="1"/>
  <c r="AD3" i="2"/>
  <c r="AT3" i="2" s="1"/>
  <c r="X3" i="2"/>
  <c r="AQ3" i="2" s="1"/>
  <c r="R3" i="2"/>
  <c r="AN3" i="2" s="1"/>
  <c r="N21" i="2"/>
  <c r="N16" i="2"/>
  <c r="N5" i="2"/>
  <c r="Z127" i="2"/>
  <c r="T127" i="2"/>
  <c r="Z123" i="2"/>
  <c r="T123" i="2"/>
  <c r="Z119" i="2"/>
  <c r="T119" i="2"/>
  <c r="Z115" i="2"/>
  <c r="T115" i="2"/>
  <c r="Z111" i="2"/>
  <c r="T111" i="2"/>
  <c r="Z107" i="2"/>
  <c r="T107" i="2"/>
  <c r="Z103" i="2"/>
  <c r="T103" i="2"/>
  <c r="Z99" i="2"/>
  <c r="T99" i="2"/>
  <c r="Z95" i="2"/>
  <c r="T95" i="2"/>
  <c r="Z91" i="2"/>
  <c r="T91" i="2"/>
  <c r="Z87" i="2"/>
  <c r="T87" i="2"/>
  <c r="Z83" i="2"/>
  <c r="T83" i="2"/>
  <c r="Z79" i="2"/>
  <c r="T79" i="2"/>
  <c r="Z75" i="2"/>
  <c r="T75" i="2"/>
  <c r="Z71" i="2"/>
  <c r="T71" i="2"/>
  <c r="Z67" i="2"/>
  <c r="T67" i="2"/>
  <c r="Z63" i="2"/>
  <c r="T63" i="2"/>
  <c r="Z59" i="2"/>
  <c r="T59" i="2"/>
  <c r="Z55" i="2"/>
  <c r="T55" i="2"/>
  <c r="Z51" i="2"/>
  <c r="T51" i="2"/>
  <c r="Z47" i="2"/>
  <c r="T47" i="2"/>
  <c r="Z43" i="2"/>
  <c r="T43" i="2"/>
  <c r="Z39" i="2"/>
  <c r="T39" i="2"/>
  <c r="Z35" i="2"/>
  <c r="T35" i="2"/>
  <c r="Z31" i="2"/>
  <c r="T31" i="2"/>
  <c r="Z27" i="2"/>
  <c r="T27" i="2"/>
  <c r="Z23" i="2"/>
  <c r="T23" i="2"/>
  <c r="Z19" i="2"/>
  <c r="T19" i="2"/>
  <c r="Z15" i="2"/>
  <c r="T15" i="2"/>
  <c r="Z11" i="2"/>
  <c r="T11" i="2"/>
  <c r="Z7" i="2"/>
  <c r="T7" i="2"/>
  <c r="Z3" i="2"/>
  <c r="T3" i="2"/>
  <c r="I126" i="2"/>
  <c r="I122" i="2"/>
  <c r="I118" i="2"/>
  <c r="I114" i="2"/>
  <c r="I110" i="2"/>
  <c r="I106" i="2"/>
  <c r="I102" i="2"/>
  <c r="I98" i="2"/>
  <c r="I94" i="2"/>
  <c r="I90" i="2"/>
  <c r="I86" i="2"/>
  <c r="I82" i="2"/>
  <c r="I78" i="2"/>
  <c r="I74" i="2"/>
  <c r="I70" i="2"/>
  <c r="I66" i="2"/>
  <c r="I62" i="2"/>
  <c r="I58" i="2"/>
  <c r="I54" i="2"/>
  <c r="I50" i="2"/>
  <c r="I46" i="2"/>
  <c r="I42" i="2"/>
  <c r="I38" i="2"/>
  <c r="I34" i="2"/>
  <c r="I30" i="2"/>
  <c r="AD126" i="2"/>
  <c r="AT126" i="2" s="1"/>
  <c r="X126" i="2"/>
  <c r="AQ126" i="2" s="1"/>
  <c r="R126" i="2"/>
  <c r="AN126" i="2" s="1"/>
  <c r="AD122" i="2"/>
  <c r="AT122" i="2" s="1"/>
  <c r="X122" i="2"/>
  <c r="AQ122" i="2" s="1"/>
  <c r="R122" i="2"/>
  <c r="AN122" i="2" s="1"/>
  <c r="AD118" i="2"/>
  <c r="AT118" i="2" s="1"/>
  <c r="X118" i="2"/>
  <c r="AQ118" i="2" s="1"/>
  <c r="R118" i="2"/>
  <c r="AN118" i="2" s="1"/>
  <c r="AD114" i="2"/>
  <c r="AT114" i="2" s="1"/>
  <c r="X114" i="2"/>
  <c r="AQ114" i="2" s="1"/>
  <c r="R114" i="2"/>
  <c r="AN114" i="2" s="1"/>
  <c r="AD110" i="2"/>
  <c r="AT110" i="2" s="1"/>
  <c r="X110" i="2"/>
  <c r="AQ110" i="2" s="1"/>
  <c r="R110" i="2"/>
  <c r="AN110" i="2" s="1"/>
  <c r="AD106" i="2"/>
  <c r="AT106" i="2" s="1"/>
  <c r="X106" i="2"/>
  <c r="AQ106" i="2" s="1"/>
  <c r="R106" i="2"/>
  <c r="AN106" i="2" s="1"/>
  <c r="AD102" i="2"/>
  <c r="AT102" i="2" s="1"/>
  <c r="X102" i="2"/>
  <c r="AQ102" i="2" s="1"/>
  <c r="R102" i="2"/>
  <c r="AN102" i="2" s="1"/>
  <c r="AD98" i="2"/>
  <c r="AT98" i="2" s="1"/>
  <c r="X98" i="2"/>
  <c r="AQ98" i="2" s="1"/>
  <c r="R98" i="2"/>
  <c r="AN98" i="2" s="1"/>
  <c r="AD94" i="2"/>
  <c r="AT94" i="2" s="1"/>
  <c r="X94" i="2"/>
  <c r="AQ94" i="2" s="1"/>
  <c r="R94" i="2"/>
  <c r="AN94" i="2" s="1"/>
  <c r="AD90" i="2"/>
  <c r="AT90" i="2" s="1"/>
  <c r="X90" i="2"/>
  <c r="AQ90" i="2" s="1"/>
  <c r="R90" i="2"/>
  <c r="AN90" i="2" s="1"/>
  <c r="AD86" i="2"/>
  <c r="AT86" i="2" s="1"/>
  <c r="X86" i="2"/>
  <c r="AQ86" i="2" s="1"/>
  <c r="R86" i="2"/>
  <c r="AN86" i="2" s="1"/>
  <c r="AD82" i="2"/>
  <c r="AT82" i="2" s="1"/>
  <c r="X82" i="2"/>
  <c r="AQ82" i="2" s="1"/>
  <c r="R82" i="2"/>
  <c r="AN82" i="2" s="1"/>
  <c r="AD78" i="2"/>
  <c r="AT78" i="2" s="1"/>
  <c r="X78" i="2"/>
  <c r="AQ78" i="2" s="1"/>
  <c r="R78" i="2"/>
  <c r="AN78" i="2" s="1"/>
  <c r="AD74" i="2"/>
  <c r="AT74" i="2" s="1"/>
  <c r="X74" i="2"/>
  <c r="AQ74" i="2" s="1"/>
  <c r="R74" i="2"/>
  <c r="AN74" i="2" s="1"/>
  <c r="AD70" i="2"/>
  <c r="AT70" i="2" s="1"/>
  <c r="X70" i="2"/>
  <c r="AQ70" i="2" s="1"/>
  <c r="R70" i="2"/>
  <c r="AN70" i="2" s="1"/>
  <c r="AD66" i="2"/>
  <c r="AT66" i="2" s="1"/>
  <c r="X66" i="2"/>
  <c r="AQ66" i="2" s="1"/>
  <c r="R66" i="2"/>
  <c r="AN66" i="2" s="1"/>
  <c r="AD62" i="2"/>
  <c r="AT62" i="2" s="1"/>
  <c r="X62" i="2"/>
  <c r="AQ62" i="2" s="1"/>
  <c r="R62" i="2"/>
  <c r="AN62" i="2" s="1"/>
  <c r="AD58" i="2"/>
  <c r="AT58" i="2" s="1"/>
  <c r="X58" i="2"/>
  <c r="AQ58" i="2" s="1"/>
  <c r="R58" i="2"/>
  <c r="AN58" i="2" s="1"/>
  <c r="AD54" i="2"/>
  <c r="AT54" i="2" s="1"/>
  <c r="X54" i="2"/>
  <c r="AQ54" i="2" s="1"/>
  <c r="R54" i="2"/>
  <c r="AN54" i="2" s="1"/>
  <c r="AD50" i="2"/>
  <c r="AT50" i="2" s="1"/>
  <c r="X50" i="2"/>
  <c r="AQ50" i="2" s="1"/>
  <c r="R50" i="2"/>
  <c r="AN50" i="2" s="1"/>
  <c r="AD46" i="2"/>
  <c r="AT46" i="2" s="1"/>
  <c r="X46" i="2"/>
  <c r="AQ46" i="2" s="1"/>
  <c r="R46" i="2"/>
  <c r="AN46" i="2" s="1"/>
  <c r="AD42" i="2"/>
  <c r="AT42" i="2" s="1"/>
  <c r="X42" i="2"/>
  <c r="AQ42" i="2" s="1"/>
  <c r="R42" i="2"/>
  <c r="AN42" i="2" s="1"/>
  <c r="AD38" i="2"/>
  <c r="AT38" i="2" s="1"/>
  <c r="X38" i="2"/>
  <c r="AQ38" i="2" s="1"/>
  <c r="R38" i="2"/>
  <c r="AN38" i="2" s="1"/>
  <c r="AD34" i="2"/>
  <c r="AT34" i="2" s="1"/>
  <c r="X34" i="2"/>
  <c r="AQ34" i="2" s="1"/>
  <c r="R34" i="2"/>
  <c r="AN34" i="2" s="1"/>
  <c r="AD30" i="2"/>
  <c r="AT30" i="2" s="1"/>
  <c r="X30" i="2"/>
  <c r="AQ30" i="2" s="1"/>
  <c r="R30" i="2"/>
  <c r="AN30" i="2" s="1"/>
  <c r="AD26" i="2"/>
  <c r="AT26" i="2" s="1"/>
  <c r="X26" i="2"/>
  <c r="AQ26" i="2" s="1"/>
  <c r="R26" i="2"/>
  <c r="AN26" i="2" s="1"/>
  <c r="AD22" i="2"/>
  <c r="AT22" i="2" s="1"/>
  <c r="X22" i="2"/>
  <c r="AQ22" i="2" s="1"/>
  <c r="R22" i="2"/>
  <c r="AN22" i="2" s="1"/>
  <c r="AD18" i="2"/>
  <c r="AT18" i="2" s="1"/>
  <c r="X18" i="2"/>
  <c r="AQ18" i="2" s="1"/>
  <c r="R18" i="2"/>
  <c r="AN18" i="2" s="1"/>
  <c r="AD14" i="2"/>
  <c r="AT14" i="2" s="1"/>
  <c r="X14" i="2"/>
  <c r="AQ14" i="2" s="1"/>
  <c r="R14" i="2"/>
  <c r="AN14" i="2" s="1"/>
  <c r="AD10" i="2"/>
  <c r="AT10" i="2" s="1"/>
  <c r="X10" i="2"/>
  <c r="AQ10" i="2" s="1"/>
  <c r="R10" i="2"/>
  <c r="AN10" i="2" s="1"/>
  <c r="AD6" i="2"/>
  <c r="AT6" i="2" s="1"/>
  <c r="X6" i="2"/>
  <c r="AQ6" i="2" s="1"/>
  <c r="R6" i="2"/>
  <c r="AN6" i="2" s="1"/>
  <c r="AD2" i="2"/>
  <c r="AT2" i="2" s="1"/>
  <c r="X2" i="2"/>
  <c r="AQ2" i="2" s="1"/>
  <c r="R2" i="2"/>
  <c r="AN2" i="2" s="1"/>
  <c r="N25" i="2"/>
  <c r="N20" i="2"/>
  <c r="N15" i="2"/>
  <c r="N9" i="2"/>
  <c r="N4" i="2"/>
  <c r="Z2" i="2"/>
  <c r="T2" i="2"/>
  <c r="N2" i="2"/>
  <c r="Z126" i="2"/>
  <c r="T126" i="2"/>
  <c r="Z122" i="2"/>
  <c r="T122" i="2"/>
  <c r="Z118" i="2"/>
  <c r="T118" i="2"/>
  <c r="Z114" i="2"/>
  <c r="T114" i="2"/>
  <c r="Z110" i="2"/>
  <c r="T110" i="2"/>
  <c r="Z106" i="2"/>
  <c r="T106" i="2"/>
  <c r="Z102" i="2"/>
  <c r="T102" i="2"/>
  <c r="Z98" i="2"/>
  <c r="T98" i="2"/>
  <c r="Z94" i="2"/>
  <c r="T94" i="2"/>
  <c r="Z90" i="2"/>
  <c r="T90" i="2"/>
  <c r="Z86" i="2"/>
  <c r="T86" i="2"/>
  <c r="Z82" i="2"/>
  <c r="T82" i="2"/>
  <c r="Z78" i="2"/>
  <c r="T78" i="2"/>
  <c r="Z74" i="2"/>
  <c r="T74" i="2"/>
  <c r="Z70" i="2"/>
  <c r="T70" i="2"/>
  <c r="Z66" i="2"/>
  <c r="T66" i="2"/>
  <c r="Z62" i="2"/>
  <c r="T62" i="2"/>
  <c r="Z58" i="2"/>
  <c r="T58" i="2"/>
  <c r="Z54" i="2"/>
  <c r="T54" i="2"/>
  <c r="Z50" i="2"/>
  <c r="T50" i="2"/>
  <c r="Z46" i="2"/>
  <c r="T46" i="2"/>
  <c r="Z42" i="2"/>
  <c r="T42" i="2"/>
  <c r="Z38" i="2"/>
  <c r="T38" i="2"/>
  <c r="Z34" i="2"/>
  <c r="T34" i="2"/>
  <c r="Z30" i="2"/>
  <c r="T30" i="2"/>
  <c r="Z26" i="2"/>
  <c r="T26" i="2"/>
  <c r="N26" i="2"/>
  <c r="Z22" i="2"/>
  <c r="T22" i="2"/>
  <c r="N22" i="2"/>
  <c r="Z18" i="2"/>
  <c r="T18" i="2"/>
  <c r="N18" i="2"/>
  <c r="Z14" i="2"/>
  <c r="T14" i="2"/>
  <c r="N14" i="2"/>
  <c r="Z10" i="2"/>
  <c r="T10" i="2"/>
  <c r="N10" i="2"/>
  <c r="Z6" i="2"/>
  <c r="T6" i="2"/>
  <c r="N6" i="2"/>
  <c r="I117" i="2"/>
  <c r="I113" i="2"/>
  <c r="I109" i="2"/>
  <c r="I105" i="2"/>
  <c r="I101" i="2"/>
  <c r="I97" i="2"/>
  <c r="I93" i="2"/>
  <c r="I89" i="2"/>
  <c r="I85" i="2"/>
  <c r="I81" i="2"/>
  <c r="I77" i="2"/>
  <c r="I73" i="2"/>
  <c r="I69" i="2"/>
  <c r="I65" i="2"/>
  <c r="I61" i="2"/>
  <c r="I57" i="2"/>
  <c r="I53" i="2"/>
  <c r="I49" i="2"/>
  <c r="I45" i="2"/>
  <c r="I41" i="2"/>
  <c r="I37" i="2"/>
  <c r="I33" i="2"/>
  <c r="I29" i="2"/>
  <c r="I25" i="2"/>
  <c r="I21" i="2"/>
  <c r="I17" i="2"/>
  <c r="I13" i="2"/>
  <c r="I9" i="2"/>
  <c r="I5" i="2"/>
  <c r="AD129" i="2"/>
  <c r="AT129" i="2" s="1"/>
  <c r="X129" i="2"/>
  <c r="AQ129" i="2" s="1"/>
  <c r="R129" i="2"/>
  <c r="AN129" i="2" s="1"/>
  <c r="AD125" i="2"/>
  <c r="AT125" i="2" s="1"/>
  <c r="X125" i="2"/>
  <c r="AQ125" i="2" s="1"/>
  <c r="R125" i="2"/>
  <c r="AN125" i="2" s="1"/>
  <c r="AD121" i="2"/>
  <c r="AT121" i="2" s="1"/>
  <c r="X121" i="2"/>
  <c r="AQ121" i="2" s="1"/>
  <c r="R121" i="2"/>
  <c r="AN121" i="2" s="1"/>
  <c r="AD117" i="2"/>
  <c r="AT117" i="2" s="1"/>
  <c r="X117" i="2"/>
  <c r="AQ117" i="2" s="1"/>
  <c r="R117" i="2"/>
  <c r="AN117" i="2" s="1"/>
  <c r="AD113" i="2"/>
  <c r="AT113" i="2" s="1"/>
  <c r="X113" i="2"/>
  <c r="AQ113" i="2" s="1"/>
  <c r="R113" i="2"/>
  <c r="AN113" i="2" s="1"/>
  <c r="AD109" i="2"/>
  <c r="AT109" i="2" s="1"/>
  <c r="X109" i="2"/>
  <c r="AQ109" i="2" s="1"/>
  <c r="R109" i="2"/>
  <c r="AN109" i="2" s="1"/>
  <c r="AD105" i="2"/>
  <c r="AT105" i="2" s="1"/>
  <c r="X105" i="2"/>
  <c r="AQ105" i="2" s="1"/>
  <c r="R105" i="2"/>
  <c r="AN105" i="2" s="1"/>
  <c r="AD101" i="2"/>
  <c r="AT101" i="2" s="1"/>
  <c r="X101" i="2"/>
  <c r="AQ101" i="2" s="1"/>
  <c r="R101" i="2"/>
  <c r="AN101" i="2" s="1"/>
  <c r="AD97" i="2"/>
  <c r="AT97" i="2" s="1"/>
  <c r="X97" i="2"/>
  <c r="AQ97" i="2" s="1"/>
  <c r="R97" i="2"/>
  <c r="AN97" i="2" s="1"/>
  <c r="AD93" i="2"/>
  <c r="AT93" i="2" s="1"/>
  <c r="X93" i="2"/>
  <c r="AQ93" i="2" s="1"/>
  <c r="R93" i="2"/>
  <c r="AN93" i="2" s="1"/>
  <c r="AD89" i="2"/>
  <c r="AT89" i="2" s="1"/>
  <c r="X89" i="2"/>
  <c r="AQ89" i="2" s="1"/>
  <c r="R89" i="2"/>
  <c r="AN89" i="2" s="1"/>
  <c r="AD85" i="2"/>
  <c r="AT85" i="2" s="1"/>
  <c r="X85" i="2"/>
  <c r="AQ85" i="2" s="1"/>
  <c r="R85" i="2"/>
  <c r="AN85" i="2" s="1"/>
  <c r="AD81" i="2"/>
  <c r="AT81" i="2" s="1"/>
  <c r="X81" i="2"/>
  <c r="AQ81" i="2" s="1"/>
  <c r="R81" i="2"/>
  <c r="AN81" i="2" s="1"/>
  <c r="AD77" i="2"/>
  <c r="AT77" i="2" s="1"/>
  <c r="X77" i="2"/>
  <c r="AQ77" i="2" s="1"/>
  <c r="R77" i="2"/>
  <c r="AN77" i="2" s="1"/>
  <c r="AD73" i="2"/>
  <c r="AT73" i="2" s="1"/>
  <c r="X73" i="2"/>
  <c r="AQ73" i="2" s="1"/>
  <c r="R73" i="2"/>
  <c r="AN73" i="2" s="1"/>
  <c r="AD69" i="2"/>
  <c r="AT69" i="2" s="1"/>
  <c r="X69" i="2"/>
  <c r="AQ69" i="2" s="1"/>
  <c r="R69" i="2"/>
  <c r="AN69" i="2" s="1"/>
  <c r="AD65" i="2"/>
  <c r="AT65" i="2" s="1"/>
  <c r="X65" i="2"/>
  <c r="AQ65" i="2" s="1"/>
  <c r="R65" i="2"/>
  <c r="AN65" i="2" s="1"/>
  <c r="AD61" i="2"/>
  <c r="AT61" i="2" s="1"/>
  <c r="X61" i="2"/>
  <c r="AQ61" i="2" s="1"/>
  <c r="R61" i="2"/>
  <c r="AN61" i="2" s="1"/>
  <c r="AD57" i="2"/>
  <c r="AT57" i="2" s="1"/>
  <c r="X57" i="2"/>
  <c r="AQ57" i="2" s="1"/>
  <c r="R57" i="2"/>
  <c r="AN57" i="2" s="1"/>
  <c r="AD53" i="2"/>
  <c r="AT53" i="2" s="1"/>
  <c r="X53" i="2"/>
  <c r="AQ53" i="2" s="1"/>
  <c r="R53" i="2"/>
  <c r="AN53" i="2" s="1"/>
  <c r="AD49" i="2"/>
  <c r="AT49" i="2" s="1"/>
  <c r="X49" i="2"/>
  <c r="AQ49" i="2" s="1"/>
  <c r="R49" i="2"/>
  <c r="AN49" i="2" s="1"/>
  <c r="AD45" i="2"/>
  <c r="AT45" i="2" s="1"/>
  <c r="X45" i="2"/>
  <c r="AQ45" i="2" s="1"/>
  <c r="R45" i="2"/>
  <c r="AN45" i="2" s="1"/>
  <c r="AD41" i="2"/>
  <c r="AT41" i="2" s="1"/>
  <c r="X41" i="2"/>
  <c r="AQ41" i="2" s="1"/>
  <c r="R41" i="2"/>
  <c r="AN41" i="2" s="1"/>
  <c r="AD37" i="2"/>
  <c r="AT37" i="2" s="1"/>
  <c r="X37" i="2"/>
  <c r="AQ37" i="2" s="1"/>
  <c r="R37" i="2"/>
  <c r="AN37" i="2" s="1"/>
  <c r="AD33" i="2"/>
  <c r="AT33" i="2" s="1"/>
  <c r="X33" i="2"/>
  <c r="AQ33" i="2" s="1"/>
  <c r="R33" i="2"/>
  <c r="AN33" i="2" s="1"/>
  <c r="AD29" i="2"/>
  <c r="AT29" i="2" s="1"/>
  <c r="X29" i="2"/>
  <c r="AQ29" i="2" s="1"/>
  <c r="R29" i="2"/>
  <c r="AN29" i="2" s="1"/>
  <c r="AD25" i="2"/>
  <c r="AT25" i="2" s="1"/>
  <c r="X25" i="2"/>
  <c r="AQ25" i="2" s="1"/>
  <c r="R25" i="2"/>
  <c r="AN25" i="2" s="1"/>
  <c r="AD21" i="2"/>
  <c r="AT21" i="2" s="1"/>
  <c r="X21" i="2"/>
  <c r="AQ21" i="2" s="1"/>
  <c r="R21" i="2"/>
  <c r="AN21" i="2" s="1"/>
  <c r="AD17" i="2"/>
  <c r="AT17" i="2" s="1"/>
  <c r="X17" i="2"/>
  <c r="AQ17" i="2" s="1"/>
  <c r="R17" i="2"/>
  <c r="AN17" i="2" s="1"/>
  <c r="AD13" i="2"/>
  <c r="AT13" i="2" s="1"/>
  <c r="X13" i="2"/>
  <c r="AQ13" i="2" s="1"/>
  <c r="R13" i="2"/>
  <c r="AN13" i="2" s="1"/>
  <c r="AD9" i="2"/>
  <c r="AT9" i="2" s="1"/>
  <c r="X9" i="2"/>
  <c r="AQ9" i="2" s="1"/>
  <c r="R9" i="2"/>
  <c r="AN9" i="2" s="1"/>
  <c r="AD5" i="2"/>
  <c r="AT5" i="2" s="1"/>
  <c r="X5" i="2"/>
  <c r="AQ5" i="2" s="1"/>
  <c r="R5" i="2"/>
  <c r="AN5" i="2" s="1"/>
  <c r="N117" i="2"/>
  <c r="N113" i="2"/>
  <c r="N109" i="2"/>
  <c r="N105" i="2"/>
  <c r="N101" i="2"/>
  <c r="N97" i="2"/>
  <c r="N93" i="2"/>
  <c r="N89" i="2"/>
  <c r="N85" i="2"/>
  <c r="N81" i="2"/>
  <c r="N77" i="2"/>
  <c r="N73" i="2"/>
  <c r="N69" i="2"/>
  <c r="N65" i="2"/>
  <c r="N61" i="2"/>
  <c r="N57" i="2"/>
  <c r="N53" i="2"/>
  <c r="N49" i="2"/>
  <c r="N45" i="2"/>
  <c r="N41" i="2"/>
  <c r="N37" i="2"/>
  <c r="N33" i="2"/>
  <c r="N29" i="2"/>
  <c r="N24" i="2"/>
  <c r="N19" i="2"/>
  <c r="N13" i="2"/>
  <c r="N8" i="2"/>
  <c r="N3" i="2"/>
  <c r="V26" i="2"/>
  <c r="W26" i="2" s="1"/>
  <c r="AB22" i="2"/>
  <c r="AC22" i="2" s="1"/>
  <c r="P22" i="2"/>
  <c r="V18" i="2"/>
  <c r="W18" i="2" s="1"/>
  <c r="AB14" i="2"/>
  <c r="AC14" i="2" s="1"/>
  <c r="P14" i="2"/>
  <c r="V10" i="2"/>
  <c r="W10" i="2" s="1"/>
  <c r="AB6" i="2"/>
  <c r="AC6" i="2" s="1"/>
  <c r="P6" i="2"/>
  <c r="J129" i="2"/>
  <c r="J125" i="2"/>
  <c r="J121" i="2"/>
  <c r="J128" i="2"/>
  <c r="J124" i="2"/>
  <c r="J120" i="2"/>
  <c r="J116" i="2"/>
  <c r="J112" i="2"/>
  <c r="J108" i="2"/>
  <c r="J104" i="2"/>
  <c r="J100" i="2"/>
  <c r="J96" i="2"/>
  <c r="J92" i="2"/>
  <c r="J88" i="2"/>
  <c r="J84" i="2"/>
  <c r="J80" i="2"/>
  <c r="J76" i="2"/>
  <c r="V24" i="2"/>
  <c r="W24" i="2" s="1"/>
  <c r="AB20" i="2"/>
  <c r="AC20" i="2" s="1"/>
  <c r="P20" i="2"/>
  <c r="V16" i="2"/>
  <c r="W16" i="2" s="1"/>
  <c r="AB8" i="2"/>
  <c r="AC8" i="2" s="1"/>
  <c r="P8" i="2"/>
  <c r="V4" i="2"/>
  <c r="W4" i="2" s="1"/>
  <c r="AB23" i="2"/>
  <c r="AC23" i="2" s="1"/>
  <c r="P23" i="2"/>
  <c r="V19" i="2"/>
  <c r="W19" i="2" s="1"/>
  <c r="AB15" i="2"/>
  <c r="AC15" i="2" s="1"/>
  <c r="P15" i="2"/>
  <c r="V7" i="2"/>
  <c r="W7" i="2" s="1"/>
  <c r="AB3" i="2"/>
  <c r="AC3" i="2" s="1"/>
  <c r="P3" i="2"/>
  <c r="J68" i="2"/>
  <c r="J60" i="2"/>
  <c r="J52" i="2"/>
  <c r="J44" i="2"/>
  <c r="J36" i="2"/>
  <c r="J28" i="2"/>
  <c r="J123" i="2"/>
  <c r="J115" i="2"/>
  <c r="J107" i="2"/>
  <c r="J99" i="2"/>
  <c r="J91" i="2"/>
  <c r="J83" i="2"/>
  <c r="J75" i="2"/>
  <c r="J67" i="2"/>
  <c r="J59" i="2"/>
  <c r="J51" i="2"/>
  <c r="J43" i="2"/>
  <c r="J35" i="2"/>
  <c r="J27" i="2"/>
  <c r="J122" i="2"/>
  <c r="J114" i="2"/>
  <c r="J106" i="2"/>
  <c r="J98" i="2"/>
  <c r="J90" i="2"/>
  <c r="J82" i="2"/>
  <c r="J74" i="2"/>
  <c r="J66" i="2"/>
  <c r="J58" i="2"/>
  <c r="J50" i="2"/>
  <c r="J42" i="2"/>
  <c r="J34" i="2"/>
  <c r="J117" i="2"/>
  <c r="J109" i="2"/>
  <c r="J101" i="2"/>
  <c r="J93" i="2"/>
  <c r="J85" i="2"/>
  <c r="J77" i="2"/>
  <c r="J69" i="2"/>
  <c r="J61" i="2"/>
  <c r="J53" i="2"/>
  <c r="J45" i="2"/>
  <c r="J37" i="2"/>
  <c r="J29" i="2"/>
  <c r="J21" i="2"/>
  <c r="J13" i="2"/>
  <c r="J5" i="2"/>
  <c r="AB26" i="2"/>
  <c r="AC26" i="2" s="1"/>
  <c r="P26" i="2"/>
  <c r="V22" i="2"/>
  <c r="W22" i="2" s="1"/>
  <c r="AB18" i="2"/>
  <c r="AC18" i="2" s="1"/>
  <c r="P18" i="2"/>
  <c r="V14" i="2"/>
  <c r="W14" i="2" s="1"/>
  <c r="AB10" i="2"/>
  <c r="AC10" i="2" s="1"/>
  <c r="P10" i="2"/>
  <c r="V6" i="2"/>
  <c r="W6" i="2" s="1"/>
  <c r="AB24" i="2"/>
  <c r="AC24" i="2" s="1"/>
  <c r="P24" i="2"/>
  <c r="V20" i="2"/>
  <c r="W20" i="2" s="1"/>
  <c r="AB16" i="2"/>
  <c r="AC16" i="2" s="1"/>
  <c r="P16" i="2"/>
  <c r="V8" i="2"/>
  <c r="W8" i="2" s="1"/>
  <c r="AB4" i="2"/>
  <c r="AC4" i="2" s="1"/>
  <c r="P4" i="2"/>
  <c r="V23" i="2"/>
  <c r="W23" i="2" s="1"/>
  <c r="AB19" i="2"/>
  <c r="AC19" i="2" s="1"/>
  <c r="P19" i="2"/>
  <c r="V15" i="2"/>
  <c r="W15" i="2" s="1"/>
  <c r="AB7" i="2"/>
  <c r="AC7" i="2" s="1"/>
  <c r="P7" i="2"/>
  <c r="V3" i="2"/>
  <c r="W3" i="2" s="1"/>
  <c r="J72" i="2"/>
  <c r="J64" i="2"/>
  <c r="J56" i="2"/>
  <c r="J48" i="2"/>
  <c r="J40" i="2"/>
  <c r="J32" i="2"/>
  <c r="J12" i="2"/>
  <c r="J127" i="2"/>
  <c r="J119" i="2"/>
  <c r="J111" i="2"/>
  <c r="J103" i="2"/>
  <c r="J95" i="2"/>
  <c r="J87" i="2"/>
  <c r="J79" i="2"/>
  <c r="J71" i="2"/>
  <c r="J63" i="2"/>
  <c r="J55" i="2"/>
  <c r="J47" i="2"/>
  <c r="J39" i="2"/>
  <c r="J31" i="2"/>
  <c r="J11" i="2"/>
  <c r="J126" i="2"/>
  <c r="J118" i="2"/>
  <c r="J110" i="2"/>
  <c r="J102" i="2"/>
  <c r="J94" i="2"/>
  <c r="J86" i="2"/>
  <c r="J78" i="2"/>
  <c r="J70" i="2"/>
  <c r="J62" i="2"/>
  <c r="J54" i="2"/>
  <c r="J46" i="2"/>
  <c r="J38" i="2"/>
  <c r="J30" i="2"/>
  <c r="J113" i="2"/>
  <c r="J105" i="2"/>
  <c r="J97" i="2"/>
  <c r="J89" i="2"/>
  <c r="J81" i="2"/>
  <c r="J73" i="2"/>
  <c r="J65" i="2"/>
  <c r="J57" i="2"/>
  <c r="J49" i="2"/>
  <c r="J41" i="2"/>
  <c r="J33" i="2"/>
  <c r="J25" i="2"/>
  <c r="J17" i="2"/>
  <c r="J9" i="2"/>
  <c r="AB2" i="2"/>
  <c r="AC2" i="2" s="1"/>
  <c r="P2" i="2"/>
  <c r="V2" i="2"/>
  <c r="W2" i="2" s="1"/>
  <c r="AA9" i="2" l="1"/>
  <c r="U9" i="2"/>
  <c r="O9" i="2"/>
  <c r="AA25" i="2"/>
  <c r="U25" i="2"/>
  <c r="O25" i="2"/>
  <c r="AA41" i="2"/>
  <c r="U41" i="2"/>
  <c r="O41" i="2"/>
  <c r="AA57" i="2"/>
  <c r="U57" i="2"/>
  <c r="O57" i="2"/>
  <c r="AA73" i="2"/>
  <c r="U73" i="2"/>
  <c r="O73" i="2"/>
  <c r="AA89" i="2"/>
  <c r="U89" i="2"/>
  <c r="O89" i="2"/>
  <c r="AA105" i="2"/>
  <c r="U105" i="2"/>
  <c r="O105" i="2"/>
  <c r="AA30" i="2"/>
  <c r="U30" i="2"/>
  <c r="O30" i="2"/>
  <c r="AA46" i="2"/>
  <c r="U46" i="2"/>
  <c r="O46" i="2"/>
  <c r="AA62" i="2"/>
  <c r="U62" i="2"/>
  <c r="O62" i="2"/>
  <c r="AA78" i="2"/>
  <c r="U78" i="2"/>
  <c r="O78" i="2"/>
  <c r="AA94" i="2"/>
  <c r="U94" i="2"/>
  <c r="O94" i="2"/>
  <c r="AA110" i="2"/>
  <c r="U110" i="2"/>
  <c r="O110" i="2"/>
  <c r="AA126" i="2"/>
  <c r="U126" i="2"/>
  <c r="O126" i="2"/>
  <c r="AA11" i="2"/>
  <c r="U11" i="2"/>
  <c r="O11" i="2"/>
  <c r="AA39" i="2"/>
  <c r="U39" i="2"/>
  <c r="O39" i="2"/>
  <c r="AA55" i="2"/>
  <c r="U55" i="2"/>
  <c r="O55" i="2"/>
  <c r="AA71" i="2"/>
  <c r="U71" i="2"/>
  <c r="O71" i="2"/>
  <c r="AA87" i="2"/>
  <c r="U87" i="2"/>
  <c r="O87" i="2"/>
  <c r="AA103" i="2"/>
  <c r="U103" i="2"/>
  <c r="O103" i="2"/>
  <c r="AA119" i="2"/>
  <c r="U119" i="2"/>
  <c r="O119" i="2"/>
  <c r="AA32" i="2"/>
  <c r="U32" i="2"/>
  <c r="O32" i="2"/>
  <c r="AA48" i="2"/>
  <c r="U48" i="2"/>
  <c r="O48" i="2"/>
  <c r="AA64" i="2"/>
  <c r="U64" i="2"/>
  <c r="O64" i="2"/>
  <c r="AA13" i="2"/>
  <c r="U13" i="2"/>
  <c r="O13" i="2"/>
  <c r="AA29" i="2"/>
  <c r="U29" i="2"/>
  <c r="O29" i="2"/>
  <c r="AA45" i="2"/>
  <c r="U45" i="2"/>
  <c r="O45" i="2"/>
  <c r="AA61" i="2"/>
  <c r="U61" i="2"/>
  <c r="O61" i="2"/>
  <c r="AA77" i="2"/>
  <c r="U77" i="2"/>
  <c r="O77" i="2"/>
  <c r="AA93" i="2"/>
  <c r="U93" i="2"/>
  <c r="O93" i="2"/>
  <c r="AA109" i="2"/>
  <c r="U109" i="2"/>
  <c r="O109" i="2"/>
  <c r="AA34" i="2"/>
  <c r="U34" i="2"/>
  <c r="O34" i="2"/>
  <c r="AA50" i="2"/>
  <c r="U50" i="2"/>
  <c r="O50" i="2"/>
  <c r="AA66" i="2"/>
  <c r="U66" i="2"/>
  <c r="O66" i="2"/>
  <c r="AA82" i="2"/>
  <c r="U82" i="2"/>
  <c r="O82" i="2"/>
  <c r="AA98" i="2"/>
  <c r="U98" i="2"/>
  <c r="O98" i="2"/>
  <c r="AA114" i="2"/>
  <c r="U114" i="2"/>
  <c r="O114" i="2"/>
  <c r="AA27" i="2"/>
  <c r="U27" i="2"/>
  <c r="O27" i="2"/>
  <c r="AA43" i="2"/>
  <c r="U43" i="2"/>
  <c r="O43" i="2"/>
  <c r="AA59" i="2"/>
  <c r="U59" i="2"/>
  <c r="O59" i="2"/>
  <c r="AA75" i="2"/>
  <c r="U75" i="2"/>
  <c r="O75" i="2"/>
  <c r="AA91" i="2"/>
  <c r="U91" i="2"/>
  <c r="O91" i="2"/>
  <c r="AA107" i="2"/>
  <c r="U107" i="2"/>
  <c r="O107" i="2"/>
  <c r="AA123" i="2"/>
  <c r="U123" i="2"/>
  <c r="O123" i="2"/>
  <c r="AA36" i="2"/>
  <c r="U36" i="2"/>
  <c r="O36" i="2"/>
  <c r="AA52" i="2"/>
  <c r="U52" i="2"/>
  <c r="O52" i="2"/>
  <c r="AA68" i="2"/>
  <c r="U68" i="2"/>
  <c r="O68" i="2"/>
  <c r="AA17" i="2"/>
  <c r="U17" i="2"/>
  <c r="O17" i="2"/>
  <c r="AA33" i="2"/>
  <c r="U33" i="2"/>
  <c r="O33" i="2"/>
  <c r="AA49" i="2"/>
  <c r="U49" i="2"/>
  <c r="O49" i="2"/>
  <c r="AA65" i="2"/>
  <c r="U65" i="2"/>
  <c r="O65" i="2"/>
  <c r="AA81" i="2"/>
  <c r="U81" i="2"/>
  <c r="O81" i="2"/>
  <c r="AA97" i="2"/>
  <c r="U97" i="2"/>
  <c r="O97" i="2"/>
  <c r="AA113" i="2"/>
  <c r="U113" i="2"/>
  <c r="O113" i="2"/>
  <c r="AA38" i="2"/>
  <c r="U38" i="2"/>
  <c r="O38" i="2"/>
  <c r="AA54" i="2"/>
  <c r="U54" i="2"/>
  <c r="O54" i="2"/>
  <c r="AA70" i="2"/>
  <c r="U70" i="2"/>
  <c r="O70" i="2"/>
  <c r="AA86" i="2"/>
  <c r="U86" i="2"/>
  <c r="O86" i="2"/>
  <c r="AA102" i="2"/>
  <c r="U102" i="2"/>
  <c r="O102" i="2"/>
  <c r="AA118" i="2"/>
  <c r="U118" i="2"/>
  <c r="O118" i="2"/>
  <c r="AA31" i="2"/>
  <c r="U31" i="2"/>
  <c r="O31" i="2"/>
  <c r="AA47" i="2"/>
  <c r="U47" i="2"/>
  <c r="O47" i="2"/>
  <c r="AA63" i="2"/>
  <c r="U63" i="2"/>
  <c r="O63" i="2"/>
  <c r="AA79" i="2"/>
  <c r="U79" i="2"/>
  <c r="O79" i="2"/>
  <c r="AA95" i="2"/>
  <c r="U95" i="2"/>
  <c r="O95" i="2"/>
  <c r="AA111" i="2"/>
  <c r="U111" i="2"/>
  <c r="O111" i="2"/>
  <c r="AA127" i="2"/>
  <c r="U127" i="2"/>
  <c r="O127" i="2"/>
  <c r="AA12" i="2"/>
  <c r="U12" i="2"/>
  <c r="O12" i="2"/>
  <c r="AA40" i="2"/>
  <c r="U40" i="2"/>
  <c r="O40" i="2"/>
  <c r="AA56" i="2"/>
  <c r="U56" i="2"/>
  <c r="O56" i="2"/>
  <c r="AA72" i="2"/>
  <c r="U72" i="2"/>
  <c r="O72" i="2"/>
  <c r="AA5" i="2"/>
  <c r="U5" i="2"/>
  <c r="O5" i="2"/>
  <c r="AA21" i="2"/>
  <c r="U21" i="2"/>
  <c r="O21" i="2"/>
  <c r="AA37" i="2"/>
  <c r="U37" i="2"/>
  <c r="O37" i="2"/>
  <c r="AA53" i="2"/>
  <c r="U53" i="2"/>
  <c r="O53" i="2"/>
  <c r="AA69" i="2"/>
  <c r="U69" i="2"/>
  <c r="O69" i="2"/>
  <c r="AA85" i="2"/>
  <c r="U85" i="2"/>
  <c r="O85" i="2"/>
  <c r="AA101" i="2"/>
  <c r="U101" i="2"/>
  <c r="O101" i="2"/>
  <c r="AA117" i="2"/>
  <c r="U117" i="2"/>
  <c r="O117" i="2"/>
  <c r="AA42" i="2"/>
  <c r="U42" i="2"/>
  <c r="O42" i="2"/>
  <c r="AA58" i="2"/>
  <c r="U58" i="2"/>
  <c r="O58" i="2"/>
  <c r="AA74" i="2"/>
  <c r="U74" i="2"/>
  <c r="O74" i="2"/>
  <c r="AA90" i="2"/>
  <c r="U90" i="2"/>
  <c r="O90" i="2"/>
  <c r="AA106" i="2"/>
  <c r="U106" i="2"/>
  <c r="O106" i="2"/>
  <c r="AA122" i="2"/>
  <c r="U122" i="2"/>
  <c r="O122" i="2"/>
  <c r="AA35" i="2"/>
  <c r="U35" i="2"/>
  <c r="O35" i="2"/>
  <c r="AA51" i="2"/>
  <c r="U51" i="2"/>
  <c r="O51" i="2"/>
  <c r="AA67" i="2"/>
  <c r="U67" i="2"/>
  <c r="O67" i="2"/>
  <c r="AA83" i="2"/>
  <c r="U83" i="2"/>
  <c r="O83" i="2"/>
  <c r="AA99" i="2"/>
  <c r="U99" i="2"/>
  <c r="O99" i="2"/>
  <c r="AA115" i="2"/>
  <c r="U115" i="2"/>
  <c r="O115" i="2"/>
  <c r="AA28" i="2"/>
  <c r="U28" i="2"/>
  <c r="O28" i="2"/>
  <c r="AA44" i="2"/>
  <c r="U44" i="2"/>
  <c r="O44" i="2"/>
  <c r="AA60" i="2"/>
  <c r="U60" i="2"/>
  <c r="O60" i="2"/>
  <c r="AA76" i="2"/>
  <c r="U76" i="2"/>
  <c r="O76" i="2"/>
  <c r="AA80" i="2"/>
  <c r="U80" i="2"/>
  <c r="O80" i="2"/>
  <c r="AA84" i="2"/>
  <c r="U84" i="2"/>
  <c r="O84" i="2"/>
  <c r="AA88" i="2"/>
  <c r="U88" i="2"/>
  <c r="O88" i="2"/>
  <c r="AA92" i="2"/>
  <c r="U92" i="2"/>
  <c r="O92" i="2"/>
  <c r="AA96" i="2"/>
  <c r="U96" i="2"/>
  <c r="O96" i="2"/>
  <c r="AA100" i="2"/>
  <c r="U100" i="2"/>
  <c r="O100" i="2"/>
  <c r="AA104" i="2"/>
  <c r="U104" i="2"/>
  <c r="O104" i="2"/>
  <c r="AA108" i="2"/>
  <c r="U108" i="2"/>
  <c r="O108" i="2"/>
  <c r="AA112" i="2"/>
  <c r="U112" i="2"/>
  <c r="O112" i="2"/>
  <c r="AA116" i="2"/>
  <c r="U116" i="2"/>
  <c r="O116" i="2"/>
  <c r="AA120" i="2"/>
  <c r="U120" i="2"/>
  <c r="O120" i="2"/>
  <c r="AA124" i="2"/>
  <c r="U124" i="2"/>
  <c r="O124" i="2"/>
  <c r="AA128" i="2"/>
  <c r="U128" i="2"/>
  <c r="O128" i="2"/>
  <c r="AA121" i="2"/>
  <c r="U121" i="2"/>
  <c r="O121" i="2"/>
  <c r="AA125" i="2"/>
  <c r="U125" i="2"/>
  <c r="O125" i="2"/>
  <c r="AA129" i="2"/>
  <c r="U129" i="2"/>
  <c r="O129" i="2"/>
  <c r="AB9" i="2"/>
  <c r="AC9" i="2" s="1"/>
  <c r="P9" i="2"/>
  <c r="V25" i="2"/>
  <c r="W25" i="2" s="1"/>
  <c r="AB41" i="2"/>
  <c r="AC41" i="2" s="1"/>
  <c r="P41" i="2"/>
  <c r="V57" i="2"/>
  <c r="W57" i="2" s="1"/>
  <c r="AB73" i="2"/>
  <c r="AC73" i="2" s="1"/>
  <c r="P73" i="2"/>
  <c r="V89" i="2"/>
  <c r="W89" i="2" s="1"/>
  <c r="AB105" i="2"/>
  <c r="AC105" i="2" s="1"/>
  <c r="P105" i="2"/>
  <c r="V30" i="2"/>
  <c r="W30" i="2" s="1"/>
  <c r="AB46" i="2"/>
  <c r="AC46" i="2" s="1"/>
  <c r="P46" i="2"/>
  <c r="V62" i="2"/>
  <c r="W62" i="2" s="1"/>
  <c r="AB78" i="2"/>
  <c r="AC78" i="2" s="1"/>
  <c r="P78" i="2"/>
  <c r="V94" i="2"/>
  <c r="W94" i="2" s="1"/>
  <c r="AB110" i="2"/>
  <c r="AC110" i="2" s="1"/>
  <c r="P110" i="2"/>
  <c r="V126" i="2"/>
  <c r="W126" i="2" s="1"/>
  <c r="AB11" i="2"/>
  <c r="AC11" i="2" s="1"/>
  <c r="P11" i="2"/>
  <c r="V39" i="2"/>
  <c r="W39" i="2" s="1"/>
  <c r="AB55" i="2"/>
  <c r="AC55" i="2" s="1"/>
  <c r="P55" i="2"/>
  <c r="V71" i="2"/>
  <c r="W71" i="2" s="1"/>
  <c r="AB87" i="2"/>
  <c r="AC87" i="2" s="1"/>
  <c r="P87" i="2"/>
  <c r="V103" i="2"/>
  <c r="W103" i="2" s="1"/>
  <c r="AB119" i="2"/>
  <c r="AC119" i="2" s="1"/>
  <c r="P119" i="2"/>
  <c r="V32" i="2"/>
  <c r="W32" i="2" s="1"/>
  <c r="AB48" i="2"/>
  <c r="AC48" i="2" s="1"/>
  <c r="P48" i="2"/>
  <c r="V64" i="2"/>
  <c r="W64" i="2" s="1"/>
  <c r="AB13" i="2"/>
  <c r="AC13" i="2" s="1"/>
  <c r="P13" i="2"/>
  <c r="V29" i="2"/>
  <c r="W29" i="2" s="1"/>
  <c r="AB45" i="2"/>
  <c r="AC45" i="2" s="1"/>
  <c r="P45" i="2"/>
  <c r="V61" i="2"/>
  <c r="W61" i="2" s="1"/>
  <c r="AB77" i="2"/>
  <c r="AC77" i="2" s="1"/>
  <c r="P77" i="2"/>
  <c r="V93" i="2"/>
  <c r="W93" i="2" s="1"/>
  <c r="AB109" i="2"/>
  <c r="AC109" i="2" s="1"/>
  <c r="P109" i="2"/>
  <c r="V34" i="2"/>
  <c r="W34" i="2" s="1"/>
  <c r="AB50" i="2"/>
  <c r="AC50" i="2" s="1"/>
  <c r="P50" i="2"/>
  <c r="V66" i="2"/>
  <c r="W66" i="2" s="1"/>
  <c r="AB82" i="2"/>
  <c r="AC82" i="2" s="1"/>
  <c r="P82" i="2"/>
  <c r="V98" i="2"/>
  <c r="W98" i="2" s="1"/>
  <c r="AB114" i="2"/>
  <c r="AC114" i="2" s="1"/>
  <c r="P114" i="2"/>
  <c r="V27" i="2"/>
  <c r="W27" i="2" s="1"/>
  <c r="AB43" i="2"/>
  <c r="AC43" i="2" s="1"/>
  <c r="P43" i="2"/>
  <c r="V59" i="2"/>
  <c r="W59" i="2" s="1"/>
  <c r="AB75" i="2"/>
  <c r="AC75" i="2" s="1"/>
  <c r="P75" i="2"/>
  <c r="V91" i="2"/>
  <c r="W91" i="2" s="1"/>
  <c r="AB107" i="2"/>
  <c r="AC107" i="2" s="1"/>
  <c r="P107" i="2"/>
  <c r="V123" i="2"/>
  <c r="W123" i="2" s="1"/>
  <c r="AB36" i="2"/>
  <c r="AC36" i="2" s="1"/>
  <c r="P36" i="2"/>
  <c r="V52" i="2"/>
  <c r="W52" i="2" s="1"/>
  <c r="AB68" i="2"/>
  <c r="AC68" i="2" s="1"/>
  <c r="P68" i="2"/>
  <c r="V17" i="2"/>
  <c r="W17" i="2" s="1"/>
  <c r="AB33" i="2"/>
  <c r="AC33" i="2" s="1"/>
  <c r="P33" i="2"/>
  <c r="V49" i="2"/>
  <c r="W49" i="2" s="1"/>
  <c r="AB65" i="2"/>
  <c r="AC65" i="2" s="1"/>
  <c r="P65" i="2"/>
  <c r="V81" i="2"/>
  <c r="W81" i="2" s="1"/>
  <c r="AB97" i="2"/>
  <c r="AC97" i="2" s="1"/>
  <c r="P97" i="2"/>
  <c r="V113" i="2"/>
  <c r="W113" i="2" s="1"/>
  <c r="AB38" i="2"/>
  <c r="AC38" i="2" s="1"/>
  <c r="P38" i="2"/>
  <c r="V54" i="2"/>
  <c r="W54" i="2" s="1"/>
  <c r="AB70" i="2"/>
  <c r="AC70" i="2" s="1"/>
  <c r="P70" i="2"/>
  <c r="V86" i="2"/>
  <c r="W86" i="2" s="1"/>
  <c r="AB102" i="2"/>
  <c r="AC102" i="2" s="1"/>
  <c r="P102" i="2"/>
  <c r="V118" i="2"/>
  <c r="W118" i="2" s="1"/>
  <c r="AB31" i="2"/>
  <c r="AC31" i="2" s="1"/>
  <c r="P31" i="2"/>
  <c r="V47" i="2"/>
  <c r="W47" i="2" s="1"/>
  <c r="AB63" i="2"/>
  <c r="AC63" i="2" s="1"/>
  <c r="P63" i="2"/>
  <c r="V79" i="2"/>
  <c r="W79" i="2" s="1"/>
  <c r="AB95" i="2"/>
  <c r="AC95" i="2" s="1"/>
  <c r="P95" i="2"/>
  <c r="V111" i="2"/>
  <c r="W111" i="2" s="1"/>
  <c r="AB127" i="2"/>
  <c r="AC127" i="2" s="1"/>
  <c r="P127" i="2"/>
  <c r="V12" i="2"/>
  <c r="W12" i="2" s="1"/>
  <c r="AB40" i="2"/>
  <c r="AC40" i="2" s="1"/>
  <c r="P40" i="2"/>
  <c r="V56" i="2"/>
  <c r="W56" i="2" s="1"/>
  <c r="AB72" i="2"/>
  <c r="AC72" i="2" s="1"/>
  <c r="P72" i="2"/>
  <c r="V5" i="2"/>
  <c r="W5" i="2" s="1"/>
  <c r="AB21" i="2"/>
  <c r="AC21" i="2" s="1"/>
  <c r="P21" i="2"/>
  <c r="V37" i="2"/>
  <c r="W37" i="2" s="1"/>
  <c r="AB53" i="2"/>
  <c r="AC53" i="2" s="1"/>
  <c r="P53" i="2"/>
  <c r="V69" i="2"/>
  <c r="W69" i="2" s="1"/>
  <c r="AB85" i="2"/>
  <c r="AC85" i="2" s="1"/>
  <c r="P85" i="2"/>
  <c r="V101" i="2"/>
  <c r="W101" i="2" s="1"/>
  <c r="AB117" i="2"/>
  <c r="AC117" i="2" s="1"/>
  <c r="P117" i="2"/>
  <c r="V42" i="2"/>
  <c r="W42" i="2" s="1"/>
  <c r="AB58" i="2"/>
  <c r="AC58" i="2" s="1"/>
  <c r="P58" i="2"/>
  <c r="V74" i="2"/>
  <c r="W74" i="2" s="1"/>
  <c r="AB90" i="2"/>
  <c r="AC90" i="2" s="1"/>
  <c r="P90" i="2"/>
  <c r="V106" i="2"/>
  <c r="W106" i="2" s="1"/>
  <c r="AB122" i="2"/>
  <c r="AC122" i="2" s="1"/>
  <c r="V9" i="2"/>
  <c r="W9" i="2" s="1"/>
  <c r="AB25" i="2"/>
  <c r="AC25" i="2" s="1"/>
  <c r="P25" i="2"/>
  <c r="V41" i="2"/>
  <c r="W41" i="2" s="1"/>
  <c r="AB57" i="2"/>
  <c r="AC57" i="2" s="1"/>
  <c r="P57" i="2"/>
  <c r="V73" i="2"/>
  <c r="W73" i="2" s="1"/>
  <c r="AB89" i="2"/>
  <c r="AC89" i="2" s="1"/>
  <c r="P89" i="2"/>
  <c r="V105" i="2"/>
  <c r="W105" i="2" s="1"/>
  <c r="AB30" i="2"/>
  <c r="AC30" i="2" s="1"/>
  <c r="P30" i="2"/>
  <c r="V46" i="2"/>
  <c r="W46" i="2" s="1"/>
  <c r="AB62" i="2"/>
  <c r="AC62" i="2" s="1"/>
  <c r="P62" i="2"/>
  <c r="V78" i="2"/>
  <c r="W78" i="2" s="1"/>
  <c r="AB94" i="2"/>
  <c r="AC94" i="2" s="1"/>
  <c r="P94" i="2"/>
  <c r="V110" i="2"/>
  <c r="W110" i="2" s="1"/>
  <c r="AB126" i="2"/>
  <c r="AC126" i="2" s="1"/>
  <c r="P126" i="2"/>
  <c r="V11" i="2"/>
  <c r="W11" i="2" s="1"/>
  <c r="AB39" i="2"/>
  <c r="AC39" i="2" s="1"/>
  <c r="P39" i="2"/>
  <c r="V55" i="2"/>
  <c r="W55" i="2" s="1"/>
  <c r="AB71" i="2"/>
  <c r="AC71" i="2" s="1"/>
  <c r="P71" i="2"/>
  <c r="V87" i="2"/>
  <c r="W87" i="2" s="1"/>
  <c r="AB103" i="2"/>
  <c r="AC103" i="2" s="1"/>
  <c r="P103" i="2"/>
  <c r="V119" i="2"/>
  <c r="W119" i="2" s="1"/>
  <c r="AB32" i="2"/>
  <c r="AC32" i="2" s="1"/>
  <c r="P32" i="2"/>
  <c r="V48" i="2"/>
  <c r="W48" i="2" s="1"/>
  <c r="AB64" i="2"/>
  <c r="AC64" i="2" s="1"/>
  <c r="P64" i="2"/>
  <c r="V13" i="2"/>
  <c r="W13" i="2" s="1"/>
  <c r="AB29" i="2"/>
  <c r="AC29" i="2" s="1"/>
  <c r="P29" i="2"/>
  <c r="V45" i="2"/>
  <c r="W45" i="2" s="1"/>
  <c r="AB61" i="2"/>
  <c r="AC61" i="2" s="1"/>
  <c r="P61" i="2"/>
  <c r="V77" i="2"/>
  <c r="W77" i="2" s="1"/>
  <c r="AB93" i="2"/>
  <c r="AC93" i="2" s="1"/>
  <c r="P93" i="2"/>
  <c r="V109" i="2"/>
  <c r="W109" i="2" s="1"/>
  <c r="AB34" i="2"/>
  <c r="AC34" i="2" s="1"/>
  <c r="P34" i="2"/>
  <c r="V50" i="2"/>
  <c r="W50" i="2" s="1"/>
  <c r="AB66" i="2"/>
  <c r="AC66" i="2" s="1"/>
  <c r="P66" i="2"/>
  <c r="V82" i="2"/>
  <c r="W82" i="2" s="1"/>
  <c r="AB98" i="2"/>
  <c r="AC98" i="2" s="1"/>
  <c r="P98" i="2"/>
  <c r="V114" i="2"/>
  <c r="W114" i="2" s="1"/>
  <c r="AB27" i="2"/>
  <c r="AC27" i="2" s="1"/>
  <c r="P27" i="2"/>
  <c r="V43" i="2"/>
  <c r="W43" i="2" s="1"/>
  <c r="AB59" i="2"/>
  <c r="AC59" i="2" s="1"/>
  <c r="P59" i="2"/>
  <c r="V75" i="2"/>
  <c r="W75" i="2" s="1"/>
  <c r="AB91" i="2"/>
  <c r="AC91" i="2" s="1"/>
  <c r="P91" i="2"/>
  <c r="V107" i="2"/>
  <c r="W107" i="2" s="1"/>
  <c r="AB123" i="2"/>
  <c r="AC123" i="2" s="1"/>
  <c r="P123" i="2"/>
  <c r="V36" i="2"/>
  <c r="W36" i="2" s="1"/>
  <c r="AB52" i="2"/>
  <c r="AC52" i="2" s="1"/>
  <c r="P52" i="2"/>
  <c r="V68" i="2"/>
  <c r="W68" i="2" s="1"/>
  <c r="AB17" i="2"/>
  <c r="AC17" i="2" s="1"/>
  <c r="P17" i="2"/>
  <c r="V33" i="2"/>
  <c r="W33" i="2" s="1"/>
  <c r="AB49" i="2"/>
  <c r="AC49" i="2" s="1"/>
  <c r="P49" i="2"/>
  <c r="V65" i="2"/>
  <c r="W65" i="2" s="1"/>
  <c r="AB81" i="2"/>
  <c r="AC81" i="2" s="1"/>
  <c r="P81" i="2"/>
  <c r="V97" i="2"/>
  <c r="W97" i="2" s="1"/>
  <c r="AB113" i="2"/>
  <c r="AC113" i="2" s="1"/>
  <c r="P113" i="2"/>
  <c r="V38" i="2"/>
  <c r="W38" i="2" s="1"/>
  <c r="AB54" i="2"/>
  <c r="AC54" i="2" s="1"/>
  <c r="P54" i="2"/>
  <c r="V70" i="2"/>
  <c r="W70" i="2" s="1"/>
  <c r="AB86" i="2"/>
  <c r="AC86" i="2" s="1"/>
  <c r="P86" i="2"/>
  <c r="V102" i="2"/>
  <c r="W102" i="2" s="1"/>
  <c r="AB118" i="2"/>
  <c r="AC118" i="2" s="1"/>
  <c r="P118" i="2"/>
  <c r="V31" i="2"/>
  <c r="W31" i="2" s="1"/>
  <c r="AB47" i="2"/>
  <c r="AC47" i="2" s="1"/>
  <c r="P47" i="2"/>
  <c r="V63" i="2"/>
  <c r="W63" i="2" s="1"/>
  <c r="AB79" i="2"/>
  <c r="AC79" i="2" s="1"/>
  <c r="P79" i="2"/>
  <c r="V95" i="2"/>
  <c r="W95" i="2" s="1"/>
  <c r="AB111" i="2"/>
  <c r="AC111" i="2" s="1"/>
  <c r="P111" i="2"/>
  <c r="V127" i="2"/>
  <c r="W127" i="2" s="1"/>
  <c r="AB12" i="2"/>
  <c r="AC12" i="2" s="1"/>
  <c r="P12" i="2"/>
  <c r="V40" i="2"/>
  <c r="W40" i="2" s="1"/>
  <c r="AB56" i="2"/>
  <c r="AC56" i="2" s="1"/>
  <c r="P56" i="2"/>
  <c r="V72" i="2"/>
  <c r="W72" i="2" s="1"/>
  <c r="AB5" i="2"/>
  <c r="AC5" i="2" s="1"/>
  <c r="P5" i="2"/>
  <c r="V21" i="2"/>
  <c r="W21" i="2" s="1"/>
  <c r="AB37" i="2"/>
  <c r="AC37" i="2" s="1"/>
  <c r="P37" i="2"/>
  <c r="V53" i="2"/>
  <c r="W53" i="2" s="1"/>
  <c r="AB69" i="2"/>
  <c r="AC69" i="2" s="1"/>
  <c r="P69" i="2"/>
  <c r="V85" i="2"/>
  <c r="W85" i="2" s="1"/>
  <c r="AB101" i="2"/>
  <c r="AC101" i="2" s="1"/>
  <c r="P101" i="2"/>
  <c r="V117" i="2"/>
  <c r="W117" i="2" s="1"/>
  <c r="AB42" i="2"/>
  <c r="AC42" i="2" s="1"/>
  <c r="P42" i="2"/>
  <c r="V58" i="2"/>
  <c r="W58" i="2" s="1"/>
  <c r="AB74" i="2"/>
  <c r="AC74" i="2" s="1"/>
  <c r="P74" i="2"/>
  <c r="V90" i="2"/>
  <c r="W90" i="2" s="1"/>
  <c r="AB106" i="2"/>
  <c r="AC106" i="2" s="1"/>
  <c r="P106" i="2"/>
  <c r="V122" i="2"/>
  <c r="W122" i="2" s="1"/>
  <c r="P122" i="2"/>
  <c r="V35" i="2"/>
  <c r="W35" i="2" s="1"/>
  <c r="AB51" i="2"/>
  <c r="AC51" i="2" s="1"/>
  <c r="P51" i="2"/>
  <c r="V67" i="2"/>
  <c r="W67" i="2" s="1"/>
  <c r="AB83" i="2"/>
  <c r="AC83" i="2" s="1"/>
  <c r="P83" i="2"/>
  <c r="V99" i="2"/>
  <c r="W99" i="2" s="1"/>
  <c r="AB115" i="2"/>
  <c r="AC115" i="2" s="1"/>
  <c r="P115" i="2"/>
  <c r="V28" i="2"/>
  <c r="W28" i="2" s="1"/>
  <c r="AB44" i="2"/>
  <c r="AC44" i="2" s="1"/>
  <c r="P44" i="2"/>
  <c r="V60" i="2"/>
  <c r="W60" i="2" s="1"/>
  <c r="AB76" i="2"/>
  <c r="AC76" i="2" s="1"/>
  <c r="P76" i="2"/>
  <c r="V80" i="2"/>
  <c r="W80" i="2" s="1"/>
  <c r="AB84" i="2"/>
  <c r="AC84" i="2" s="1"/>
  <c r="P84" i="2"/>
  <c r="V88" i="2"/>
  <c r="W88" i="2" s="1"/>
  <c r="AB92" i="2"/>
  <c r="AC92" i="2" s="1"/>
  <c r="P92" i="2"/>
  <c r="V96" i="2"/>
  <c r="W96" i="2" s="1"/>
  <c r="AB100" i="2"/>
  <c r="AC100" i="2" s="1"/>
  <c r="P100" i="2"/>
  <c r="V104" i="2"/>
  <c r="W104" i="2" s="1"/>
  <c r="AB108" i="2"/>
  <c r="AC108" i="2" s="1"/>
  <c r="P108" i="2"/>
  <c r="V112" i="2"/>
  <c r="W112" i="2" s="1"/>
  <c r="AB116" i="2"/>
  <c r="AC116" i="2" s="1"/>
  <c r="P116" i="2"/>
  <c r="V120" i="2"/>
  <c r="W120" i="2" s="1"/>
  <c r="AB124" i="2"/>
  <c r="AC124" i="2" s="1"/>
  <c r="P124" i="2"/>
  <c r="V128" i="2"/>
  <c r="W128" i="2" s="1"/>
  <c r="AB121" i="2"/>
  <c r="AC121" i="2" s="1"/>
  <c r="P121" i="2"/>
  <c r="V125" i="2"/>
  <c r="W125" i="2" s="1"/>
  <c r="AB129" i="2"/>
  <c r="AC129" i="2" s="1"/>
  <c r="P129" i="2"/>
  <c r="AB35" i="2"/>
  <c r="AC35" i="2" s="1"/>
  <c r="P35" i="2"/>
  <c r="V51" i="2"/>
  <c r="W51" i="2" s="1"/>
  <c r="AB67" i="2"/>
  <c r="AC67" i="2" s="1"/>
  <c r="P67" i="2"/>
  <c r="V83" i="2"/>
  <c r="W83" i="2" s="1"/>
  <c r="AB99" i="2"/>
  <c r="AC99" i="2" s="1"/>
  <c r="P99" i="2"/>
  <c r="V115" i="2"/>
  <c r="W115" i="2" s="1"/>
  <c r="AB28" i="2"/>
  <c r="AC28" i="2" s="1"/>
  <c r="P28" i="2"/>
  <c r="V44" i="2"/>
  <c r="W44" i="2" s="1"/>
  <c r="AB60" i="2"/>
  <c r="AC60" i="2" s="1"/>
  <c r="P60" i="2"/>
  <c r="V76" i="2"/>
  <c r="W76" i="2" s="1"/>
  <c r="AB80" i="2"/>
  <c r="AC80" i="2" s="1"/>
  <c r="P80" i="2"/>
  <c r="V84" i="2"/>
  <c r="W84" i="2" s="1"/>
  <c r="AB88" i="2"/>
  <c r="AC88" i="2" s="1"/>
  <c r="P88" i="2"/>
  <c r="V92" i="2"/>
  <c r="W92" i="2" s="1"/>
  <c r="AB96" i="2"/>
  <c r="AC96" i="2" s="1"/>
  <c r="P96" i="2"/>
  <c r="V100" i="2"/>
  <c r="W100" i="2" s="1"/>
  <c r="AB104" i="2"/>
  <c r="AC104" i="2" s="1"/>
  <c r="P104" i="2"/>
  <c r="V108" i="2"/>
  <c r="W108" i="2" s="1"/>
  <c r="AB112" i="2"/>
  <c r="AC112" i="2" s="1"/>
  <c r="P112" i="2"/>
  <c r="V116" i="2"/>
  <c r="W116" i="2" s="1"/>
  <c r="AB120" i="2"/>
  <c r="AC120" i="2" s="1"/>
  <c r="P120" i="2"/>
  <c r="V124" i="2"/>
  <c r="W124" i="2" s="1"/>
  <c r="AB128" i="2"/>
  <c r="AC128" i="2" s="1"/>
  <c r="P128" i="2"/>
  <c r="V121" i="2"/>
  <c r="W121" i="2" s="1"/>
  <c r="AB125" i="2"/>
  <c r="AC125" i="2" s="1"/>
  <c r="P125" i="2"/>
  <c r="V129" i="2"/>
  <c r="W129" i="2" s="1"/>
  <c r="K125" i="2"/>
  <c r="K128" i="2"/>
  <c r="K120" i="2"/>
  <c r="K112" i="2"/>
  <c r="K104" i="2"/>
  <c r="K96" i="2"/>
  <c r="K88" i="2"/>
  <c r="K80" i="2"/>
  <c r="K60" i="2"/>
  <c r="K28" i="2"/>
  <c r="K99" i="2"/>
  <c r="K67" i="2"/>
  <c r="K35" i="2"/>
  <c r="K106" i="2"/>
  <c r="K74" i="2"/>
  <c r="K42" i="2"/>
  <c r="K101" i="2"/>
  <c r="K69" i="2"/>
  <c r="K37" i="2"/>
  <c r="K5" i="2"/>
  <c r="K56" i="2"/>
  <c r="K12" i="2"/>
  <c r="K111" i="2"/>
  <c r="K79" i="2"/>
  <c r="K47" i="2"/>
  <c r="K118" i="2"/>
  <c r="K86" i="2"/>
  <c r="K54" i="2"/>
  <c r="K113" i="2"/>
  <c r="K81" i="2"/>
  <c r="K49" i="2"/>
  <c r="K17" i="2"/>
  <c r="K52" i="2"/>
  <c r="K123" i="2"/>
  <c r="K91" i="2"/>
  <c r="K59" i="2"/>
  <c r="K27" i="2"/>
  <c r="K98" i="2"/>
  <c r="K66" i="2"/>
  <c r="K34" i="2"/>
  <c r="K93" i="2"/>
  <c r="K61" i="2"/>
  <c r="K29" i="2"/>
  <c r="K64" i="2"/>
  <c r="K32" i="2"/>
  <c r="K103" i="2"/>
  <c r="K71" i="2"/>
  <c r="K39" i="2"/>
  <c r="K126" i="2"/>
  <c r="K94" i="2"/>
  <c r="K62" i="2"/>
  <c r="K30" i="2"/>
  <c r="K89" i="2"/>
  <c r="K57" i="2"/>
  <c r="K25" i="2"/>
  <c r="AS14" i="2"/>
  <c r="AM15" i="2"/>
  <c r="AO69" i="2"/>
  <c r="AO5" i="2"/>
  <c r="AO20" i="2"/>
  <c r="AO95" i="2"/>
  <c r="AO31" i="2"/>
  <c r="AR110" i="2"/>
  <c r="AR46" i="2"/>
  <c r="AL89" i="2"/>
  <c r="AL37" i="2"/>
  <c r="AP14" i="2"/>
  <c r="AR116" i="2"/>
  <c r="AR84" i="2"/>
  <c r="AM19" i="2"/>
  <c r="AR73" i="2"/>
  <c r="AR9" i="2"/>
  <c r="AR16" i="2"/>
  <c r="AR83" i="2"/>
  <c r="AR19" i="2"/>
  <c r="AO102" i="2"/>
  <c r="AO38" i="2"/>
  <c r="AL53" i="2"/>
  <c r="AP18" i="2"/>
  <c r="AO120" i="2"/>
  <c r="AO88" i="2"/>
  <c r="AM23" i="2"/>
  <c r="AO81" i="2"/>
  <c r="AO17" i="2"/>
  <c r="AO32" i="2"/>
  <c r="AO99" i="2"/>
  <c r="AO35" i="2"/>
  <c r="AR114" i="2"/>
  <c r="AR50" i="2"/>
  <c r="AL81" i="2"/>
  <c r="AS10" i="2"/>
  <c r="AL116" i="2"/>
  <c r="AL84" i="2"/>
  <c r="AP15" i="2"/>
  <c r="AR69" i="2"/>
  <c r="AP10" i="2"/>
  <c r="AS3" i="2"/>
  <c r="AO61" i="2"/>
  <c r="AL7" i="2"/>
  <c r="AO12" i="2"/>
  <c r="AO87" i="2"/>
  <c r="AO23" i="2"/>
  <c r="AR102" i="2"/>
  <c r="AR38" i="2"/>
  <c r="AL73" i="2"/>
  <c r="AL49" i="2"/>
  <c r="AM10" i="2"/>
  <c r="AR112" i="2"/>
  <c r="AR80" i="2"/>
  <c r="AS7" i="2"/>
  <c r="AR65" i="2"/>
  <c r="AR72" i="2"/>
  <c r="AR8" i="2"/>
  <c r="AR75" i="2"/>
  <c r="AR11" i="2"/>
  <c r="AO94" i="2"/>
  <c r="AO30" i="2"/>
  <c r="AL19" i="2"/>
  <c r="AM14" i="2"/>
  <c r="AO116" i="2"/>
  <c r="AO84" i="2"/>
  <c r="AS15" i="2"/>
  <c r="AO73" i="2"/>
  <c r="AO9" i="2"/>
  <c r="AM6" i="2"/>
  <c r="AO117" i="2"/>
  <c r="AO53" i="2"/>
  <c r="K129" i="2"/>
  <c r="K121" i="2"/>
  <c r="K124" i="2"/>
  <c r="K116" i="2"/>
  <c r="K108" i="2"/>
  <c r="K100" i="2"/>
  <c r="K92" i="2"/>
  <c r="K84" i="2"/>
  <c r="K76" i="2"/>
  <c r="K44" i="2"/>
  <c r="K115" i="2"/>
  <c r="K83" i="2"/>
  <c r="K51" i="2"/>
  <c r="K122" i="2"/>
  <c r="K90" i="2"/>
  <c r="K58" i="2"/>
  <c r="K117" i="2"/>
  <c r="K85" i="2"/>
  <c r="K53" i="2"/>
  <c r="K21" i="2"/>
  <c r="K72" i="2"/>
  <c r="K40" i="2"/>
  <c r="K127" i="2"/>
  <c r="K95" i="2"/>
  <c r="K63" i="2"/>
  <c r="K31" i="2"/>
  <c r="K102" i="2"/>
  <c r="K70" i="2"/>
  <c r="K38" i="2"/>
  <c r="K97" i="2"/>
  <c r="K65" i="2"/>
  <c r="K33" i="2"/>
  <c r="K68" i="2"/>
  <c r="K36" i="2"/>
  <c r="K107" i="2"/>
  <c r="K75" i="2"/>
  <c r="K43" i="2"/>
  <c r="K114" i="2"/>
  <c r="K82" i="2"/>
  <c r="K50" i="2"/>
  <c r="K109" i="2"/>
  <c r="K77" i="2"/>
  <c r="K45" i="2"/>
  <c r="K13" i="2"/>
  <c r="K48" i="2"/>
  <c r="K119" i="2"/>
  <c r="K87" i="2"/>
  <c r="K55" i="2"/>
  <c r="K11" i="2"/>
  <c r="K110" i="2"/>
  <c r="K78" i="2"/>
  <c r="K46" i="2"/>
  <c r="K105" i="2"/>
  <c r="K73" i="2"/>
  <c r="K41" i="2"/>
  <c r="K9" i="2"/>
  <c r="AP16" i="2"/>
  <c r="AO101" i="2"/>
  <c r="AO37" i="2"/>
  <c r="AO52" i="2"/>
  <c r="AO127" i="2"/>
  <c r="AO63" i="2"/>
  <c r="AL25" i="2"/>
  <c r="AR78" i="2"/>
  <c r="AR18" i="2"/>
  <c r="AL24" i="2"/>
  <c r="AL45" i="2"/>
  <c r="AR121" i="2"/>
  <c r="AR100" i="2"/>
  <c r="AP20" i="2"/>
  <c r="AR105" i="2"/>
  <c r="AR41" i="2"/>
  <c r="AR48" i="2"/>
  <c r="AR115" i="2"/>
  <c r="AR51" i="2"/>
  <c r="AR2" i="2"/>
  <c r="AO70" i="2"/>
  <c r="AL14" i="2"/>
  <c r="AL65" i="2"/>
  <c r="AO125" i="2"/>
  <c r="AO104" i="2"/>
  <c r="AP24" i="2"/>
  <c r="AO113" i="2"/>
  <c r="AO49" i="2"/>
  <c r="AO64" i="2"/>
  <c r="AL5" i="2"/>
  <c r="AO67" i="2"/>
  <c r="AO3" i="2"/>
  <c r="AR82" i="2"/>
  <c r="AO22" i="2"/>
  <c r="AL8" i="2"/>
  <c r="AL121" i="2"/>
  <c r="AL100" i="2"/>
  <c r="AS16" i="2"/>
  <c r="AR101" i="2"/>
  <c r="AS2" i="2"/>
  <c r="AM8" i="2"/>
  <c r="AO93" i="2"/>
  <c r="AO29" i="2"/>
  <c r="AO44" i="2"/>
  <c r="AO119" i="2"/>
  <c r="AO55" i="2"/>
  <c r="AL4" i="2"/>
  <c r="AR70" i="2"/>
  <c r="AO14" i="2"/>
  <c r="AL3" i="2"/>
  <c r="AP2" i="2"/>
  <c r="AR128" i="2"/>
  <c r="AR96" i="2"/>
  <c r="AM16" i="2"/>
  <c r="AR97" i="2"/>
  <c r="AR33" i="2"/>
  <c r="AR107" i="2"/>
  <c r="AO126" i="2"/>
  <c r="AR6" i="2"/>
  <c r="AO121" i="2"/>
  <c r="AM20" i="2"/>
  <c r="AO41" i="2"/>
  <c r="AS23" i="2"/>
  <c r="AO21" i="2"/>
  <c r="AO36" i="2"/>
  <c r="AO111" i="2"/>
  <c r="AO47" i="2"/>
  <c r="AR126" i="2"/>
  <c r="AR62" i="2"/>
  <c r="AL10" i="2"/>
  <c r="AL101" i="2"/>
  <c r="AM26" i="2"/>
  <c r="AR124" i="2"/>
  <c r="AR92" i="2"/>
  <c r="AS4" i="2"/>
  <c r="AR89" i="2"/>
  <c r="AR25" i="2"/>
  <c r="AR32" i="2"/>
  <c r="AR99" i="2"/>
  <c r="AR35" i="2"/>
  <c r="AO118" i="2"/>
  <c r="AO54" i="2"/>
  <c r="AL117" i="2"/>
  <c r="AM2" i="2"/>
  <c r="AM22" i="2"/>
  <c r="AP19" i="2"/>
  <c r="AO77" i="2"/>
  <c r="AO13" i="2"/>
  <c r="AO28" i="2"/>
  <c r="AO103" i="2"/>
  <c r="AO39" i="2"/>
  <c r="AR118" i="2"/>
  <c r="AR54" i="2"/>
  <c r="AL105" i="2"/>
  <c r="AL69" i="2"/>
  <c r="AS18" i="2"/>
  <c r="AR120" i="2"/>
  <c r="AR88" i="2"/>
  <c r="AP23" i="2"/>
  <c r="AR81" i="2"/>
  <c r="AR17" i="2"/>
  <c r="AR24" i="2"/>
  <c r="AR91" i="2"/>
  <c r="AR27" i="2"/>
  <c r="AO110" i="2"/>
  <c r="AO46" i="2"/>
  <c r="AL85" i="2"/>
  <c r="AS22" i="2"/>
  <c r="AO124" i="2"/>
  <c r="AO92" i="2"/>
  <c r="AP4" i="2"/>
  <c r="AO89" i="2"/>
  <c r="AO25" i="2"/>
  <c r="AO40" i="2"/>
  <c r="AO107" i="2"/>
  <c r="AO43" i="2"/>
  <c r="AO65" i="2"/>
  <c r="AO115" i="2"/>
  <c r="AL15" i="2"/>
  <c r="AR58" i="2"/>
  <c r="AL93" i="2"/>
  <c r="AL128" i="2"/>
  <c r="AL88" i="2"/>
  <c r="AR117" i="2"/>
  <c r="AR37" i="2"/>
  <c r="AR52" i="2"/>
  <c r="AR119" i="2"/>
  <c r="AR55" i="2"/>
  <c r="AL2" i="2"/>
  <c r="AO66" i="2"/>
  <c r="AO10" i="2"/>
  <c r="AJ120" i="2"/>
  <c r="AJ88" i="2"/>
  <c r="AJ99" i="2"/>
  <c r="AJ74" i="2"/>
  <c r="AJ37" i="2"/>
  <c r="AJ111" i="2"/>
  <c r="AJ86" i="2"/>
  <c r="AJ49" i="2"/>
  <c r="AJ91" i="2"/>
  <c r="AJ66" i="2"/>
  <c r="AJ29" i="2"/>
  <c r="AJ71" i="2"/>
  <c r="AJ62" i="2"/>
  <c r="AJ25" i="2"/>
  <c r="AJ46" i="2"/>
  <c r="AJ34" i="2"/>
  <c r="AJ94" i="2"/>
  <c r="AS8" i="2"/>
  <c r="AO24" i="2"/>
  <c r="AO27" i="2"/>
  <c r="AR90" i="2"/>
  <c r="AR10" i="2"/>
  <c r="AP6" i="2"/>
  <c r="AL104" i="2"/>
  <c r="AM4" i="2"/>
  <c r="AR61" i="2"/>
  <c r="AL17" i="2"/>
  <c r="AR12" i="2"/>
  <c r="AR79" i="2"/>
  <c r="AR15" i="2"/>
  <c r="AO90" i="2"/>
  <c r="AO26" i="2"/>
  <c r="AJ121" i="2"/>
  <c r="AJ100" i="2"/>
  <c r="AJ44" i="2"/>
  <c r="AJ122" i="2"/>
  <c r="AJ85" i="2"/>
  <c r="AJ40" i="2"/>
  <c r="AJ31" i="2"/>
  <c r="AJ97" i="2"/>
  <c r="AJ36" i="2"/>
  <c r="AJ114" i="2"/>
  <c r="AJ77" i="2"/>
  <c r="AJ119" i="2"/>
  <c r="AJ73" i="2"/>
  <c r="AJ39" i="2"/>
  <c r="AO112" i="2"/>
  <c r="AL23" i="2"/>
  <c r="AO83" i="2"/>
  <c r="AR122" i="2"/>
  <c r="AR34" i="2"/>
  <c r="AS26" i="2"/>
  <c r="AL120" i="2"/>
  <c r="AL76" i="2"/>
  <c r="AR93" i="2"/>
  <c r="AR21" i="2"/>
  <c r="AR36" i="2"/>
  <c r="AR103" i="2"/>
  <c r="AR39" i="2"/>
  <c r="AO114" i="2"/>
  <c r="AO50" i="2"/>
  <c r="AL29" i="2"/>
  <c r="AJ112" i="2"/>
  <c r="AJ80" i="2"/>
  <c r="AJ67" i="2"/>
  <c r="AJ42" i="2"/>
  <c r="AJ5" i="2"/>
  <c r="AJ79" i="2"/>
  <c r="AJ54" i="2"/>
  <c r="AJ59" i="2"/>
  <c r="AJ64" i="2"/>
  <c r="AO56" i="2"/>
  <c r="AR106" i="2"/>
  <c r="AP22" i="2"/>
  <c r="AM24" i="2"/>
  <c r="AR13" i="2"/>
  <c r="AR95" i="2"/>
  <c r="AO106" i="2"/>
  <c r="AJ108" i="2"/>
  <c r="AJ51" i="2"/>
  <c r="AJ72" i="2"/>
  <c r="AJ38" i="2"/>
  <c r="AJ43" i="2"/>
  <c r="AJ48" i="2"/>
  <c r="AJ105" i="2"/>
  <c r="AR40" i="2"/>
  <c r="AR43" i="2"/>
  <c r="AO62" i="2"/>
  <c r="AL33" i="2"/>
  <c r="AO100" i="2"/>
  <c r="AO105" i="2"/>
  <c r="AP26" i="2"/>
  <c r="AO85" i="2"/>
  <c r="AO68" i="2"/>
  <c r="AO4" i="2"/>
  <c r="AO79" i="2"/>
  <c r="AO15" i="2"/>
  <c r="AR94" i="2"/>
  <c r="AR30" i="2"/>
  <c r="AL57" i="2"/>
  <c r="AL109" i="2"/>
  <c r="AR129" i="2"/>
  <c r="AR108" i="2"/>
  <c r="AR76" i="2"/>
  <c r="AP3" i="2"/>
  <c r="AR57" i="2"/>
  <c r="AR64" i="2"/>
  <c r="AL16" i="2"/>
  <c r="AR67" i="2"/>
  <c r="AR3" i="2"/>
  <c r="AO86" i="2"/>
  <c r="AR22" i="2"/>
  <c r="AL113" i="2"/>
  <c r="AS6" i="2"/>
  <c r="AS20" i="2"/>
  <c r="AO109" i="2"/>
  <c r="AO45" i="2"/>
  <c r="AO60" i="2"/>
  <c r="AL21" i="2"/>
  <c r="AO71" i="2"/>
  <c r="AO7" i="2"/>
  <c r="AR86" i="2"/>
  <c r="AL26" i="2"/>
  <c r="AL41" i="2"/>
  <c r="AL77" i="2"/>
  <c r="AR125" i="2"/>
  <c r="AR104" i="2"/>
  <c r="AS24" i="2"/>
  <c r="AR113" i="2"/>
  <c r="AR49" i="2"/>
  <c r="AR56" i="2"/>
  <c r="AR123" i="2"/>
  <c r="AR59" i="2"/>
  <c r="AL20" i="2"/>
  <c r="AO78" i="2"/>
  <c r="AO18" i="2"/>
  <c r="AL97" i="2"/>
  <c r="AO129" i="2"/>
  <c r="AO108" i="2"/>
  <c r="AO76" i="2"/>
  <c r="AM3" i="2"/>
  <c r="AO57" i="2"/>
  <c r="AO72" i="2"/>
  <c r="AO8" i="2"/>
  <c r="AO75" i="2"/>
  <c r="AO80" i="2"/>
  <c r="AO48" i="2"/>
  <c r="AO51" i="2"/>
  <c r="AR98" i="2"/>
  <c r="AL18" i="2"/>
  <c r="AM18" i="2"/>
  <c r="AL108" i="2"/>
  <c r="AP8" i="2"/>
  <c r="AR77" i="2"/>
  <c r="AR5" i="2"/>
  <c r="AR20" i="2"/>
  <c r="AR87" i="2"/>
  <c r="AR23" i="2"/>
  <c r="AO98" i="2"/>
  <c r="AO34" i="2"/>
  <c r="AJ125" i="2"/>
  <c r="AJ104" i="2"/>
  <c r="AJ60" i="2"/>
  <c r="AJ35" i="2"/>
  <c r="AJ101" i="2"/>
  <c r="AJ56" i="2"/>
  <c r="AJ47" i="2"/>
  <c r="AJ113" i="2"/>
  <c r="AJ52" i="2"/>
  <c r="AJ27" i="2"/>
  <c r="AJ93" i="2"/>
  <c r="AJ32" i="2"/>
  <c r="AJ126" i="2"/>
  <c r="AJ89" i="2"/>
  <c r="AJ55" i="2"/>
  <c r="AJ9" i="2"/>
  <c r="AJ103" i="2"/>
  <c r="AO128" i="2"/>
  <c r="AO33" i="2"/>
  <c r="AO91" i="2"/>
  <c r="AO2" i="2"/>
  <c r="AR42" i="2"/>
  <c r="AL61" i="2"/>
  <c r="AL124" i="2"/>
  <c r="AL80" i="2"/>
  <c r="AR109" i="2"/>
  <c r="AR29" i="2"/>
  <c r="AR44" i="2"/>
  <c r="AR111" i="2"/>
  <c r="AR47" i="2"/>
  <c r="AO122" i="2"/>
  <c r="AO58" i="2"/>
  <c r="AL6" i="2"/>
  <c r="AJ116" i="2"/>
  <c r="AJ84" i="2"/>
  <c r="AJ83" i="2"/>
  <c r="AJ58" i="2"/>
  <c r="AJ21" i="2"/>
  <c r="AJ95" i="2"/>
  <c r="AJ70" i="2"/>
  <c r="AJ33" i="2"/>
  <c r="AJ75" i="2"/>
  <c r="AJ50" i="2"/>
  <c r="AJ13" i="2"/>
  <c r="AJ110" i="2"/>
  <c r="AJ61" i="2"/>
  <c r="AJ57" i="2"/>
  <c r="AP7" i="2"/>
  <c r="AO16" i="2"/>
  <c r="AO19" i="2"/>
  <c r="AR74" i="2"/>
  <c r="AO6" i="2"/>
  <c r="AL129" i="2"/>
  <c r="AL96" i="2"/>
  <c r="AS19" i="2"/>
  <c r="AR53" i="2"/>
  <c r="AR68" i="2"/>
  <c r="AR4" i="2"/>
  <c r="AR71" i="2"/>
  <c r="AR7" i="2"/>
  <c r="AO82" i="2"/>
  <c r="AL22" i="2"/>
  <c r="AJ128" i="2"/>
  <c r="AJ96" i="2"/>
  <c r="AJ28" i="2"/>
  <c r="AJ106" i="2"/>
  <c r="AJ69" i="2"/>
  <c r="AJ12" i="2"/>
  <c r="AJ118" i="2"/>
  <c r="AJ81" i="2"/>
  <c r="AJ123" i="2"/>
  <c r="AJ98" i="2"/>
  <c r="AJ30" i="2"/>
  <c r="AO97" i="2"/>
  <c r="AO123" i="2"/>
  <c r="AO11" i="2"/>
  <c r="AR66" i="2"/>
  <c r="AL13" i="2"/>
  <c r="AL125" i="2"/>
  <c r="AL92" i="2"/>
  <c r="AM7" i="2"/>
  <c r="AR45" i="2"/>
  <c r="AR60" i="2"/>
  <c r="AR127" i="2"/>
  <c r="AR63" i="2"/>
  <c r="AL9" i="2"/>
  <c r="AO74" i="2"/>
  <c r="AR14" i="2"/>
  <c r="AJ124" i="2"/>
  <c r="AJ92" i="2"/>
  <c r="AJ115" i="2"/>
  <c r="AJ90" i="2"/>
  <c r="AJ53" i="2"/>
  <c r="AJ127" i="2"/>
  <c r="AJ102" i="2"/>
  <c r="AJ65" i="2"/>
  <c r="AJ107" i="2"/>
  <c r="AJ82" i="2"/>
  <c r="AJ45" i="2"/>
  <c r="AJ87" i="2"/>
  <c r="AJ78" i="2"/>
  <c r="AJ41" i="2"/>
  <c r="AJ17" i="2"/>
  <c r="AO96" i="2"/>
  <c r="AO59" i="2"/>
  <c r="AR26" i="2"/>
  <c r="AL112" i="2"/>
  <c r="AR85" i="2"/>
  <c r="AR28" i="2"/>
  <c r="AR31" i="2"/>
  <c r="AO42" i="2"/>
  <c r="AJ129" i="2"/>
  <c r="AJ76" i="2"/>
  <c r="AJ117" i="2"/>
  <c r="AJ63" i="2"/>
  <c r="AJ68" i="2"/>
  <c r="AJ109" i="2"/>
  <c r="AJ11" i="2"/>
  <c r="Q3" i="2"/>
  <c r="Q26" i="2"/>
  <c r="Q25" i="2"/>
  <c r="Q62" i="2"/>
  <c r="Q71" i="2"/>
  <c r="Q29" i="2"/>
  <c r="Q66" i="2"/>
  <c r="Q91" i="2"/>
  <c r="Q49" i="2"/>
  <c r="Q86" i="2"/>
  <c r="Q111" i="2"/>
  <c r="Q37" i="2"/>
  <c r="Q74" i="2"/>
  <c r="Q99" i="2"/>
  <c r="Q88" i="2"/>
  <c r="Q120" i="2"/>
  <c r="Q121" i="2"/>
  <c r="Q23" i="2"/>
  <c r="Q15" i="2"/>
  <c r="Q73" i="2"/>
  <c r="Q110" i="2"/>
  <c r="Q119" i="2"/>
  <c r="Q77" i="2"/>
  <c r="Q114" i="2"/>
  <c r="Q36" i="2"/>
  <c r="Q97" i="2"/>
  <c r="Q31" i="2"/>
  <c r="Q40" i="2"/>
  <c r="Q85" i="2"/>
  <c r="Q122" i="2"/>
  <c r="Q44" i="2"/>
  <c r="Q24" i="2"/>
  <c r="Q16" i="2"/>
  <c r="Q57" i="2"/>
  <c r="Q94" i="2"/>
  <c r="Q103" i="2"/>
  <c r="Q61" i="2"/>
  <c r="Q98" i="2"/>
  <c r="Q123" i="2"/>
  <c r="Q81" i="2"/>
  <c r="Q118" i="2"/>
  <c r="Q12" i="2"/>
  <c r="Q69" i="2"/>
  <c r="Q106" i="2"/>
  <c r="Q28" i="2"/>
  <c r="Q96" i="2"/>
  <c r="Q128" i="2"/>
  <c r="Q14" i="2"/>
  <c r="Q6" i="2"/>
  <c r="Q105" i="2"/>
  <c r="Q11" i="2"/>
  <c r="Q48" i="2"/>
  <c r="Q109" i="2"/>
  <c r="Q43" i="2"/>
  <c r="Q68" i="2"/>
  <c r="Q38" i="2"/>
  <c r="Q63" i="2"/>
  <c r="Q72" i="2"/>
  <c r="Q117" i="2"/>
  <c r="Q51" i="2"/>
  <c r="Q76" i="2"/>
  <c r="Q108" i="2"/>
  <c r="Q129" i="2"/>
  <c r="Q84" i="2"/>
  <c r="AS46" i="2"/>
  <c r="AM87" i="2"/>
  <c r="AP93" i="2"/>
  <c r="AS75" i="2"/>
  <c r="AM65" i="2"/>
  <c r="AP47" i="2"/>
  <c r="AS21" i="2"/>
  <c r="AM90" i="2"/>
  <c r="AP60" i="2"/>
  <c r="AS116" i="2"/>
  <c r="AP9" i="2"/>
  <c r="AS94" i="2"/>
  <c r="AM32" i="2"/>
  <c r="AP50" i="2"/>
  <c r="AS123" i="2"/>
  <c r="AM113" i="2"/>
  <c r="AP95" i="2"/>
  <c r="AS69" i="2"/>
  <c r="AM35" i="2"/>
  <c r="AP84" i="2"/>
  <c r="AP121" i="2"/>
  <c r="AS78" i="2"/>
  <c r="AM119" i="2"/>
  <c r="AP34" i="2"/>
  <c r="AS107" i="2"/>
  <c r="AM97" i="2"/>
  <c r="AP79" i="2"/>
  <c r="AS53" i="2"/>
  <c r="AM122" i="2"/>
  <c r="AP80" i="2"/>
  <c r="AS124" i="2"/>
  <c r="AM30" i="2"/>
  <c r="AP87" i="2"/>
  <c r="AS93" i="2"/>
  <c r="AM59" i="2"/>
  <c r="AP65" i="2"/>
  <c r="AS47" i="2"/>
  <c r="AM5" i="2"/>
  <c r="AP90" i="2"/>
  <c r="AS60" i="2"/>
  <c r="AM112" i="2"/>
  <c r="AP31" i="2"/>
  <c r="AP44" i="2"/>
  <c r="AS105" i="2"/>
  <c r="AS48" i="2"/>
  <c r="AP123" i="2"/>
  <c r="AP118" i="2"/>
  <c r="AM58" i="2"/>
  <c r="AM84" i="2"/>
  <c r="AS62" i="2"/>
  <c r="AS29" i="2"/>
  <c r="AP68" i="2"/>
  <c r="AP63" i="2"/>
  <c r="AP117" i="2"/>
  <c r="AM96" i="2"/>
  <c r="AM39" i="2"/>
  <c r="AM17" i="2"/>
  <c r="AP53" i="2"/>
  <c r="AS129" i="2"/>
  <c r="AP62" i="2"/>
  <c r="AS119" i="2"/>
  <c r="AM109" i="2"/>
  <c r="AP91" i="2"/>
  <c r="AS97" i="2"/>
  <c r="AM63" i="2"/>
  <c r="AP37" i="2"/>
  <c r="AS122" i="2"/>
  <c r="AM76" i="2"/>
  <c r="AP120" i="2"/>
  <c r="AM25" i="2"/>
  <c r="AP110" i="2"/>
  <c r="AS64" i="2"/>
  <c r="AM66" i="2"/>
  <c r="AP36" i="2"/>
  <c r="AS54" i="2"/>
  <c r="AS5" i="2"/>
  <c r="AS67" i="2"/>
  <c r="AM9" i="2"/>
  <c r="AP61" i="2"/>
  <c r="AM33" i="2"/>
  <c r="AP69" i="2"/>
  <c r="AS108" i="2"/>
  <c r="AP11" i="2"/>
  <c r="AS91" i="2"/>
  <c r="AM12" i="2"/>
  <c r="AP76" i="2"/>
  <c r="AP45" i="2"/>
  <c r="AP102" i="2"/>
  <c r="AS35" i="2"/>
  <c r="AS9" i="2"/>
  <c r="AM78" i="2"/>
  <c r="AP32" i="2"/>
  <c r="AS50" i="2"/>
  <c r="AM107" i="2"/>
  <c r="AP113" i="2"/>
  <c r="AS95" i="2"/>
  <c r="AM53" i="2"/>
  <c r="AP35" i="2"/>
  <c r="AS84" i="2"/>
  <c r="AM124" i="2"/>
  <c r="AS57" i="2"/>
  <c r="AM126" i="2"/>
  <c r="AP13" i="2"/>
  <c r="AS98" i="2"/>
  <c r="AM52" i="2"/>
  <c r="AP70" i="2"/>
  <c r="AS12" i="2"/>
  <c r="AM101" i="2"/>
  <c r="AP83" i="2"/>
  <c r="AS96" i="2"/>
  <c r="AS41" i="2"/>
  <c r="AM110" i="2"/>
  <c r="AP64" i="2"/>
  <c r="AS82" i="2"/>
  <c r="AM36" i="2"/>
  <c r="AP54" i="2"/>
  <c r="AS127" i="2"/>
  <c r="AM85" i="2"/>
  <c r="AP67" i="2"/>
  <c r="AS92" i="2"/>
  <c r="AM121" i="2"/>
  <c r="AP78" i="2"/>
  <c r="AM34" i="2"/>
  <c r="AM42" i="2"/>
  <c r="AP25" i="2"/>
  <c r="AS110" i="2"/>
  <c r="AM48" i="2"/>
  <c r="AP66" i="2"/>
  <c r="AS36" i="2"/>
  <c r="AM38" i="2"/>
  <c r="AP111" i="2"/>
  <c r="AS85" i="2"/>
  <c r="AM51" i="2"/>
  <c r="AP88" i="2"/>
  <c r="AS121" i="2"/>
  <c r="AP73" i="2"/>
  <c r="AS39" i="2"/>
  <c r="AM29" i="2"/>
  <c r="AS17" i="2"/>
  <c r="AP40" i="2"/>
  <c r="AS42" i="2"/>
  <c r="AP100" i="2"/>
  <c r="Q7" i="2"/>
  <c r="Q2" i="2"/>
  <c r="Q22" i="2"/>
  <c r="Q89" i="2"/>
  <c r="Q126" i="2"/>
  <c r="Q32" i="2"/>
  <c r="Q93" i="2"/>
  <c r="Q27" i="2"/>
  <c r="Q52" i="2"/>
  <c r="Q113" i="2"/>
  <c r="Q47" i="2"/>
  <c r="Q56" i="2"/>
  <c r="Q101" i="2"/>
  <c r="Q35" i="2"/>
  <c r="Q60" i="2"/>
  <c r="Q104" i="2"/>
  <c r="Q100" i="2"/>
  <c r="Q4" i="2"/>
  <c r="Q19" i="2"/>
  <c r="Q9" i="2"/>
  <c r="Q46" i="2"/>
  <c r="Q55" i="2"/>
  <c r="Q13" i="2"/>
  <c r="Q50" i="2"/>
  <c r="Q75" i="2"/>
  <c r="Q33" i="2"/>
  <c r="Q70" i="2"/>
  <c r="Q95" i="2"/>
  <c r="Q21" i="2"/>
  <c r="Q58" i="2"/>
  <c r="Q83" i="2"/>
  <c r="Q116" i="2"/>
  <c r="Q20" i="2"/>
  <c r="Q8" i="2"/>
  <c r="Q30" i="2"/>
  <c r="Q39" i="2"/>
  <c r="Q64" i="2"/>
  <c r="Q34" i="2"/>
  <c r="Q59" i="2"/>
  <c r="Q17" i="2"/>
  <c r="Q54" i="2"/>
  <c r="Q79" i="2"/>
  <c r="Q5" i="2"/>
  <c r="Q42" i="2"/>
  <c r="Q67" i="2"/>
  <c r="Q80" i="2"/>
  <c r="Q112" i="2"/>
  <c r="Q18" i="2"/>
  <c r="Q10" i="2"/>
  <c r="Q41" i="2"/>
  <c r="Q78" i="2"/>
  <c r="Q87" i="2"/>
  <c r="Q45" i="2"/>
  <c r="Q82" i="2"/>
  <c r="Q107" i="2"/>
  <c r="Q65" i="2"/>
  <c r="Q102" i="2"/>
  <c r="Q127" i="2"/>
  <c r="Q53" i="2"/>
  <c r="Q90" i="2"/>
  <c r="Q115" i="2"/>
  <c r="Q92" i="2"/>
  <c r="Q124" i="2"/>
  <c r="Q125" i="2"/>
  <c r="AM41" i="2"/>
  <c r="AP126" i="2"/>
  <c r="AS13" i="2"/>
  <c r="AM82" i="2"/>
  <c r="AP52" i="2"/>
  <c r="AS70" i="2"/>
  <c r="AM127" i="2"/>
  <c r="AP101" i="2"/>
  <c r="AS83" i="2"/>
  <c r="AM92" i="2"/>
  <c r="AP125" i="2"/>
  <c r="AM89" i="2"/>
  <c r="AP55" i="2"/>
  <c r="AS61" i="2"/>
  <c r="AM27" i="2"/>
  <c r="AP33" i="2"/>
  <c r="AS118" i="2"/>
  <c r="AM56" i="2"/>
  <c r="AP58" i="2"/>
  <c r="AS28" i="2"/>
  <c r="AM104" i="2"/>
  <c r="AM73" i="2"/>
  <c r="AP39" i="2"/>
  <c r="AS45" i="2"/>
  <c r="AM114" i="2"/>
  <c r="AP17" i="2"/>
  <c r="AS102" i="2"/>
  <c r="AM40" i="2"/>
  <c r="AP42" i="2"/>
  <c r="AS115" i="2"/>
  <c r="AM100" i="2"/>
  <c r="AP41" i="2"/>
  <c r="AS126" i="2"/>
  <c r="AM64" i="2"/>
  <c r="AP82" i="2"/>
  <c r="AS52" i="2"/>
  <c r="AM54" i="2"/>
  <c r="AP127" i="2"/>
  <c r="AS101" i="2"/>
  <c r="AM67" i="2"/>
  <c r="AP92" i="2"/>
  <c r="AS125" i="2"/>
  <c r="AM74" i="2"/>
  <c r="AS112" i="2"/>
  <c r="AM55" i="2"/>
  <c r="AM50" i="2"/>
  <c r="AS38" i="2"/>
  <c r="AS72" i="2"/>
  <c r="AP28" i="2"/>
  <c r="AP128" i="2"/>
  <c r="AM103" i="2"/>
  <c r="AM98" i="2"/>
  <c r="AS86" i="2"/>
  <c r="AS37" i="2"/>
  <c r="AS99" i="2"/>
  <c r="AS120" i="2"/>
  <c r="AS27" i="2"/>
  <c r="AM79" i="2"/>
  <c r="AP115" i="2"/>
  <c r="AS73" i="2"/>
  <c r="AM11" i="2"/>
  <c r="AP29" i="2"/>
  <c r="AS114" i="2"/>
  <c r="AM68" i="2"/>
  <c r="AP86" i="2"/>
  <c r="AS40" i="2"/>
  <c r="AM117" i="2"/>
  <c r="AP99" i="2"/>
  <c r="AS100" i="2"/>
  <c r="AM129" i="2"/>
  <c r="AS30" i="2"/>
  <c r="AM71" i="2"/>
  <c r="AP77" i="2"/>
  <c r="AS59" i="2"/>
  <c r="AM49" i="2"/>
  <c r="AM111" i="2"/>
  <c r="AP85" i="2"/>
  <c r="AM88" i="2"/>
  <c r="AP94" i="2"/>
  <c r="AS43" i="2"/>
  <c r="AM95" i="2"/>
  <c r="AS51" i="2"/>
  <c r="AM57" i="2"/>
  <c r="AP109" i="2"/>
  <c r="AM81" i="2"/>
  <c r="AM106" i="2"/>
  <c r="AP129" i="2"/>
  <c r="AP107" i="2"/>
  <c r="AS56" i="2"/>
  <c r="AP124" i="2"/>
  <c r="AP89" i="2"/>
  <c r="AS55" i="2"/>
  <c r="AM45" i="2"/>
  <c r="AP27" i="2"/>
  <c r="AS33" i="2"/>
  <c r="AM102" i="2"/>
  <c r="AP56" i="2"/>
  <c r="AS58" i="2"/>
  <c r="AM115" i="2"/>
  <c r="AP104" i="2"/>
  <c r="AS128" i="2"/>
  <c r="AP46" i="2"/>
  <c r="AS103" i="2"/>
  <c r="AM93" i="2"/>
  <c r="AP75" i="2"/>
  <c r="AS81" i="2"/>
  <c r="AM47" i="2"/>
  <c r="AP21" i="2"/>
  <c r="AS106" i="2"/>
  <c r="AM60" i="2"/>
  <c r="AP116" i="2"/>
  <c r="AP30" i="2"/>
  <c r="AS87" i="2"/>
  <c r="AM77" i="2"/>
  <c r="AP59" i="2"/>
  <c r="AS65" i="2"/>
  <c r="AM31" i="2"/>
  <c r="AP5" i="2"/>
  <c r="AS90" i="2"/>
  <c r="AM44" i="2"/>
  <c r="AP112" i="2"/>
  <c r="AS89" i="2"/>
  <c r="AS32" i="2"/>
  <c r="AS113" i="2"/>
  <c r="AS104" i="2"/>
  <c r="AM105" i="2"/>
  <c r="AP71" i="2"/>
  <c r="AS77" i="2"/>
  <c r="AM43" i="2"/>
  <c r="AP49" i="2"/>
  <c r="AS31" i="2"/>
  <c r="AM72" i="2"/>
  <c r="AP74" i="2"/>
  <c r="AS44" i="2"/>
  <c r="AM108" i="2"/>
  <c r="AM125" i="2"/>
  <c r="AM62" i="2"/>
  <c r="AP119" i="2"/>
  <c r="AS34" i="2"/>
  <c r="AM91" i="2"/>
  <c r="AP97" i="2"/>
  <c r="AS79" i="2"/>
  <c r="AM37" i="2"/>
  <c r="AP122" i="2"/>
  <c r="AS80" i="2"/>
  <c r="AM120" i="2"/>
  <c r="AM46" i="2"/>
  <c r="AP103" i="2"/>
  <c r="AS109" i="2"/>
  <c r="AM75" i="2"/>
  <c r="AP81" i="2"/>
  <c r="AS63" i="2"/>
  <c r="AM21" i="2"/>
  <c r="AP106" i="2"/>
  <c r="AS76" i="2"/>
  <c r="AM116" i="2"/>
  <c r="AP105" i="2"/>
  <c r="AS71" i="2"/>
  <c r="AM61" i="2"/>
  <c r="AP43" i="2"/>
  <c r="AS49" i="2"/>
  <c r="AM118" i="2"/>
  <c r="AP72" i="2"/>
  <c r="AS74" i="2"/>
  <c r="AM28" i="2"/>
  <c r="AP108" i="2"/>
  <c r="AM80" i="2"/>
  <c r="AP114" i="2"/>
  <c r="AM86" i="2"/>
  <c r="AM99" i="2"/>
  <c r="AP57" i="2"/>
  <c r="AS25" i="2"/>
  <c r="AS111" i="2"/>
  <c r="AM128" i="2"/>
  <c r="AS11" i="2"/>
  <c r="AP98" i="2"/>
  <c r="AM70" i="2"/>
  <c r="AS117" i="2"/>
  <c r="AP96" i="2"/>
  <c r="AM94" i="2"/>
  <c r="AS66" i="2"/>
  <c r="AP38" i="2"/>
  <c r="AM69" i="2"/>
  <c r="AS88" i="2"/>
  <c r="AM13" i="2"/>
  <c r="AS68" i="2"/>
  <c r="AP12" i="2"/>
  <c r="AM83" i="2"/>
  <c r="AP48" i="2"/>
  <c r="AM123" i="2"/>
  <c r="AP51" i="2"/>
  <c r="AU22" i="2" l="1"/>
  <c r="AU6" i="2"/>
  <c r="A5" i="3" s="1"/>
  <c r="AU18" i="2"/>
  <c r="AU20" i="2"/>
  <c r="A19" i="3" s="1"/>
  <c r="AU26" i="2"/>
  <c r="AU16" i="2"/>
  <c r="AU23" i="2"/>
  <c r="AU2" i="2"/>
  <c r="AU15" i="2"/>
  <c r="AU10" i="2"/>
  <c r="AU3" i="2"/>
  <c r="AU4" i="2"/>
  <c r="A3" i="3" s="1"/>
  <c r="AU8" i="2"/>
  <c r="A7" i="3" s="1"/>
  <c r="AU14" i="2"/>
  <c r="A13" i="3" s="1"/>
  <c r="AU24" i="2"/>
  <c r="A23" i="3" s="1"/>
  <c r="AU19" i="2"/>
  <c r="A18" i="3" s="1"/>
  <c r="AU7" i="2"/>
  <c r="AV4" i="2"/>
  <c r="AV6" i="2"/>
  <c r="AV20" i="2"/>
  <c r="AU80" i="2"/>
  <c r="A79" i="3" s="1"/>
  <c r="AU128" i="2"/>
  <c r="A127" i="3" s="1"/>
  <c r="AU28" i="2"/>
  <c r="A27" i="3" s="1"/>
  <c r="AU69" i="2"/>
  <c r="A68" i="3" s="1"/>
  <c r="AU118" i="2"/>
  <c r="A117" i="3" s="1"/>
  <c r="AU123" i="2"/>
  <c r="A122" i="3" s="1"/>
  <c r="AU61" i="2"/>
  <c r="A60" i="3" s="1"/>
  <c r="AU94" i="2"/>
  <c r="A93" i="3" s="1"/>
  <c r="AU116" i="2"/>
  <c r="A115" i="3" s="1"/>
  <c r="AU83" i="2"/>
  <c r="A82" i="3" s="1"/>
  <c r="AU21" i="2"/>
  <c r="A20" i="3" s="1"/>
  <c r="AU70" i="2"/>
  <c r="A69" i="3" s="1"/>
  <c r="AU75" i="2"/>
  <c r="A74" i="3" s="1"/>
  <c r="AU13" i="2"/>
  <c r="A12" i="3" s="1"/>
  <c r="AU46" i="2"/>
  <c r="A45" i="3" s="1"/>
  <c r="AU120" i="2"/>
  <c r="A119" i="3" s="1"/>
  <c r="AU99" i="2"/>
  <c r="A98" i="3" s="1"/>
  <c r="AU37" i="2"/>
  <c r="A36" i="3" s="1"/>
  <c r="AU86" i="2"/>
  <c r="A85" i="3" s="1"/>
  <c r="AU91" i="2"/>
  <c r="A90" i="3" s="1"/>
  <c r="AU29" i="2"/>
  <c r="A28" i="3" s="1"/>
  <c r="AU62" i="2"/>
  <c r="A61" i="3" s="1"/>
  <c r="AU125" i="2"/>
  <c r="A124" i="3" s="1"/>
  <c r="AU108" i="2"/>
  <c r="A107" i="3" s="1"/>
  <c r="AU51" i="2"/>
  <c r="A50" i="3" s="1"/>
  <c r="AU72" i="2"/>
  <c r="A71" i="3" s="1"/>
  <c r="AU38" i="2"/>
  <c r="A37" i="3" s="1"/>
  <c r="AU43" i="2"/>
  <c r="A42" i="3" s="1"/>
  <c r="AU48" i="2"/>
  <c r="A47" i="3" s="1"/>
  <c r="AU105" i="2"/>
  <c r="A104" i="3" s="1"/>
  <c r="AU42" i="2"/>
  <c r="A41" i="3" s="1"/>
  <c r="AU34" i="2"/>
  <c r="A33" i="3" s="1"/>
  <c r="AU121" i="2"/>
  <c r="A120" i="3" s="1"/>
  <c r="AU44" i="2"/>
  <c r="A43" i="3" s="1"/>
  <c r="AU85" i="2"/>
  <c r="A84" i="3" s="1"/>
  <c r="AU31" i="2"/>
  <c r="A30" i="3" s="1"/>
  <c r="AU36" i="2"/>
  <c r="A35" i="3" s="1"/>
  <c r="AU77" i="2"/>
  <c r="A76" i="3" s="1"/>
  <c r="AU110" i="2"/>
  <c r="A109" i="3" s="1"/>
  <c r="AU60" i="2"/>
  <c r="A59" i="3" s="1"/>
  <c r="AU101" i="2"/>
  <c r="A100" i="3" s="1"/>
  <c r="AU47" i="2"/>
  <c r="A46" i="3" s="1"/>
  <c r="AU52" i="2"/>
  <c r="A51" i="3" s="1"/>
  <c r="AU93" i="2"/>
  <c r="A92" i="3" s="1"/>
  <c r="AU126" i="2"/>
  <c r="A125" i="3" s="1"/>
  <c r="AU124" i="2"/>
  <c r="A123" i="3" s="1"/>
  <c r="AU115" i="2"/>
  <c r="A114" i="3" s="1"/>
  <c r="AU53" i="2"/>
  <c r="A52" i="3" s="1"/>
  <c r="AU102" i="2"/>
  <c r="A101" i="3" s="1"/>
  <c r="AU107" i="2"/>
  <c r="A106" i="3" s="1"/>
  <c r="AU45" i="2"/>
  <c r="A44" i="3" s="1"/>
  <c r="AU78" i="2"/>
  <c r="A77" i="3" s="1"/>
  <c r="AU106" i="2"/>
  <c r="A105" i="3" s="1"/>
  <c r="AU12" i="2"/>
  <c r="A11" i="3" s="1"/>
  <c r="AU81" i="2"/>
  <c r="A80" i="3" s="1"/>
  <c r="AU57" i="2"/>
  <c r="A56" i="3" s="1"/>
  <c r="AU95" i="2"/>
  <c r="A94" i="3" s="1"/>
  <c r="AU33" i="2"/>
  <c r="A32" i="3" s="1"/>
  <c r="AU9" i="2"/>
  <c r="A8" i="3" s="1"/>
  <c r="AU88" i="2"/>
  <c r="A87" i="3" s="1"/>
  <c r="AU111" i="2"/>
  <c r="A110" i="3" s="1"/>
  <c r="AU49" i="2"/>
  <c r="A48" i="3" s="1"/>
  <c r="AU66" i="2"/>
  <c r="A65" i="3" s="1"/>
  <c r="AU71" i="2"/>
  <c r="A70" i="3" s="1"/>
  <c r="AU25" i="2"/>
  <c r="A24" i="3" s="1"/>
  <c r="AU129" i="2"/>
  <c r="A128" i="3" s="1"/>
  <c r="AU76" i="2"/>
  <c r="A75" i="3" s="1"/>
  <c r="AU117" i="2"/>
  <c r="A116" i="3" s="1"/>
  <c r="AU63" i="2"/>
  <c r="A62" i="3" s="1"/>
  <c r="AU68" i="2"/>
  <c r="A67" i="3" s="1"/>
  <c r="AU109" i="2"/>
  <c r="A108" i="3" s="1"/>
  <c r="AU11" i="2"/>
  <c r="A10" i="3" s="1"/>
  <c r="AU79" i="2"/>
  <c r="A78" i="3" s="1"/>
  <c r="AU17" i="2"/>
  <c r="A16" i="3" s="1"/>
  <c r="AU39" i="2"/>
  <c r="A38" i="3" s="1"/>
  <c r="AU96" i="2"/>
  <c r="A95" i="3" s="1"/>
  <c r="AU98" i="2"/>
  <c r="A97" i="3" s="1"/>
  <c r="AU103" i="2"/>
  <c r="A102" i="3" s="1"/>
  <c r="AU84" i="2"/>
  <c r="A83" i="3" s="1"/>
  <c r="AU58" i="2"/>
  <c r="A57" i="3" s="1"/>
  <c r="AU50" i="2"/>
  <c r="A49" i="3" s="1"/>
  <c r="AU55" i="2"/>
  <c r="A54" i="3" s="1"/>
  <c r="AU74" i="2"/>
  <c r="A73" i="3" s="1"/>
  <c r="AU112" i="2"/>
  <c r="A111" i="3" s="1"/>
  <c r="AU67" i="2"/>
  <c r="A66" i="3" s="1"/>
  <c r="AU5" i="2"/>
  <c r="A4" i="3" s="1"/>
  <c r="AU54" i="2"/>
  <c r="A53" i="3" s="1"/>
  <c r="AU59" i="2"/>
  <c r="A58" i="3" s="1"/>
  <c r="AU64" i="2"/>
  <c r="A63" i="3" s="1"/>
  <c r="AU30" i="2"/>
  <c r="A29" i="3" s="1"/>
  <c r="AU100" i="2"/>
  <c r="A99" i="3" s="1"/>
  <c r="AU122" i="2"/>
  <c r="A121" i="3" s="1"/>
  <c r="AU40" i="2"/>
  <c r="A39" i="3" s="1"/>
  <c r="AU97" i="2"/>
  <c r="A96" i="3" s="1"/>
  <c r="AU114" i="2"/>
  <c r="A113" i="3" s="1"/>
  <c r="AU119" i="2"/>
  <c r="A118" i="3" s="1"/>
  <c r="AU73" i="2"/>
  <c r="A72" i="3" s="1"/>
  <c r="AU104" i="2"/>
  <c r="A103" i="3" s="1"/>
  <c r="AU35" i="2"/>
  <c r="A34" i="3" s="1"/>
  <c r="AU56" i="2"/>
  <c r="A55" i="3" s="1"/>
  <c r="AU113" i="2"/>
  <c r="A112" i="3" s="1"/>
  <c r="AU27" i="2"/>
  <c r="A26" i="3" s="1"/>
  <c r="AU32" i="2"/>
  <c r="A31" i="3" s="1"/>
  <c r="AU89" i="2"/>
  <c r="A88" i="3" s="1"/>
  <c r="AU92" i="2"/>
  <c r="A91" i="3" s="1"/>
  <c r="AU90" i="2"/>
  <c r="A89" i="3" s="1"/>
  <c r="AU127" i="2"/>
  <c r="A126" i="3" s="1"/>
  <c r="AU65" i="2"/>
  <c r="A64" i="3" s="1"/>
  <c r="AU82" i="2"/>
  <c r="A81" i="3" s="1"/>
  <c r="AU87" i="2"/>
  <c r="A86" i="3" s="1"/>
  <c r="AU41" i="2"/>
  <c r="A40" i="3" s="1"/>
  <c r="AV19" i="2"/>
  <c r="AV8" i="2"/>
  <c r="AV24" i="2"/>
  <c r="AV14" i="2"/>
  <c r="AV128" i="2"/>
  <c r="AV112" i="2"/>
  <c r="AV96" i="2"/>
  <c r="AV80" i="2"/>
  <c r="AV67" i="2"/>
  <c r="AV106" i="2"/>
  <c r="AV42" i="2"/>
  <c r="AV69" i="2"/>
  <c r="AV5" i="2"/>
  <c r="AV12" i="2"/>
  <c r="AV79" i="2"/>
  <c r="AV118" i="2"/>
  <c r="AV17" i="2"/>
  <c r="AV123" i="2"/>
  <c r="AV59" i="2"/>
  <c r="AV98" i="2"/>
  <c r="AV34" i="2"/>
  <c r="AV64" i="2"/>
  <c r="AV103" i="2"/>
  <c r="AV39" i="2"/>
  <c r="AV94" i="2"/>
  <c r="AV30" i="2"/>
  <c r="AV57" i="2"/>
  <c r="AV121" i="2"/>
  <c r="AV116" i="2"/>
  <c r="AV44" i="2"/>
  <c r="AV83" i="2"/>
  <c r="AV122" i="2"/>
  <c r="AV58" i="2"/>
  <c r="AV85" i="2"/>
  <c r="AV40" i="2"/>
  <c r="AV95" i="2"/>
  <c r="AV31" i="2"/>
  <c r="AV70" i="2"/>
  <c r="AV97" i="2"/>
  <c r="AV33" i="2"/>
  <c r="AV36" i="2"/>
  <c r="AV75" i="2"/>
  <c r="AV50" i="2"/>
  <c r="AV77" i="2"/>
  <c r="AV13" i="2"/>
  <c r="AV119" i="2"/>
  <c r="AV55" i="2"/>
  <c r="AV110" i="2"/>
  <c r="AV73" i="2"/>
  <c r="AV120" i="2"/>
  <c r="AV104" i="2"/>
  <c r="AV88" i="2"/>
  <c r="AV60" i="2"/>
  <c r="AV99" i="2"/>
  <c r="AV101" i="2"/>
  <c r="AV37" i="2"/>
  <c r="AV56" i="2"/>
  <c r="AV111" i="2"/>
  <c r="AV47" i="2"/>
  <c r="AV86" i="2"/>
  <c r="AV113" i="2"/>
  <c r="AV49" i="2"/>
  <c r="AV91" i="2"/>
  <c r="AV27" i="2"/>
  <c r="AV93" i="2"/>
  <c r="AV29" i="2"/>
  <c r="AV71" i="2"/>
  <c r="AV126" i="2"/>
  <c r="AV62" i="2"/>
  <c r="AV89" i="2"/>
  <c r="AV25" i="2"/>
  <c r="AV129" i="2"/>
  <c r="AV124" i="2"/>
  <c r="AV108" i="2"/>
  <c r="AV92" i="2"/>
  <c r="AV76" i="2"/>
  <c r="AV51" i="2"/>
  <c r="AV90" i="2"/>
  <c r="AV117" i="2"/>
  <c r="AV53" i="2"/>
  <c r="AV72" i="2"/>
  <c r="AV63" i="2"/>
  <c r="AV102" i="2"/>
  <c r="AV65" i="2"/>
  <c r="AV68" i="2"/>
  <c r="AV107" i="2"/>
  <c r="AV43" i="2"/>
  <c r="AV82" i="2"/>
  <c r="AV109" i="2"/>
  <c r="AV48" i="2"/>
  <c r="AV87" i="2"/>
  <c r="AV11" i="2"/>
  <c r="AV78" i="2"/>
  <c r="AV105" i="2"/>
  <c r="A9" i="3" l="1"/>
  <c r="AV10" i="2"/>
  <c r="A1" i="3"/>
  <c r="AV2" i="2"/>
  <c r="A15" i="3"/>
  <c r="AV16" i="2"/>
  <c r="A6" i="3"/>
  <c r="AV7" i="2"/>
  <c r="A2" i="3"/>
  <c r="AV3" i="2"/>
  <c r="A14" i="3"/>
  <c r="AV15" i="2"/>
  <c r="A22" i="3"/>
  <c r="AV23" i="2"/>
  <c r="A25" i="3"/>
  <c r="AV26" i="2"/>
  <c r="A17" i="3"/>
  <c r="AV18" i="2"/>
  <c r="A21" i="3"/>
  <c r="AV22" i="2"/>
  <c r="AV66" i="2"/>
  <c r="AV74" i="2"/>
  <c r="AV45" i="2"/>
  <c r="AV115" i="2"/>
  <c r="AV32" i="2"/>
  <c r="AV35" i="2"/>
  <c r="AV46" i="2"/>
  <c r="AV21" i="2"/>
  <c r="AV61" i="2"/>
  <c r="AV28" i="2"/>
  <c r="AV41" i="2"/>
  <c r="AV127" i="2"/>
  <c r="AV125" i="2"/>
  <c r="AV52" i="2"/>
  <c r="AV9" i="2"/>
  <c r="AV84" i="2"/>
  <c r="AV81" i="2"/>
  <c r="AV38" i="2"/>
  <c r="AV114" i="2"/>
  <c r="AV100" i="2"/>
  <c r="AV54" i="2"/>
</calcChain>
</file>

<file path=xl/sharedStrings.xml><?xml version="1.0" encoding="utf-8"?>
<sst xmlns="http://schemas.openxmlformats.org/spreadsheetml/2006/main" count="52" uniqueCount="52">
  <si>
    <t>row</t>
  </si>
  <si>
    <t>col</t>
  </si>
  <si>
    <t>grn fsp idx</t>
  </si>
  <si>
    <t>red fsp idx</t>
  </si>
  <si>
    <t>t bias</t>
  </si>
  <si>
    <t>t gain</t>
  </si>
  <si>
    <t>t inv sp mx idx</t>
  </si>
  <si>
    <t>ZMW num</t>
  </si>
  <si>
    <t>g bias</t>
  </si>
  <si>
    <t>g gain</t>
  </si>
  <si>
    <t>g inv sp mx idx</t>
  </si>
  <si>
    <t>a bias</t>
  </si>
  <si>
    <t>a gain</t>
  </si>
  <si>
    <t>a inv sp mx idx</t>
  </si>
  <si>
    <t>c bias</t>
  </si>
  <si>
    <t>c gain</t>
  </si>
  <si>
    <t>c inv sp mx idx</t>
  </si>
  <si>
    <t>row hex</t>
  </si>
  <si>
    <t>col hex</t>
  </si>
  <si>
    <t>grn hex</t>
  </si>
  <si>
    <t>red hex</t>
  </si>
  <si>
    <t>t bias hex</t>
  </si>
  <si>
    <t>t gain hex</t>
  </si>
  <si>
    <t>t ISMI hex</t>
  </si>
  <si>
    <t>g bias hex</t>
  </si>
  <si>
    <t>g gain hex</t>
  </si>
  <si>
    <t>g ISMI hex</t>
  </si>
  <si>
    <t>a bias hex</t>
  </si>
  <si>
    <t>a gain hex</t>
  </si>
  <si>
    <t>a ISMI hex</t>
  </si>
  <si>
    <t>c bias hex</t>
  </si>
  <si>
    <t>c gain hex</t>
  </si>
  <si>
    <t>c ISMI hex</t>
  </si>
  <si>
    <t>DRAM data</t>
  </si>
  <si>
    <t>size</t>
  </si>
  <si>
    <t>Small FP</t>
  </si>
  <si>
    <t>t kinetic trace</t>
  </si>
  <si>
    <t>g kinetic trace</t>
  </si>
  <si>
    <t>a kinetic trace</t>
  </si>
  <si>
    <t>c kinetic trace</t>
  </si>
  <si>
    <t>t ptrace hex</t>
  </si>
  <si>
    <t>t ptrace</t>
  </si>
  <si>
    <t>g ptrace</t>
  </si>
  <si>
    <t>g ptrace hex</t>
  </si>
  <si>
    <t>a ptrace</t>
  </si>
  <si>
    <t>a ptrace hex</t>
  </si>
  <si>
    <t>c ptrace</t>
  </si>
  <si>
    <t>c ptrace hex</t>
  </si>
  <si>
    <t>float</t>
  </si>
  <si>
    <t>hex</t>
  </si>
  <si>
    <t>Truncated num</t>
  </si>
  <si>
    <t>24 bit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</si>
</sst>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wrapText="1"/>
    </xf>
    <xf numFmtId="0" fontId="0" fillId="0" borderId="0" xfId="0" applyNumberFormat="1"/>
    <xf numFmtId="0" fontId="0" fillId="0" borderId="1" xfId="0" applyBorder="1" applyAlignment="1">
      <alignment wrapText="1"/>
    </xf>
    <xf numFmtId="0" fontId="0" fillId="0" borderId="1" xfId="0" applyNumberFormat="1" applyBorder="1"/>
    <xf numFmtId="0" fontId="0" fillId="0" borderId="1" xfId="0" applyBorder="1"/>
  </cellXfs>
  <cellStyles count="1">
    <cellStyle name="Normal" xfId="0" builtinId="0"/>
  </cellStyles>
  <dxfs count="4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border diagonalUp="0" diagonalDown="0">
        <left style="thin">
          <color indexed="64"/>
        </left>
        <right/>
        <top/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bottom" textRotation="0" wrapText="1" indent="0" justifyLastLine="0" shrinkToFit="0" readingOrder="0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Table1" displayName="Table1" ref="A1:AV129" totalsRowShown="0" headerRowDxfId="39">
  <autoFilter ref="A1:AV129"/>
  <tableColumns count="48">
    <tableColumn id="1" name="ZMW num"/>
    <tableColumn id="36" name="Small FP" dataDxfId="38">
      <calculatedColumnFormula>Table1[[#This Row],[ZMW num]]+1</calculatedColumnFormula>
    </tableColumn>
    <tableColumn id="2" name="row"/>
    <tableColumn id="3" name="col"/>
    <tableColumn id="4" name="grn fsp idx"/>
    <tableColumn id="5" name="red fsp idx"/>
    <tableColumn id="37" name="t kinetic trace"/>
    <tableColumn id="6" name="t bias" dataDxfId="0">
      <calculatedColumnFormula>Table1[[#This Row],[ZMW num]]*0.01</calculatedColumnFormula>
    </tableColumn>
    <tableColumn id="7" name="t gain" dataDxfId="37">
      <calculatedColumnFormula>1+Table1[[#This Row],[t bias]]</calculatedColumnFormula>
    </tableColumn>
    <tableColumn id="41" name="t ptrace" dataDxfId="4">
      <calculatedColumnFormula>Table1[[#This Row],[t kinetic trace]]* String2Single(CONCATENATE(LEFT(Single2String(Table1[[#This Row],[t gain]]), 6), "00")) + String2Single(CONCATENATE(LEFT(Single2String(Table1[[#This Row],[t bias]]), 6), "00"))</calculatedColumnFormula>
    </tableColumn>
    <tableColumn id="42" name="t ptrace hex" dataDxfId="36">
      <calculatedColumnFormula>Sng2String(Table1[[#This Row],[t ptrace]])</calculatedColumnFormula>
    </tableColumn>
    <tableColumn id="8" name="t inv sp mx idx" dataDxfId="35">
      <calculatedColumnFormula>MOD(Table1[[#This Row],[ZMW num]], 2^4)</calculatedColumnFormula>
    </tableColumn>
    <tableColumn id="38" name="g kinetic trace"/>
    <tableColumn id="9" name="g bias" dataDxfId="34">
      <calculatedColumnFormula>Table1[[#This Row],[t bias]]+0.5</calculatedColumnFormula>
    </tableColumn>
    <tableColumn id="10" name="g gain" dataDxfId="33">
      <calculatedColumnFormula>Table1[[#This Row],[t gain]]/2</calculatedColumnFormula>
    </tableColumn>
    <tableColumn id="44" name="g ptrace" dataDxfId="3">
      <calculatedColumnFormula>Table1[[#This Row],[g kinetic trace]] * String2Single(CONCATENATE(LEFT(Single2String(Table1[[#This Row],[g gain]]), 6), "00")) + String2Single(CONCATENATE(LEFT(Single2String(Table1[[#This Row],[g bias]]), 6), "00"))</calculatedColumnFormula>
    </tableColumn>
    <tableColumn id="43" name="g ptrace hex" dataDxfId="32">
      <calculatedColumnFormula xml:space="preserve"> Sng2String(Table1[[#This Row],[g ptrace]])</calculatedColumnFormula>
    </tableColumn>
    <tableColumn id="11" name="g inv sp mx idx" dataDxfId="31">
      <calculatedColumnFormula>MOD(Table1[[#This Row],[t inv sp mx idx]]+1, 2^4)</calculatedColumnFormula>
    </tableColumn>
    <tableColumn id="39" name="a kinetic trace"/>
    <tableColumn id="12" name="a bias" dataDxfId="30">
      <calculatedColumnFormula>Table1[[#This Row],[t bias]]+1</calculatedColumnFormula>
    </tableColumn>
    <tableColumn id="13" name="a gain" dataDxfId="29">
      <calculatedColumnFormula>Table1[[#This Row],[t gain]]-0.5</calculatedColumnFormula>
    </tableColumn>
    <tableColumn id="46" name="a ptrace" dataDxfId="2">
      <calculatedColumnFormula>Table1[[#This Row],[a kinetic trace]] * String2Single(CONCATENATE(LEFT(Single2String(Table1[[#This Row],[a gain]]), 6), "00")) + String2Single(CONCATENATE(LEFT(Single2String(Table1[[#This Row],[a bias]]), 6), "00"))</calculatedColumnFormula>
    </tableColumn>
    <tableColumn id="45" name="a ptrace hex" dataDxfId="28">
      <calculatedColumnFormula xml:space="preserve"> Sng2String(Table1[[#This Row],[a ptrace]])</calculatedColumnFormula>
    </tableColumn>
    <tableColumn id="14" name="a inv sp mx idx" dataDxfId="27">
      <calculatedColumnFormula>MOD(Table1[[#This Row],[t inv sp mx idx]]+2, 2^4)</calculatedColumnFormula>
    </tableColumn>
    <tableColumn id="40" name="c kinetic trace"/>
    <tableColumn id="15" name="c bias" dataDxfId="26">
      <calculatedColumnFormula>Table1[[#This Row],[t bias]]</calculatedColumnFormula>
    </tableColumn>
    <tableColumn id="16" name="c gain" dataDxfId="25">
      <calculatedColumnFormula>Table1[[#This Row],[t gain]]</calculatedColumnFormula>
    </tableColumn>
    <tableColumn id="48" name="c ptrace" dataDxfId="1">
      <calculatedColumnFormula>Table1[[#This Row],[c kinetic trace]]* String2Single(CONCATENATE(LEFT(Single2String(Table1[[#This Row],[c gain]]), 6), "00")) + String2Single(CONCATENATE(LEFT(Single2String(Table1[[#This Row],[c bias]]), 6), "00"))</calculatedColumnFormula>
    </tableColumn>
    <tableColumn id="47" name="c ptrace hex" dataDxfId="24">
      <calculatedColumnFormula xml:space="preserve"> Sng2String(Table1[[#This Row],[c ptrace]])</calculatedColumnFormula>
    </tableColumn>
    <tableColumn id="17" name="c inv sp mx idx" dataDxfId="23">
      <calculatedColumnFormula>MOD(Table1[[#This Row],[t inv sp mx idx]]+3, 2^4)</calculatedColumnFormula>
    </tableColumn>
    <tableColumn id="18" name="row hex" dataDxfId="22">
      <calculatedColumnFormula>DEC2HEX(Table1[[#This Row],[row]], 3)</calculatedColumnFormula>
    </tableColumn>
    <tableColumn id="19" name="col hex" dataDxfId="21">
      <calculatedColumnFormula>DEC2HEX(Table1[[#This Row],[col]], 3)</calculatedColumnFormula>
    </tableColumn>
    <tableColumn id="20" name="grn hex" dataDxfId="20">
      <calculatedColumnFormula>DEC2HEX(Table1[[#This Row],[grn fsp idx]], 2)</calculatedColumnFormula>
    </tableColumn>
    <tableColumn id="21" name="red hex" dataDxfId="19">
      <calculatedColumnFormula>DEC2HEX(Table1[[#This Row],[red fsp idx]], 2)</calculatedColumnFormula>
    </tableColumn>
    <tableColumn id="22" name="t bias hex" dataDxfId="18">
      <calculatedColumnFormula xml:space="preserve"> LEFT(Sng2String(Table1[[#This Row],[t bias]]), 6)</calculatedColumnFormula>
    </tableColumn>
    <tableColumn id="23" name="t gain hex" dataDxfId="17">
      <calculatedColumnFormula xml:space="preserve"> LEFT(Sng2String(Table1[[#This Row],[t gain]]), 6)</calculatedColumnFormula>
    </tableColumn>
    <tableColumn id="24" name="t ISMI hex" dataDxfId="16">
      <calculatedColumnFormula>DEC2HEX(Table1[[#This Row],[t inv sp mx idx]], 1)</calculatedColumnFormula>
    </tableColumn>
    <tableColumn id="25" name="g bias hex" dataDxfId="15">
      <calculatedColumnFormula xml:space="preserve"> LEFT(Sng2String(Table1[[#This Row],[g bias]]), 6)</calculatedColumnFormula>
    </tableColumn>
    <tableColumn id="26" name="g gain hex" dataDxfId="14">
      <calculatedColumnFormula xml:space="preserve"> LEFT(Sng2String(Table1[[#This Row],[g gain]]), 6)</calculatedColumnFormula>
    </tableColumn>
    <tableColumn id="27" name="g ISMI hex" dataDxfId="13">
      <calculatedColumnFormula>DEC2HEX(Table1[[#This Row],[g inv sp mx idx]], 1)</calculatedColumnFormula>
    </tableColumn>
    <tableColumn id="28" name="a bias hex" dataDxfId="12">
      <calculatedColumnFormula xml:space="preserve"> LEFT(Sng2String(Table1[[#This Row],[a bias]]), 6)</calculatedColumnFormula>
    </tableColumn>
    <tableColumn id="29" name="a gain hex" dataDxfId="11">
      <calculatedColumnFormula xml:space="preserve"> LEFT(Sng2String(Table1[[#This Row],[a gain]]), 6)</calculatedColumnFormula>
    </tableColumn>
    <tableColumn id="30" name="a ISMI hex" dataDxfId="10">
      <calculatedColumnFormula>DEC2HEX(Table1[[#This Row],[a inv sp mx idx]], 1)</calculatedColumnFormula>
    </tableColumn>
    <tableColumn id="31" name="c bias hex" dataDxfId="9">
      <calculatedColumnFormula xml:space="preserve"> LEFT(Sng2String(Table1[[#This Row],[c bias]]), 6)</calculatedColumnFormula>
    </tableColumn>
    <tableColumn id="32" name="c gain hex" dataDxfId="8">
      <calculatedColumnFormula xml:space="preserve"> LEFT(Sng2String(Table1[[#This Row],[c gain]]), 6)</calculatedColumnFormula>
    </tableColumn>
    <tableColumn id="33" name="c ISMI hex" dataDxfId="7">
      <calculatedColumnFormula>DEC2HEX(Table1[[#This Row],[c inv sp mx idx]], 1)</calculatedColumnFormula>
    </tableColumn>
    <tableColumn id="34" name="DRAM data" dataDxfId="6">
      <calculatedColumnFormula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calculatedColumnFormula>
    </tableColumn>
    <tableColumn id="35" name="size" dataDxfId="5">
      <calculatedColumnFormula>LEN(Table1[[#This Row],[DRAM data]])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56"/>
  <sheetViews>
    <sheetView workbookViewId="0">
      <selection sqref="A1:A256"/>
    </sheetView>
  </sheetViews>
  <sheetFormatPr defaultRowHeight="15" x14ac:dyDescent="0.25"/>
  <sheetData>
    <row r="1" spans="1:1" x14ac:dyDescent="0.25">
      <c r="A1" t="str">
        <f xml:space="preserve"> LEFT(Sng2String(ROW()), 6)</f>
        <v>3F8000</v>
      </c>
    </row>
    <row r="2" spans="1:1" x14ac:dyDescent="0.25">
      <c r="A2" t="str">
        <f t="shared" ref="A2:A65" si="0" xml:space="preserve"> LEFT(Sng2String(ROW()), 6)</f>
        <v>400000</v>
      </c>
    </row>
    <row r="3" spans="1:1" x14ac:dyDescent="0.25">
      <c r="A3" t="str">
        <f t="shared" si="0"/>
        <v>404000</v>
      </c>
    </row>
    <row r="4" spans="1:1" x14ac:dyDescent="0.25">
      <c r="A4" t="str">
        <f t="shared" si="0"/>
        <v>408000</v>
      </c>
    </row>
    <row r="5" spans="1:1" x14ac:dyDescent="0.25">
      <c r="A5" t="str">
        <f t="shared" si="0"/>
        <v>40A000</v>
      </c>
    </row>
    <row r="6" spans="1:1" x14ac:dyDescent="0.25">
      <c r="A6" t="str">
        <f t="shared" si="0"/>
        <v>40C000</v>
      </c>
    </row>
    <row r="7" spans="1:1" x14ac:dyDescent="0.25">
      <c r="A7" t="str">
        <f t="shared" si="0"/>
        <v>40E000</v>
      </c>
    </row>
    <row r="8" spans="1:1" x14ac:dyDescent="0.25">
      <c r="A8" t="str">
        <f t="shared" si="0"/>
        <v>410000</v>
      </c>
    </row>
    <row r="9" spans="1:1" x14ac:dyDescent="0.25">
      <c r="A9" t="str">
        <f t="shared" si="0"/>
        <v>411000</v>
      </c>
    </row>
    <row r="10" spans="1:1" x14ac:dyDescent="0.25">
      <c r="A10" t="str">
        <f t="shared" si="0"/>
        <v>412000</v>
      </c>
    </row>
    <row r="11" spans="1:1" x14ac:dyDescent="0.25">
      <c r="A11" t="str">
        <f t="shared" si="0"/>
        <v>413000</v>
      </c>
    </row>
    <row r="12" spans="1:1" x14ac:dyDescent="0.25">
      <c r="A12" t="str">
        <f t="shared" si="0"/>
        <v>414000</v>
      </c>
    </row>
    <row r="13" spans="1:1" x14ac:dyDescent="0.25">
      <c r="A13" t="str">
        <f t="shared" si="0"/>
        <v>415000</v>
      </c>
    </row>
    <row r="14" spans="1:1" x14ac:dyDescent="0.25">
      <c r="A14" t="str">
        <f t="shared" si="0"/>
        <v>416000</v>
      </c>
    </row>
    <row r="15" spans="1:1" x14ac:dyDescent="0.25">
      <c r="A15" t="str">
        <f t="shared" si="0"/>
        <v>417000</v>
      </c>
    </row>
    <row r="16" spans="1:1" x14ac:dyDescent="0.25">
      <c r="A16" t="str">
        <f t="shared" si="0"/>
        <v>418000</v>
      </c>
    </row>
    <row r="17" spans="1:1" x14ac:dyDescent="0.25">
      <c r="A17" t="str">
        <f t="shared" si="0"/>
        <v>418800</v>
      </c>
    </row>
    <row r="18" spans="1:1" x14ac:dyDescent="0.25">
      <c r="A18" t="str">
        <f t="shared" si="0"/>
        <v>419000</v>
      </c>
    </row>
    <row r="19" spans="1:1" x14ac:dyDescent="0.25">
      <c r="A19" t="str">
        <f t="shared" si="0"/>
        <v>419800</v>
      </c>
    </row>
    <row r="20" spans="1:1" x14ac:dyDescent="0.25">
      <c r="A20" t="str">
        <f t="shared" si="0"/>
        <v>41A000</v>
      </c>
    </row>
    <row r="21" spans="1:1" x14ac:dyDescent="0.25">
      <c r="A21" t="str">
        <f t="shared" si="0"/>
        <v>41A800</v>
      </c>
    </row>
    <row r="22" spans="1:1" x14ac:dyDescent="0.25">
      <c r="A22" t="str">
        <f t="shared" si="0"/>
        <v>41B000</v>
      </c>
    </row>
    <row r="23" spans="1:1" x14ac:dyDescent="0.25">
      <c r="A23" t="str">
        <f t="shared" si="0"/>
        <v>41B800</v>
      </c>
    </row>
    <row r="24" spans="1:1" x14ac:dyDescent="0.25">
      <c r="A24" t="str">
        <f t="shared" si="0"/>
        <v>41C000</v>
      </c>
    </row>
    <row r="25" spans="1:1" x14ac:dyDescent="0.25">
      <c r="A25" t="str">
        <f t="shared" si="0"/>
        <v>41C800</v>
      </c>
    </row>
    <row r="26" spans="1:1" x14ac:dyDescent="0.25">
      <c r="A26" t="str">
        <f t="shared" si="0"/>
        <v>41D000</v>
      </c>
    </row>
    <row r="27" spans="1:1" x14ac:dyDescent="0.25">
      <c r="A27" t="str">
        <f t="shared" si="0"/>
        <v>41D800</v>
      </c>
    </row>
    <row r="28" spans="1:1" x14ac:dyDescent="0.25">
      <c r="A28" t="str">
        <f t="shared" si="0"/>
        <v>41E000</v>
      </c>
    </row>
    <row r="29" spans="1:1" x14ac:dyDescent="0.25">
      <c r="A29" t="str">
        <f t="shared" si="0"/>
        <v>41E800</v>
      </c>
    </row>
    <row r="30" spans="1:1" x14ac:dyDescent="0.25">
      <c r="A30" t="str">
        <f t="shared" si="0"/>
        <v>41F000</v>
      </c>
    </row>
    <row r="31" spans="1:1" x14ac:dyDescent="0.25">
      <c r="A31" t="str">
        <f t="shared" si="0"/>
        <v>41F800</v>
      </c>
    </row>
    <row r="32" spans="1:1" x14ac:dyDescent="0.25">
      <c r="A32" t="str">
        <f t="shared" si="0"/>
        <v>420000</v>
      </c>
    </row>
    <row r="33" spans="1:1" x14ac:dyDescent="0.25">
      <c r="A33" t="str">
        <f t="shared" si="0"/>
        <v>420400</v>
      </c>
    </row>
    <row r="34" spans="1:1" x14ac:dyDescent="0.25">
      <c r="A34" t="str">
        <f t="shared" si="0"/>
        <v>420800</v>
      </c>
    </row>
    <row r="35" spans="1:1" x14ac:dyDescent="0.25">
      <c r="A35" t="str">
        <f t="shared" si="0"/>
        <v>420C00</v>
      </c>
    </row>
    <row r="36" spans="1:1" x14ac:dyDescent="0.25">
      <c r="A36" t="str">
        <f t="shared" si="0"/>
        <v>421000</v>
      </c>
    </row>
    <row r="37" spans="1:1" x14ac:dyDescent="0.25">
      <c r="A37" t="str">
        <f t="shared" si="0"/>
        <v>421400</v>
      </c>
    </row>
    <row r="38" spans="1:1" x14ac:dyDescent="0.25">
      <c r="A38" t="str">
        <f t="shared" si="0"/>
        <v>421800</v>
      </c>
    </row>
    <row r="39" spans="1:1" x14ac:dyDescent="0.25">
      <c r="A39" t="str">
        <f t="shared" si="0"/>
        <v>421C00</v>
      </c>
    </row>
    <row r="40" spans="1:1" x14ac:dyDescent="0.25">
      <c r="A40" t="str">
        <f t="shared" si="0"/>
        <v>422000</v>
      </c>
    </row>
    <row r="41" spans="1:1" x14ac:dyDescent="0.25">
      <c r="A41" t="str">
        <f t="shared" si="0"/>
        <v>422400</v>
      </c>
    </row>
    <row r="42" spans="1:1" x14ac:dyDescent="0.25">
      <c r="A42" t="str">
        <f t="shared" si="0"/>
        <v>422800</v>
      </c>
    </row>
    <row r="43" spans="1:1" x14ac:dyDescent="0.25">
      <c r="A43" t="str">
        <f t="shared" si="0"/>
        <v>422C00</v>
      </c>
    </row>
    <row r="44" spans="1:1" x14ac:dyDescent="0.25">
      <c r="A44" t="str">
        <f t="shared" si="0"/>
        <v>423000</v>
      </c>
    </row>
    <row r="45" spans="1:1" x14ac:dyDescent="0.25">
      <c r="A45" t="str">
        <f t="shared" si="0"/>
        <v>423400</v>
      </c>
    </row>
    <row r="46" spans="1:1" x14ac:dyDescent="0.25">
      <c r="A46" t="str">
        <f t="shared" si="0"/>
        <v>423800</v>
      </c>
    </row>
    <row r="47" spans="1:1" x14ac:dyDescent="0.25">
      <c r="A47" t="str">
        <f t="shared" si="0"/>
        <v>423C00</v>
      </c>
    </row>
    <row r="48" spans="1:1" x14ac:dyDescent="0.25">
      <c r="A48" t="str">
        <f t="shared" si="0"/>
        <v>424000</v>
      </c>
    </row>
    <row r="49" spans="1:1" x14ac:dyDescent="0.25">
      <c r="A49" t="str">
        <f t="shared" si="0"/>
        <v>424400</v>
      </c>
    </row>
    <row r="50" spans="1:1" x14ac:dyDescent="0.25">
      <c r="A50" t="str">
        <f t="shared" si="0"/>
        <v>424800</v>
      </c>
    </row>
    <row r="51" spans="1:1" x14ac:dyDescent="0.25">
      <c r="A51" t="str">
        <f t="shared" si="0"/>
        <v>424C00</v>
      </c>
    </row>
    <row r="52" spans="1:1" x14ac:dyDescent="0.25">
      <c r="A52" t="str">
        <f t="shared" si="0"/>
        <v>425000</v>
      </c>
    </row>
    <row r="53" spans="1:1" x14ac:dyDescent="0.25">
      <c r="A53" t="str">
        <f t="shared" si="0"/>
        <v>425400</v>
      </c>
    </row>
    <row r="54" spans="1:1" x14ac:dyDescent="0.25">
      <c r="A54" t="str">
        <f t="shared" si="0"/>
        <v>425800</v>
      </c>
    </row>
    <row r="55" spans="1:1" x14ac:dyDescent="0.25">
      <c r="A55" t="str">
        <f t="shared" si="0"/>
        <v>425C00</v>
      </c>
    </row>
    <row r="56" spans="1:1" x14ac:dyDescent="0.25">
      <c r="A56" t="str">
        <f t="shared" si="0"/>
        <v>426000</v>
      </c>
    </row>
    <row r="57" spans="1:1" x14ac:dyDescent="0.25">
      <c r="A57" t="str">
        <f t="shared" si="0"/>
        <v>426400</v>
      </c>
    </row>
    <row r="58" spans="1:1" x14ac:dyDescent="0.25">
      <c r="A58" t="str">
        <f t="shared" si="0"/>
        <v>426800</v>
      </c>
    </row>
    <row r="59" spans="1:1" x14ac:dyDescent="0.25">
      <c r="A59" t="str">
        <f t="shared" si="0"/>
        <v>426C00</v>
      </c>
    </row>
    <row r="60" spans="1:1" x14ac:dyDescent="0.25">
      <c r="A60" t="str">
        <f t="shared" si="0"/>
        <v>427000</v>
      </c>
    </row>
    <row r="61" spans="1:1" x14ac:dyDescent="0.25">
      <c r="A61" t="str">
        <f t="shared" si="0"/>
        <v>427400</v>
      </c>
    </row>
    <row r="62" spans="1:1" x14ac:dyDescent="0.25">
      <c r="A62" t="str">
        <f t="shared" si="0"/>
        <v>427800</v>
      </c>
    </row>
    <row r="63" spans="1:1" x14ac:dyDescent="0.25">
      <c r="A63" t="str">
        <f t="shared" si="0"/>
        <v>427C00</v>
      </c>
    </row>
    <row r="64" spans="1:1" x14ac:dyDescent="0.25">
      <c r="A64" t="str">
        <f t="shared" si="0"/>
        <v>428000</v>
      </c>
    </row>
    <row r="65" spans="1:1" x14ac:dyDescent="0.25">
      <c r="A65" t="str">
        <f t="shared" si="0"/>
        <v>428200</v>
      </c>
    </row>
    <row r="66" spans="1:1" x14ac:dyDescent="0.25">
      <c r="A66" t="str">
        <f t="shared" ref="A66:A129" si="1" xml:space="preserve"> LEFT(Sng2String(ROW()), 6)</f>
        <v>428400</v>
      </c>
    </row>
    <row r="67" spans="1:1" x14ac:dyDescent="0.25">
      <c r="A67" t="str">
        <f t="shared" si="1"/>
        <v>428600</v>
      </c>
    </row>
    <row r="68" spans="1:1" x14ac:dyDescent="0.25">
      <c r="A68" t="str">
        <f t="shared" si="1"/>
        <v>428800</v>
      </c>
    </row>
    <row r="69" spans="1:1" x14ac:dyDescent="0.25">
      <c r="A69" t="str">
        <f t="shared" si="1"/>
        <v>428A00</v>
      </c>
    </row>
    <row r="70" spans="1:1" x14ac:dyDescent="0.25">
      <c r="A70" t="str">
        <f t="shared" si="1"/>
        <v>428C00</v>
      </c>
    </row>
    <row r="71" spans="1:1" x14ac:dyDescent="0.25">
      <c r="A71" t="str">
        <f t="shared" si="1"/>
        <v>428E00</v>
      </c>
    </row>
    <row r="72" spans="1:1" x14ac:dyDescent="0.25">
      <c r="A72" t="str">
        <f t="shared" si="1"/>
        <v>429000</v>
      </c>
    </row>
    <row r="73" spans="1:1" x14ac:dyDescent="0.25">
      <c r="A73" t="str">
        <f t="shared" si="1"/>
        <v>429200</v>
      </c>
    </row>
    <row r="74" spans="1:1" x14ac:dyDescent="0.25">
      <c r="A74" t="str">
        <f t="shared" si="1"/>
        <v>429400</v>
      </c>
    </row>
    <row r="75" spans="1:1" x14ac:dyDescent="0.25">
      <c r="A75" t="str">
        <f t="shared" si="1"/>
        <v>429600</v>
      </c>
    </row>
    <row r="76" spans="1:1" x14ac:dyDescent="0.25">
      <c r="A76" t="str">
        <f t="shared" si="1"/>
        <v>429800</v>
      </c>
    </row>
    <row r="77" spans="1:1" x14ac:dyDescent="0.25">
      <c r="A77" t="str">
        <f t="shared" si="1"/>
        <v>429A00</v>
      </c>
    </row>
    <row r="78" spans="1:1" x14ac:dyDescent="0.25">
      <c r="A78" t="str">
        <f t="shared" si="1"/>
        <v>429C00</v>
      </c>
    </row>
    <row r="79" spans="1:1" x14ac:dyDescent="0.25">
      <c r="A79" t="str">
        <f t="shared" si="1"/>
        <v>429E00</v>
      </c>
    </row>
    <row r="80" spans="1:1" x14ac:dyDescent="0.25">
      <c r="A80" t="str">
        <f t="shared" si="1"/>
        <v>42A000</v>
      </c>
    </row>
    <row r="81" spans="1:1" x14ac:dyDescent="0.25">
      <c r="A81" t="str">
        <f t="shared" si="1"/>
        <v>42A200</v>
      </c>
    </row>
    <row r="82" spans="1:1" x14ac:dyDescent="0.25">
      <c r="A82" t="str">
        <f t="shared" si="1"/>
        <v>42A400</v>
      </c>
    </row>
    <row r="83" spans="1:1" x14ac:dyDescent="0.25">
      <c r="A83" t="str">
        <f t="shared" si="1"/>
        <v>42A600</v>
      </c>
    </row>
    <row r="84" spans="1:1" x14ac:dyDescent="0.25">
      <c r="A84" t="str">
        <f t="shared" si="1"/>
        <v>42A800</v>
      </c>
    </row>
    <row r="85" spans="1:1" x14ac:dyDescent="0.25">
      <c r="A85" t="str">
        <f t="shared" si="1"/>
        <v>42AA00</v>
      </c>
    </row>
    <row r="86" spans="1:1" x14ac:dyDescent="0.25">
      <c r="A86" t="str">
        <f t="shared" si="1"/>
        <v>42AC00</v>
      </c>
    </row>
    <row r="87" spans="1:1" x14ac:dyDescent="0.25">
      <c r="A87" t="str">
        <f t="shared" si="1"/>
        <v>42AE00</v>
      </c>
    </row>
    <row r="88" spans="1:1" x14ac:dyDescent="0.25">
      <c r="A88" t="str">
        <f t="shared" si="1"/>
        <v>42B000</v>
      </c>
    </row>
    <row r="89" spans="1:1" x14ac:dyDescent="0.25">
      <c r="A89" t="str">
        <f t="shared" si="1"/>
        <v>42B200</v>
      </c>
    </row>
    <row r="90" spans="1:1" x14ac:dyDescent="0.25">
      <c r="A90" t="str">
        <f t="shared" si="1"/>
        <v>42B400</v>
      </c>
    </row>
    <row r="91" spans="1:1" x14ac:dyDescent="0.25">
      <c r="A91" t="str">
        <f t="shared" si="1"/>
        <v>42B600</v>
      </c>
    </row>
    <row r="92" spans="1:1" x14ac:dyDescent="0.25">
      <c r="A92" t="str">
        <f t="shared" si="1"/>
        <v>42B800</v>
      </c>
    </row>
    <row r="93" spans="1:1" x14ac:dyDescent="0.25">
      <c r="A93" t="str">
        <f t="shared" si="1"/>
        <v>42BA00</v>
      </c>
    </row>
    <row r="94" spans="1:1" x14ac:dyDescent="0.25">
      <c r="A94" t="str">
        <f t="shared" si="1"/>
        <v>42BC00</v>
      </c>
    </row>
    <row r="95" spans="1:1" x14ac:dyDescent="0.25">
      <c r="A95" t="str">
        <f t="shared" si="1"/>
        <v>42BE00</v>
      </c>
    </row>
    <row r="96" spans="1:1" x14ac:dyDescent="0.25">
      <c r="A96" t="str">
        <f t="shared" si="1"/>
        <v>42C000</v>
      </c>
    </row>
    <row r="97" spans="1:1" x14ac:dyDescent="0.25">
      <c r="A97" t="str">
        <f t="shared" si="1"/>
        <v>42C200</v>
      </c>
    </row>
    <row r="98" spans="1:1" x14ac:dyDescent="0.25">
      <c r="A98" t="str">
        <f t="shared" si="1"/>
        <v>42C400</v>
      </c>
    </row>
    <row r="99" spans="1:1" x14ac:dyDescent="0.25">
      <c r="A99" t="str">
        <f t="shared" si="1"/>
        <v>42C600</v>
      </c>
    </row>
    <row r="100" spans="1:1" x14ac:dyDescent="0.25">
      <c r="A100" t="str">
        <f t="shared" si="1"/>
        <v>42C800</v>
      </c>
    </row>
    <row r="101" spans="1:1" x14ac:dyDescent="0.25">
      <c r="A101" t="str">
        <f t="shared" si="1"/>
        <v>42CA00</v>
      </c>
    </row>
    <row r="102" spans="1:1" x14ac:dyDescent="0.25">
      <c r="A102" t="str">
        <f t="shared" si="1"/>
        <v>42CC00</v>
      </c>
    </row>
    <row r="103" spans="1:1" x14ac:dyDescent="0.25">
      <c r="A103" t="str">
        <f t="shared" si="1"/>
        <v>42CE00</v>
      </c>
    </row>
    <row r="104" spans="1:1" x14ac:dyDescent="0.25">
      <c r="A104" t="str">
        <f t="shared" si="1"/>
        <v>42D000</v>
      </c>
    </row>
    <row r="105" spans="1:1" x14ac:dyDescent="0.25">
      <c r="A105" t="str">
        <f t="shared" si="1"/>
        <v>42D200</v>
      </c>
    </row>
    <row r="106" spans="1:1" x14ac:dyDescent="0.25">
      <c r="A106" t="str">
        <f t="shared" si="1"/>
        <v>42D400</v>
      </c>
    </row>
    <row r="107" spans="1:1" x14ac:dyDescent="0.25">
      <c r="A107" t="str">
        <f t="shared" si="1"/>
        <v>42D600</v>
      </c>
    </row>
    <row r="108" spans="1:1" x14ac:dyDescent="0.25">
      <c r="A108" t="str">
        <f t="shared" si="1"/>
        <v>42D800</v>
      </c>
    </row>
    <row r="109" spans="1:1" x14ac:dyDescent="0.25">
      <c r="A109" t="str">
        <f t="shared" si="1"/>
        <v>42DA00</v>
      </c>
    </row>
    <row r="110" spans="1:1" x14ac:dyDescent="0.25">
      <c r="A110" t="str">
        <f t="shared" si="1"/>
        <v>42DC00</v>
      </c>
    </row>
    <row r="111" spans="1:1" x14ac:dyDescent="0.25">
      <c r="A111" t="str">
        <f t="shared" si="1"/>
        <v>42DE00</v>
      </c>
    </row>
    <row r="112" spans="1:1" x14ac:dyDescent="0.25">
      <c r="A112" t="str">
        <f t="shared" si="1"/>
        <v>42E000</v>
      </c>
    </row>
    <row r="113" spans="1:1" x14ac:dyDescent="0.25">
      <c r="A113" t="str">
        <f t="shared" si="1"/>
        <v>42E200</v>
      </c>
    </row>
    <row r="114" spans="1:1" x14ac:dyDescent="0.25">
      <c r="A114" t="str">
        <f t="shared" si="1"/>
        <v>42E400</v>
      </c>
    </row>
    <row r="115" spans="1:1" x14ac:dyDescent="0.25">
      <c r="A115" t="str">
        <f t="shared" si="1"/>
        <v>42E600</v>
      </c>
    </row>
    <row r="116" spans="1:1" x14ac:dyDescent="0.25">
      <c r="A116" t="str">
        <f t="shared" si="1"/>
        <v>42E800</v>
      </c>
    </row>
    <row r="117" spans="1:1" x14ac:dyDescent="0.25">
      <c r="A117" t="str">
        <f t="shared" si="1"/>
        <v>42EA00</v>
      </c>
    </row>
    <row r="118" spans="1:1" x14ac:dyDescent="0.25">
      <c r="A118" t="str">
        <f t="shared" si="1"/>
        <v>42EC00</v>
      </c>
    </row>
    <row r="119" spans="1:1" x14ac:dyDescent="0.25">
      <c r="A119" t="str">
        <f t="shared" si="1"/>
        <v>42EE00</v>
      </c>
    </row>
    <row r="120" spans="1:1" x14ac:dyDescent="0.25">
      <c r="A120" t="str">
        <f t="shared" si="1"/>
        <v>42F000</v>
      </c>
    </row>
    <row r="121" spans="1:1" x14ac:dyDescent="0.25">
      <c r="A121" t="str">
        <f t="shared" si="1"/>
        <v>42F200</v>
      </c>
    </row>
    <row r="122" spans="1:1" x14ac:dyDescent="0.25">
      <c r="A122" t="str">
        <f t="shared" si="1"/>
        <v>42F400</v>
      </c>
    </row>
    <row r="123" spans="1:1" x14ac:dyDescent="0.25">
      <c r="A123" t="str">
        <f t="shared" si="1"/>
        <v>42F600</v>
      </c>
    </row>
    <row r="124" spans="1:1" x14ac:dyDescent="0.25">
      <c r="A124" t="str">
        <f t="shared" si="1"/>
        <v>42F800</v>
      </c>
    </row>
    <row r="125" spans="1:1" x14ac:dyDescent="0.25">
      <c r="A125" t="str">
        <f t="shared" si="1"/>
        <v>42FA00</v>
      </c>
    </row>
    <row r="126" spans="1:1" x14ac:dyDescent="0.25">
      <c r="A126" t="str">
        <f t="shared" si="1"/>
        <v>42FC00</v>
      </c>
    </row>
    <row r="127" spans="1:1" x14ac:dyDescent="0.25">
      <c r="A127" t="str">
        <f t="shared" si="1"/>
        <v>42FE00</v>
      </c>
    </row>
    <row r="128" spans="1:1" x14ac:dyDescent="0.25">
      <c r="A128" t="str">
        <f t="shared" si="1"/>
        <v>430000</v>
      </c>
    </row>
    <row r="129" spans="1:1" x14ac:dyDescent="0.25">
      <c r="A129" t="str">
        <f t="shared" si="1"/>
        <v>430100</v>
      </c>
    </row>
    <row r="130" spans="1:1" x14ac:dyDescent="0.25">
      <c r="A130" t="str">
        <f t="shared" ref="A130:A193" si="2" xml:space="preserve"> LEFT(Sng2String(ROW()), 6)</f>
        <v>430200</v>
      </c>
    </row>
    <row r="131" spans="1:1" x14ac:dyDescent="0.25">
      <c r="A131" t="str">
        <f t="shared" si="2"/>
        <v>430300</v>
      </c>
    </row>
    <row r="132" spans="1:1" x14ac:dyDescent="0.25">
      <c r="A132" t="str">
        <f t="shared" si="2"/>
        <v>430400</v>
      </c>
    </row>
    <row r="133" spans="1:1" x14ac:dyDescent="0.25">
      <c r="A133" t="str">
        <f t="shared" si="2"/>
        <v>430500</v>
      </c>
    </row>
    <row r="134" spans="1:1" x14ac:dyDescent="0.25">
      <c r="A134" t="str">
        <f t="shared" si="2"/>
        <v>430600</v>
      </c>
    </row>
    <row r="135" spans="1:1" x14ac:dyDescent="0.25">
      <c r="A135" t="str">
        <f t="shared" si="2"/>
        <v>430700</v>
      </c>
    </row>
    <row r="136" spans="1:1" x14ac:dyDescent="0.25">
      <c r="A136" t="str">
        <f t="shared" si="2"/>
        <v>430800</v>
      </c>
    </row>
    <row r="137" spans="1:1" x14ac:dyDescent="0.25">
      <c r="A137" t="str">
        <f t="shared" si="2"/>
        <v>430900</v>
      </c>
    </row>
    <row r="138" spans="1:1" x14ac:dyDescent="0.25">
      <c r="A138" t="str">
        <f t="shared" si="2"/>
        <v>430A00</v>
      </c>
    </row>
    <row r="139" spans="1:1" x14ac:dyDescent="0.25">
      <c r="A139" t="str">
        <f t="shared" si="2"/>
        <v>430B00</v>
      </c>
    </row>
    <row r="140" spans="1:1" x14ac:dyDescent="0.25">
      <c r="A140" t="str">
        <f t="shared" si="2"/>
        <v>430C00</v>
      </c>
    </row>
    <row r="141" spans="1:1" x14ac:dyDescent="0.25">
      <c r="A141" t="str">
        <f t="shared" si="2"/>
        <v>430D00</v>
      </c>
    </row>
    <row r="142" spans="1:1" x14ac:dyDescent="0.25">
      <c r="A142" t="str">
        <f t="shared" si="2"/>
        <v>430E00</v>
      </c>
    </row>
    <row r="143" spans="1:1" x14ac:dyDescent="0.25">
      <c r="A143" t="str">
        <f t="shared" si="2"/>
        <v>430F00</v>
      </c>
    </row>
    <row r="144" spans="1:1" x14ac:dyDescent="0.25">
      <c r="A144" t="str">
        <f t="shared" si="2"/>
        <v>431000</v>
      </c>
    </row>
    <row r="145" spans="1:1" x14ac:dyDescent="0.25">
      <c r="A145" t="str">
        <f t="shared" si="2"/>
        <v>431100</v>
      </c>
    </row>
    <row r="146" spans="1:1" x14ac:dyDescent="0.25">
      <c r="A146" t="str">
        <f t="shared" si="2"/>
        <v>431200</v>
      </c>
    </row>
    <row r="147" spans="1:1" x14ac:dyDescent="0.25">
      <c r="A147" t="str">
        <f t="shared" si="2"/>
        <v>431300</v>
      </c>
    </row>
    <row r="148" spans="1:1" x14ac:dyDescent="0.25">
      <c r="A148" t="str">
        <f t="shared" si="2"/>
        <v>431400</v>
      </c>
    </row>
    <row r="149" spans="1:1" x14ac:dyDescent="0.25">
      <c r="A149" t="str">
        <f t="shared" si="2"/>
        <v>431500</v>
      </c>
    </row>
    <row r="150" spans="1:1" x14ac:dyDescent="0.25">
      <c r="A150" t="str">
        <f t="shared" si="2"/>
        <v>431600</v>
      </c>
    </row>
    <row r="151" spans="1:1" x14ac:dyDescent="0.25">
      <c r="A151" t="str">
        <f t="shared" si="2"/>
        <v>431700</v>
      </c>
    </row>
    <row r="152" spans="1:1" x14ac:dyDescent="0.25">
      <c r="A152" t="str">
        <f t="shared" si="2"/>
        <v>431800</v>
      </c>
    </row>
    <row r="153" spans="1:1" x14ac:dyDescent="0.25">
      <c r="A153" t="str">
        <f t="shared" si="2"/>
        <v>431900</v>
      </c>
    </row>
    <row r="154" spans="1:1" x14ac:dyDescent="0.25">
      <c r="A154" t="str">
        <f t="shared" si="2"/>
        <v>431A00</v>
      </c>
    </row>
    <row r="155" spans="1:1" x14ac:dyDescent="0.25">
      <c r="A155" t="str">
        <f t="shared" si="2"/>
        <v>431B00</v>
      </c>
    </row>
    <row r="156" spans="1:1" x14ac:dyDescent="0.25">
      <c r="A156" t="str">
        <f t="shared" si="2"/>
        <v>431C00</v>
      </c>
    </row>
    <row r="157" spans="1:1" x14ac:dyDescent="0.25">
      <c r="A157" t="str">
        <f t="shared" si="2"/>
        <v>431D00</v>
      </c>
    </row>
    <row r="158" spans="1:1" x14ac:dyDescent="0.25">
      <c r="A158" t="str">
        <f t="shared" si="2"/>
        <v>431E00</v>
      </c>
    </row>
    <row r="159" spans="1:1" x14ac:dyDescent="0.25">
      <c r="A159" t="str">
        <f t="shared" si="2"/>
        <v>431F00</v>
      </c>
    </row>
    <row r="160" spans="1:1" x14ac:dyDescent="0.25">
      <c r="A160" t="str">
        <f t="shared" si="2"/>
        <v>432000</v>
      </c>
    </row>
    <row r="161" spans="1:1" x14ac:dyDescent="0.25">
      <c r="A161" t="str">
        <f t="shared" si="2"/>
        <v>432100</v>
      </c>
    </row>
    <row r="162" spans="1:1" x14ac:dyDescent="0.25">
      <c r="A162" t="str">
        <f t="shared" si="2"/>
        <v>432200</v>
      </c>
    </row>
    <row r="163" spans="1:1" x14ac:dyDescent="0.25">
      <c r="A163" t="str">
        <f t="shared" si="2"/>
        <v>432300</v>
      </c>
    </row>
    <row r="164" spans="1:1" x14ac:dyDescent="0.25">
      <c r="A164" t="str">
        <f t="shared" si="2"/>
        <v>432400</v>
      </c>
    </row>
    <row r="165" spans="1:1" x14ac:dyDescent="0.25">
      <c r="A165" t="str">
        <f t="shared" si="2"/>
        <v>432500</v>
      </c>
    </row>
    <row r="166" spans="1:1" x14ac:dyDescent="0.25">
      <c r="A166" t="str">
        <f t="shared" si="2"/>
        <v>432600</v>
      </c>
    </row>
    <row r="167" spans="1:1" x14ac:dyDescent="0.25">
      <c r="A167" t="str">
        <f t="shared" si="2"/>
        <v>432700</v>
      </c>
    </row>
    <row r="168" spans="1:1" x14ac:dyDescent="0.25">
      <c r="A168" t="str">
        <f t="shared" si="2"/>
        <v>432800</v>
      </c>
    </row>
    <row r="169" spans="1:1" x14ac:dyDescent="0.25">
      <c r="A169" t="str">
        <f t="shared" si="2"/>
        <v>432900</v>
      </c>
    </row>
    <row r="170" spans="1:1" x14ac:dyDescent="0.25">
      <c r="A170" t="str">
        <f t="shared" si="2"/>
        <v>432A00</v>
      </c>
    </row>
    <row r="171" spans="1:1" x14ac:dyDescent="0.25">
      <c r="A171" t="str">
        <f t="shared" si="2"/>
        <v>432B00</v>
      </c>
    </row>
    <row r="172" spans="1:1" x14ac:dyDescent="0.25">
      <c r="A172" t="str">
        <f t="shared" si="2"/>
        <v>432C00</v>
      </c>
    </row>
    <row r="173" spans="1:1" x14ac:dyDescent="0.25">
      <c r="A173" t="str">
        <f t="shared" si="2"/>
        <v>432D00</v>
      </c>
    </row>
    <row r="174" spans="1:1" x14ac:dyDescent="0.25">
      <c r="A174" t="str">
        <f t="shared" si="2"/>
        <v>432E00</v>
      </c>
    </row>
    <row r="175" spans="1:1" x14ac:dyDescent="0.25">
      <c r="A175" t="str">
        <f t="shared" si="2"/>
        <v>432F00</v>
      </c>
    </row>
    <row r="176" spans="1:1" x14ac:dyDescent="0.25">
      <c r="A176" t="str">
        <f t="shared" si="2"/>
        <v>433000</v>
      </c>
    </row>
    <row r="177" spans="1:1" x14ac:dyDescent="0.25">
      <c r="A177" t="str">
        <f t="shared" si="2"/>
        <v>433100</v>
      </c>
    </row>
    <row r="178" spans="1:1" x14ac:dyDescent="0.25">
      <c r="A178" t="str">
        <f t="shared" si="2"/>
        <v>433200</v>
      </c>
    </row>
    <row r="179" spans="1:1" x14ac:dyDescent="0.25">
      <c r="A179" t="str">
        <f t="shared" si="2"/>
        <v>433300</v>
      </c>
    </row>
    <row r="180" spans="1:1" x14ac:dyDescent="0.25">
      <c r="A180" t="str">
        <f t="shared" si="2"/>
        <v>433400</v>
      </c>
    </row>
    <row r="181" spans="1:1" x14ac:dyDescent="0.25">
      <c r="A181" t="str">
        <f t="shared" si="2"/>
        <v>433500</v>
      </c>
    </row>
    <row r="182" spans="1:1" x14ac:dyDescent="0.25">
      <c r="A182" t="str">
        <f t="shared" si="2"/>
        <v>433600</v>
      </c>
    </row>
    <row r="183" spans="1:1" x14ac:dyDescent="0.25">
      <c r="A183" t="str">
        <f t="shared" si="2"/>
        <v>433700</v>
      </c>
    </row>
    <row r="184" spans="1:1" x14ac:dyDescent="0.25">
      <c r="A184" t="str">
        <f t="shared" si="2"/>
        <v>433800</v>
      </c>
    </row>
    <row r="185" spans="1:1" x14ac:dyDescent="0.25">
      <c r="A185" t="str">
        <f t="shared" si="2"/>
        <v>433900</v>
      </c>
    </row>
    <row r="186" spans="1:1" x14ac:dyDescent="0.25">
      <c r="A186" t="str">
        <f t="shared" si="2"/>
        <v>433A00</v>
      </c>
    </row>
    <row r="187" spans="1:1" x14ac:dyDescent="0.25">
      <c r="A187" t="str">
        <f t="shared" si="2"/>
        <v>433B00</v>
      </c>
    </row>
    <row r="188" spans="1:1" x14ac:dyDescent="0.25">
      <c r="A188" t="str">
        <f t="shared" si="2"/>
        <v>433C00</v>
      </c>
    </row>
    <row r="189" spans="1:1" x14ac:dyDescent="0.25">
      <c r="A189" t="str">
        <f t="shared" si="2"/>
        <v>433D00</v>
      </c>
    </row>
    <row r="190" spans="1:1" x14ac:dyDescent="0.25">
      <c r="A190" t="str">
        <f t="shared" si="2"/>
        <v>433E00</v>
      </c>
    </row>
    <row r="191" spans="1:1" x14ac:dyDescent="0.25">
      <c r="A191" t="str">
        <f t="shared" si="2"/>
        <v>433F00</v>
      </c>
    </row>
    <row r="192" spans="1:1" x14ac:dyDescent="0.25">
      <c r="A192" t="str">
        <f t="shared" si="2"/>
        <v>434000</v>
      </c>
    </row>
    <row r="193" spans="1:1" x14ac:dyDescent="0.25">
      <c r="A193" t="str">
        <f t="shared" si="2"/>
        <v>434100</v>
      </c>
    </row>
    <row r="194" spans="1:1" x14ac:dyDescent="0.25">
      <c r="A194" t="str">
        <f t="shared" ref="A194:A256" si="3" xml:space="preserve"> LEFT(Sng2String(ROW()), 6)</f>
        <v>434200</v>
      </c>
    </row>
    <row r="195" spans="1:1" x14ac:dyDescent="0.25">
      <c r="A195" t="str">
        <f t="shared" si="3"/>
        <v>434300</v>
      </c>
    </row>
    <row r="196" spans="1:1" x14ac:dyDescent="0.25">
      <c r="A196" t="str">
        <f t="shared" si="3"/>
        <v>434400</v>
      </c>
    </row>
    <row r="197" spans="1:1" x14ac:dyDescent="0.25">
      <c r="A197" t="str">
        <f t="shared" si="3"/>
        <v>434500</v>
      </c>
    </row>
    <row r="198" spans="1:1" x14ac:dyDescent="0.25">
      <c r="A198" t="str">
        <f t="shared" si="3"/>
        <v>434600</v>
      </c>
    </row>
    <row r="199" spans="1:1" x14ac:dyDescent="0.25">
      <c r="A199" t="str">
        <f t="shared" si="3"/>
        <v>434700</v>
      </c>
    </row>
    <row r="200" spans="1:1" x14ac:dyDescent="0.25">
      <c r="A200" t="str">
        <f t="shared" si="3"/>
        <v>434800</v>
      </c>
    </row>
    <row r="201" spans="1:1" x14ac:dyDescent="0.25">
      <c r="A201" t="str">
        <f t="shared" si="3"/>
        <v>434900</v>
      </c>
    </row>
    <row r="202" spans="1:1" x14ac:dyDescent="0.25">
      <c r="A202" t="str">
        <f t="shared" si="3"/>
        <v>434A00</v>
      </c>
    </row>
    <row r="203" spans="1:1" x14ac:dyDescent="0.25">
      <c r="A203" t="str">
        <f t="shared" si="3"/>
        <v>434B00</v>
      </c>
    </row>
    <row r="204" spans="1:1" x14ac:dyDescent="0.25">
      <c r="A204" t="str">
        <f t="shared" si="3"/>
        <v>434C00</v>
      </c>
    </row>
    <row r="205" spans="1:1" x14ac:dyDescent="0.25">
      <c r="A205" t="str">
        <f t="shared" si="3"/>
        <v>434D00</v>
      </c>
    </row>
    <row r="206" spans="1:1" x14ac:dyDescent="0.25">
      <c r="A206" t="str">
        <f t="shared" si="3"/>
        <v>434E00</v>
      </c>
    </row>
    <row r="207" spans="1:1" x14ac:dyDescent="0.25">
      <c r="A207" t="str">
        <f t="shared" si="3"/>
        <v>434F00</v>
      </c>
    </row>
    <row r="208" spans="1:1" x14ac:dyDescent="0.25">
      <c r="A208" t="str">
        <f t="shared" si="3"/>
        <v>435000</v>
      </c>
    </row>
    <row r="209" spans="1:1" x14ac:dyDescent="0.25">
      <c r="A209" t="str">
        <f t="shared" si="3"/>
        <v>435100</v>
      </c>
    </row>
    <row r="210" spans="1:1" x14ac:dyDescent="0.25">
      <c r="A210" t="str">
        <f t="shared" si="3"/>
        <v>435200</v>
      </c>
    </row>
    <row r="211" spans="1:1" x14ac:dyDescent="0.25">
      <c r="A211" t="str">
        <f t="shared" si="3"/>
        <v>435300</v>
      </c>
    </row>
    <row r="212" spans="1:1" x14ac:dyDescent="0.25">
      <c r="A212" t="str">
        <f t="shared" si="3"/>
        <v>435400</v>
      </c>
    </row>
    <row r="213" spans="1:1" x14ac:dyDescent="0.25">
      <c r="A213" t="str">
        <f t="shared" si="3"/>
        <v>435500</v>
      </c>
    </row>
    <row r="214" spans="1:1" x14ac:dyDescent="0.25">
      <c r="A214" t="str">
        <f t="shared" si="3"/>
        <v>435600</v>
      </c>
    </row>
    <row r="215" spans="1:1" x14ac:dyDescent="0.25">
      <c r="A215" t="str">
        <f t="shared" si="3"/>
        <v>435700</v>
      </c>
    </row>
    <row r="216" spans="1:1" x14ac:dyDescent="0.25">
      <c r="A216" t="str">
        <f t="shared" si="3"/>
        <v>435800</v>
      </c>
    </row>
    <row r="217" spans="1:1" x14ac:dyDescent="0.25">
      <c r="A217" t="str">
        <f t="shared" si="3"/>
        <v>435900</v>
      </c>
    </row>
    <row r="218" spans="1:1" x14ac:dyDescent="0.25">
      <c r="A218" t="str">
        <f t="shared" si="3"/>
        <v>435A00</v>
      </c>
    </row>
    <row r="219" spans="1:1" x14ac:dyDescent="0.25">
      <c r="A219" t="str">
        <f t="shared" si="3"/>
        <v>435B00</v>
      </c>
    </row>
    <row r="220" spans="1:1" x14ac:dyDescent="0.25">
      <c r="A220" t="str">
        <f t="shared" si="3"/>
        <v>435C00</v>
      </c>
    </row>
    <row r="221" spans="1:1" x14ac:dyDescent="0.25">
      <c r="A221" t="str">
        <f t="shared" si="3"/>
        <v>435D00</v>
      </c>
    </row>
    <row r="222" spans="1:1" x14ac:dyDescent="0.25">
      <c r="A222" t="str">
        <f t="shared" si="3"/>
        <v>435E00</v>
      </c>
    </row>
    <row r="223" spans="1:1" x14ac:dyDescent="0.25">
      <c r="A223" t="str">
        <f t="shared" si="3"/>
        <v>435F00</v>
      </c>
    </row>
    <row r="224" spans="1:1" x14ac:dyDescent="0.25">
      <c r="A224" t="str">
        <f t="shared" si="3"/>
        <v>436000</v>
      </c>
    </row>
    <row r="225" spans="1:1" x14ac:dyDescent="0.25">
      <c r="A225" t="str">
        <f t="shared" si="3"/>
        <v>436100</v>
      </c>
    </row>
    <row r="226" spans="1:1" x14ac:dyDescent="0.25">
      <c r="A226" t="str">
        <f t="shared" si="3"/>
        <v>436200</v>
      </c>
    </row>
    <row r="227" spans="1:1" x14ac:dyDescent="0.25">
      <c r="A227" t="str">
        <f t="shared" si="3"/>
        <v>436300</v>
      </c>
    </row>
    <row r="228" spans="1:1" x14ac:dyDescent="0.25">
      <c r="A228" t="str">
        <f t="shared" si="3"/>
        <v>436400</v>
      </c>
    </row>
    <row r="229" spans="1:1" x14ac:dyDescent="0.25">
      <c r="A229" t="str">
        <f t="shared" si="3"/>
        <v>436500</v>
      </c>
    </row>
    <row r="230" spans="1:1" x14ac:dyDescent="0.25">
      <c r="A230" t="str">
        <f t="shared" si="3"/>
        <v>436600</v>
      </c>
    </row>
    <row r="231" spans="1:1" x14ac:dyDescent="0.25">
      <c r="A231" t="str">
        <f t="shared" si="3"/>
        <v>436700</v>
      </c>
    </row>
    <row r="232" spans="1:1" x14ac:dyDescent="0.25">
      <c r="A232" t="str">
        <f t="shared" si="3"/>
        <v>436800</v>
      </c>
    </row>
    <row r="233" spans="1:1" x14ac:dyDescent="0.25">
      <c r="A233" t="str">
        <f t="shared" si="3"/>
        <v>436900</v>
      </c>
    </row>
    <row r="234" spans="1:1" x14ac:dyDescent="0.25">
      <c r="A234" t="str">
        <f t="shared" si="3"/>
        <v>436A00</v>
      </c>
    </row>
    <row r="235" spans="1:1" x14ac:dyDescent="0.25">
      <c r="A235" t="str">
        <f t="shared" si="3"/>
        <v>436B00</v>
      </c>
    </row>
    <row r="236" spans="1:1" x14ac:dyDescent="0.25">
      <c r="A236" t="str">
        <f t="shared" si="3"/>
        <v>436C00</v>
      </c>
    </row>
    <row r="237" spans="1:1" x14ac:dyDescent="0.25">
      <c r="A237" t="str">
        <f t="shared" si="3"/>
        <v>436D00</v>
      </c>
    </row>
    <row r="238" spans="1:1" x14ac:dyDescent="0.25">
      <c r="A238" t="str">
        <f t="shared" si="3"/>
        <v>436E00</v>
      </c>
    </row>
    <row r="239" spans="1:1" x14ac:dyDescent="0.25">
      <c r="A239" t="str">
        <f t="shared" si="3"/>
        <v>436F00</v>
      </c>
    </row>
    <row r="240" spans="1:1" x14ac:dyDescent="0.25">
      <c r="A240" t="str">
        <f t="shared" si="3"/>
        <v>437000</v>
      </c>
    </row>
    <row r="241" spans="1:1" x14ac:dyDescent="0.25">
      <c r="A241" t="str">
        <f t="shared" si="3"/>
        <v>437100</v>
      </c>
    </row>
    <row r="242" spans="1:1" x14ac:dyDescent="0.25">
      <c r="A242" t="str">
        <f t="shared" si="3"/>
        <v>437200</v>
      </c>
    </row>
    <row r="243" spans="1:1" x14ac:dyDescent="0.25">
      <c r="A243" t="str">
        <f t="shared" si="3"/>
        <v>437300</v>
      </c>
    </row>
    <row r="244" spans="1:1" x14ac:dyDescent="0.25">
      <c r="A244" t="str">
        <f t="shared" si="3"/>
        <v>437400</v>
      </c>
    </row>
    <row r="245" spans="1:1" x14ac:dyDescent="0.25">
      <c r="A245" t="str">
        <f t="shared" si="3"/>
        <v>437500</v>
      </c>
    </row>
    <row r="246" spans="1:1" x14ac:dyDescent="0.25">
      <c r="A246" t="str">
        <f t="shared" si="3"/>
        <v>437600</v>
      </c>
    </row>
    <row r="247" spans="1:1" x14ac:dyDescent="0.25">
      <c r="A247" t="str">
        <f t="shared" si="3"/>
        <v>437700</v>
      </c>
    </row>
    <row r="248" spans="1:1" x14ac:dyDescent="0.25">
      <c r="A248" t="str">
        <f t="shared" si="3"/>
        <v>437800</v>
      </c>
    </row>
    <row r="249" spans="1:1" x14ac:dyDescent="0.25">
      <c r="A249" t="str">
        <f t="shared" si="3"/>
        <v>437900</v>
      </c>
    </row>
    <row r="250" spans="1:1" x14ac:dyDescent="0.25">
      <c r="A250" t="str">
        <f t="shared" si="3"/>
        <v>437A00</v>
      </c>
    </row>
    <row r="251" spans="1:1" x14ac:dyDescent="0.25">
      <c r="A251" t="str">
        <f t="shared" si="3"/>
        <v>437B00</v>
      </c>
    </row>
    <row r="252" spans="1:1" x14ac:dyDescent="0.25">
      <c r="A252" t="str">
        <f t="shared" si="3"/>
        <v>437C00</v>
      </c>
    </row>
    <row r="253" spans="1:1" x14ac:dyDescent="0.25">
      <c r="A253" t="str">
        <f t="shared" si="3"/>
        <v>437D00</v>
      </c>
    </row>
    <row r="254" spans="1:1" x14ac:dyDescent="0.25">
      <c r="A254" t="str">
        <f t="shared" si="3"/>
        <v>437E00</v>
      </c>
    </row>
    <row r="255" spans="1:1" x14ac:dyDescent="0.25">
      <c r="A255" t="str">
        <f t="shared" si="3"/>
        <v>437F00</v>
      </c>
    </row>
    <row r="256" spans="1:1" x14ac:dyDescent="0.25">
      <c r="A256" t="str">
        <f t="shared" si="3"/>
        <v>438000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V129"/>
  <sheetViews>
    <sheetView tabSelected="1" topLeftCell="O1" workbookViewId="0">
      <selection activeCell="AC4" sqref="AC4"/>
    </sheetView>
  </sheetViews>
  <sheetFormatPr defaultRowHeight="15" x14ac:dyDescent="0.25"/>
  <cols>
    <col min="1" max="2" width="6.5703125" customWidth="1"/>
    <col min="3" max="3" width="4.7109375" customWidth="1"/>
    <col min="4" max="5" width="5.5703125" customWidth="1"/>
    <col min="6" max="6" width="6.28515625" customWidth="1"/>
    <col min="7" max="7" width="7.7109375" customWidth="1"/>
    <col min="8" max="8" width="6.5703125" customWidth="1"/>
    <col min="9" max="9" width="6.140625" customWidth="1"/>
    <col min="10" max="10" width="6.42578125" customWidth="1"/>
    <col min="11" max="11" width="11.140625" customWidth="1"/>
    <col min="12" max="12" width="5.42578125" customWidth="1"/>
    <col min="13" max="13" width="8" customWidth="1"/>
    <col min="14" max="14" width="6.42578125" customWidth="1"/>
    <col min="15" max="15" width="6.140625" customWidth="1"/>
    <col min="16" max="16" width="7" customWidth="1"/>
    <col min="17" max="17" width="9.7109375" customWidth="1"/>
    <col min="18" max="19" width="7" customWidth="1"/>
    <col min="20" max="20" width="6.42578125" customWidth="1"/>
    <col min="21" max="22" width="6.28515625" customWidth="1"/>
    <col min="23" max="23" width="9.42578125" customWidth="1"/>
    <col min="24" max="24" width="5.85546875" customWidth="1"/>
    <col min="25" max="25" width="7.28515625" customWidth="1"/>
    <col min="26" max="26" width="5.42578125" customWidth="1"/>
    <col min="27" max="27" width="5.7109375" customWidth="1"/>
    <col min="28" max="28" width="6.5703125" customWidth="1"/>
    <col min="29" max="29" width="9.7109375" customWidth="1"/>
    <col min="30" max="30" width="6.28515625" customWidth="1"/>
    <col min="31" max="31" width="5.85546875" style="5" customWidth="1"/>
    <col min="32" max="32" width="5.85546875" customWidth="1"/>
    <col min="33" max="34" width="5" customWidth="1"/>
    <col min="35" max="36" width="7.85546875" customWidth="1"/>
    <col min="37" max="37" width="5.28515625" customWidth="1"/>
    <col min="38" max="38" width="6.85546875" customWidth="1"/>
    <col min="40" max="40" width="5.42578125" customWidth="1"/>
    <col min="42" max="42" width="7.7109375" customWidth="1"/>
    <col min="43" max="43" width="6" customWidth="1"/>
    <col min="44" max="44" width="6.85546875" customWidth="1"/>
    <col min="45" max="45" width="6.7109375" customWidth="1"/>
    <col min="46" max="46" width="5.7109375" customWidth="1"/>
    <col min="48" max="48" width="3.85546875" customWidth="1"/>
  </cols>
  <sheetData>
    <row r="1" spans="1:48" s="1" customFormat="1" ht="45" customHeight="1" x14ac:dyDescent="0.25">
      <c r="A1" s="1" t="s">
        <v>7</v>
      </c>
      <c r="B1" s="1" t="s">
        <v>35</v>
      </c>
      <c r="C1" s="1" t="s">
        <v>0</v>
      </c>
      <c r="D1" s="1" t="s">
        <v>1</v>
      </c>
      <c r="E1" s="1" t="s">
        <v>2</v>
      </c>
      <c r="F1" s="1" t="s">
        <v>3</v>
      </c>
      <c r="G1" s="1" t="s">
        <v>36</v>
      </c>
      <c r="H1" s="1" t="s">
        <v>4</v>
      </c>
      <c r="I1" s="1" t="s">
        <v>5</v>
      </c>
      <c r="J1" s="1" t="s">
        <v>41</v>
      </c>
      <c r="K1" s="1" t="s">
        <v>40</v>
      </c>
      <c r="L1" s="1" t="s">
        <v>6</v>
      </c>
      <c r="M1" s="1" t="s">
        <v>37</v>
      </c>
      <c r="N1" s="1" t="s">
        <v>8</v>
      </c>
      <c r="O1" s="1" t="s">
        <v>9</v>
      </c>
      <c r="P1" s="1" t="s">
        <v>42</v>
      </c>
      <c r="Q1" s="1" t="s">
        <v>43</v>
      </c>
      <c r="R1" s="1" t="s">
        <v>10</v>
      </c>
      <c r="S1" s="1" t="s">
        <v>38</v>
      </c>
      <c r="T1" s="1" t="s">
        <v>11</v>
      </c>
      <c r="U1" s="1" t="s">
        <v>12</v>
      </c>
      <c r="V1" s="1" t="s">
        <v>44</v>
      </c>
      <c r="W1" s="1" t="s">
        <v>45</v>
      </c>
      <c r="X1" s="1" t="s">
        <v>13</v>
      </c>
      <c r="Y1" s="1" t="s">
        <v>39</v>
      </c>
      <c r="Z1" s="1" t="s">
        <v>14</v>
      </c>
      <c r="AA1" s="1" t="s">
        <v>15</v>
      </c>
      <c r="AB1" s="1" t="s">
        <v>46</v>
      </c>
      <c r="AC1" s="1" t="s">
        <v>47</v>
      </c>
      <c r="AD1" s="1" t="s">
        <v>16</v>
      </c>
      <c r="AE1" s="3" t="s">
        <v>17</v>
      </c>
      <c r="AF1" s="1" t="s">
        <v>18</v>
      </c>
      <c r="AG1" s="1" t="s">
        <v>19</v>
      </c>
      <c r="AH1" s="1" t="s">
        <v>20</v>
      </c>
      <c r="AI1" s="1" t="s">
        <v>21</v>
      </c>
      <c r="AJ1" s="1" t="s">
        <v>22</v>
      </c>
      <c r="AK1" s="1" t="s">
        <v>23</v>
      </c>
      <c r="AL1" s="1" t="s">
        <v>24</v>
      </c>
      <c r="AM1" s="1" t="s">
        <v>25</v>
      </c>
      <c r="AN1" s="1" t="s">
        <v>26</v>
      </c>
      <c r="AO1" s="1" t="s">
        <v>27</v>
      </c>
      <c r="AP1" s="1" t="s">
        <v>28</v>
      </c>
      <c r="AQ1" s="1" t="s">
        <v>29</v>
      </c>
      <c r="AR1" s="1" t="s">
        <v>30</v>
      </c>
      <c r="AS1" s="1" t="s">
        <v>31</v>
      </c>
      <c r="AT1" s="1" t="s">
        <v>32</v>
      </c>
      <c r="AU1" s="1" t="s">
        <v>33</v>
      </c>
      <c r="AV1" s="1" t="s">
        <v>34</v>
      </c>
    </row>
    <row r="2" spans="1:48" x14ac:dyDescent="0.25">
      <c r="A2">
        <v>0</v>
      </c>
      <c r="B2">
        <f>Table1[[#This Row],[ZMW num]]+1</f>
        <v>1</v>
      </c>
      <c r="C2">
        <v>3</v>
      </c>
      <c r="D2">
        <v>3</v>
      </c>
      <c r="E2">
        <v>1</v>
      </c>
      <c r="F2">
        <v>254</v>
      </c>
      <c r="G2">
        <v>0</v>
      </c>
      <c r="H2">
        <f>Table1[[#This Row],[ZMW num]]*0.01</f>
        <v>0</v>
      </c>
      <c r="I2">
        <f>1+Table1[[#This Row],[t bias]]</f>
        <v>1</v>
      </c>
      <c r="J2">
        <f>Table1[[#This Row],[t kinetic trace]]* String2Single(CONCATENATE(LEFT(Single2String(Table1[[#This Row],[t gain]]), 6), "00")) + String2Single(CONCATENATE(LEFT(Single2String(Table1[[#This Row],[t bias]]), 6), "00"))</f>
        <v>0</v>
      </c>
      <c r="K2" t="str">
        <f>Sng2String(Table1[[#This Row],[t ptrace]])</f>
        <v>00000000</v>
      </c>
      <c r="L2">
        <f>MOD(Table1[[#This Row],[ZMW num]], 2^4)</f>
        <v>0</v>
      </c>
      <c r="M2">
        <v>0</v>
      </c>
      <c r="N2">
        <f>Table1[[#This Row],[t bias]]+0.5</f>
        <v>0.5</v>
      </c>
      <c r="O2">
        <f>Table1[[#This Row],[t gain]]/2</f>
        <v>0.5</v>
      </c>
      <c r="P2">
        <f>Table1[[#This Row],[g kinetic trace]] * String2Single(CONCATENATE(LEFT(Single2String(Table1[[#This Row],[g gain]]), 6), "00")) + String2Single(CONCATENATE(LEFT(Single2String(Table1[[#This Row],[g bias]]), 6), "00"))</f>
        <v>0.5</v>
      </c>
      <c r="Q2" t="str">
        <f xml:space="preserve"> Sng2String(Table1[[#This Row],[g ptrace]])</f>
        <v>3F000000</v>
      </c>
      <c r="R2">
        <f>MOD(Table1[[#This Row],[t inv sp mx idx]]+1, 2^4)</f>
        <v>1</v>
      </c>
      <c r="S2">
        <v>0</v>
      </c>
      <c r="T2">
        <f>Table1[[#This Row],[t bias]]+1</f>
        <v>1</v>
      </c>
      <c r="U2">
        <f>Table1[[#This Row],[t gain]]-0.5</f>
        <v>0.5</v>
      </c>
      <c r="V2">
        <f>Table1[[#This Row],[a kinetic trace]] * String2Single(CONCATENATE(LEFT(Single2String(Table1[[#This Row],[a gain]]), 6), "00")) + String2Single(CONCATENATE(LEFT(Single2String(Table1[[#This Row],[a bias]]), 6), "00"))</f>
        <v>1</v>
      </c>
      <c r="W2" t="str">
        <f xml:space="preserve"> Sng2String(Table1[[#This Row],[a ptrace]])</f>
        <v>3F800000</v>
      </c>
      <c r="X2">
        <f>MOD(Table1[[#This Row],[t inv sp mx idx]]+2, 2^4)</f>
        <v>2</v>
      </c>
      <c r="Y2">
        <v>0</v>
      </c>
      <c r="Z2">
        <f>Table1[[#This Row],[t bias]]</f>
        <v>0</v>
      </c>
      <c r="AA2">
        <f>Table1[[#This Row],[t gain]]</f>
        <v>1</v>
      </c>
      <c r="AB2">
        <f>Table1[[#This Row],[c kinetic trace]]* String2Single(CONCATENATE(LEFT(Single2String(Table1[[#This Row],[c gain]]), 6), "00")) + String2Single(CONCATENATE(LEFT(Single2String(Table1[[#This Row],[c bias]]), 6), "00"))</f>
        <v>0</v>
      </c>
      <c r="AC2" t="str">
        <f xml:space="preserve"> Sng2String(Table1[[#This Row],[c ptrace]])</f>
        <v>00000000</v>
      </c>
      <c r="AD2">
        <f>MOD(Table1[[#This Row],[t inv sp mx idx]]+3, 2^4)</f>
        <v>3</v>
      </c>
      <c r="AE2" s="4" t="str">
        <f>DEC2HEX(Table1[[#This Row],[row]], 3)</f>
        <v>003</v>
      </c>
      <c r="AF2" s="2" t="str">
        <f>DEC2HEX(Table1[[#This Row],[col]], 3)</f>
        <v>003</v>
      </c>
      <c r="AG2" s="2" t="str">
        <f>DEC2HEX(Table1[[#This Row],[grn fsp idx]], 2)</f>
        <v>01</v>
      </c>
      <c r="AH2" s="2" t="str">
        <f>DEC2HEX(Table1[[#This Row],[red fsp idx]], 2)</f>
        <v>FE</v>
      </c>
      <c r="AI2" s="2" t="str">
        <f xml:space="preserve"> LEFT(Sng2String(Table1[[#This Row],[t bias]]), 6)</f>
        <v>000000</v>
      </c>
      <c r="AJ2" s="2" t="str">
        <f xml:space="preserve"> LEFT(Sng2String(Table1[[#This Row],[t gain]]), 6)</f>
        <v>3F8000</v>
      </c>
      <c r="AK2" s="2" t="str">
        <f>DEC2HEX(Table1[[#This Row],[t inv sp mx idx]], 1)</f>
        <v>0</v>
      </c>
      <c r="AL2" s="2" t="str">
        <f xml:space="preserve"> LEFT(Sng2String(Table1[[#This Row],[g bias]]), 6)</f>
        <v>3F0000</v>
      </c>
      <c r="AM2" s="2" t="str">
        <f xml:space="preserve"> LEFT(Sng2String(Table1[[#This Row],[g gain]]), 6)</f>
        <v>3F0000</v>
      </c>
      <c r="AN2" s="2" t="str">
        <f>DEC2HEX(Table1[[#This Row],[g inv sp mx idx]], 1)</f>
        <v>1</v>
      </c>
      <c r="AO2" s="2" t="str">
        <f xml:space="preserve"> LEFT(Sng2String(Table1[[#This Row],[a bias]]), 6)</f>
        <v>3F8000</v>
      </c>
      <c r="AP2" s="2" t="str">
        <f xml:space="preserve"> LEFT(Sng2String(Table1[[#This Row],[a gain]]), 6)</f>
        <v>3F0000</v>
      </c>
      <c r="AQ2" s="2" t="str">
        <f>DEC2HEX(Table1[[#This Row],[a inv sp mx idx]], 1)</f>
        <v>2</v>
      </c>
      <c r="AR2" s="2" t="str">
        <f xml:space="preserve"> LEFT(Sng2String(Table1[[#This Row],[c bias]]), 6)</f>
        <v>000000</v>
      </c>
      <c r="AS2" s="2" t="str">
        <f xml:space="preserve"> LEFT(Sng2String(Table1[[#This Row],[c gain]]), 6)</f>
        <v>3F8000</v>
      </c>
      <c r="AT2" s="2" t="str">
        <f>DEC2HEX(Table1[[#This Row],[c inv sp mx idx]], 1)</f>
        <v>3</v>
      </c>
      <c r="AU2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00300301FE0000003F800003F00003F000013F80003F000020000003F8000302</v>
      </c>
      <c r="AV2" s="2">
        <f>LEN(Table1[[#This Row],[DRAM data]])</f>
        <v>64</v>
      </c>
    </row>
    <row r="3" spans="1:48" x14ac:dyDescent="0.25">
      <c r="A3">
        <v>1</v>
      </c>
      <c r="B3">
        <f>Table1[[#This Row],[ZMW num]]+1</f>
        <v>2</v>
      </c>
      <c r="C3">
        <v>3</v>
      </c>
      <c r="D3">
        <v>5</v>
      </c>
      <c r="E3">
        <v>3</v>
      </c>
      <c r="F3">
        <v>252</v>
      </c>
      <c r="G3">
        <v>0</v>
      </c>
      <c r="H3">
        <f>Table1[[#This Row],[ZMW num]]*0.01</f>
        <v>0.01</v>
      </c>
      <c r="I3">
        <f>1+Table1[[#This Row],[t bias]]</f>
        <v>1.01</v>
      </c>
      <c r="J3">
        <f>Table1[[#This Row],[t kinetic trace]]* String2Single(CONCATENATE(LEFT(Single2String(Table1[[#This Row],[t gain]]), 6), "00")) + String2Single(CONCATENATE(LEFT(Single2String(Table1[[#This Row],[t bias]]), 6), "00"))</f>
        <v>9.9999904632568359E-3</v>
      </c>
      <c r="K3" t="str">
        <f>Sng2String(Table1[[#This Row],[t ptrace]])</f>
        <v>3C23D700</v>
      </c>
      <c r="L3">
        <f>MOD(Table1[[#This Row],[ZMW num]], 2^4)</f>
        <v>1</v>
      </c>
      <c r="M3">
        <v>0</v>
      </c>
      <c r="N3">
        <f>Table1[[#This Row],[t bias]]+0.5</f>
        <v>0.51</v>
      </c>
      <c r="O3">
        <f>Table1[[#This Row],[t gain]]/2</f>
        <v>0.505</v>
      </c>
      <c r="P3">
        <f>Table1[[#This Row],[g kinetic trace]] * String2Single(CONCATENATE(LEFT(Single2String(Table1[[#This Row],[g gain]]), 6), "00")) + String2Single(CONCATENATE(LEFT(Single2String(Table1[[#This Row],[g bias]]), 6), "00"))</f>
        <v>0.5099945068359375</v>
      </c>
      <c r="Q3" t="str">
        <f xml:space="preserve"> Sng2String(Table1[[#This Row],[g ptrace]])</f>
        <v>3F028F00</v>
      </c>
      <c r="R3">
        <f>MOD(Table1[[#This Row],[t inv sp mx idx]]+1, 2^4)</f>
        <v>2</v>
      </c>
      <c r="S3">
        <v>0</v>
      </c>
      <c r="T3">
        <f>Table1[[#This Row],[t bias]]+1</f>
        <v>1.01</v>
      </c>
      <c r="U3">
        <f>Table1[[#This Row],[t gain]]-0.5</f>
        <v>0.51</v>
      </c>
      <c r="V3">
        <f>Table1[[#This Row],[a kinetic trace]] * String2Single(CONCATENATE(LEFT(Single2String(Table1[[#This Row],[a gain]]), 6), "00")) + String2Single(CONCATENATE(LEFT(Single2String(Table1[[#This Row],[a bias]]), 6), "00"))</f>
        <v>1.009979248046875</v>
      </c>
      <c r="W3" t="str">
        <f xml:space="preserve"> Sng2String(Table1[[#This Row],[a ptrace]])</f>
        <v>3F814700</v>
      </c>
      <c r="X3">
        <f>MOD(Table1[[#This Row],[t inv sp mx idx]]+2, 2^4)</f>
        <v>3</v>
      </c>
      <c r="Y3">
        <v>0</v>
      </c>
      <c r="Z3">
        <f>Table1[[#This Row],[t bias]]</f>
        <v>0.01</v>
      </c>
      <c r="AA3">
        <f>Table1[[#This Row],[t gain]]</f>
        <v>1.01</v>
      </c>
      <c r="AB3">
        <f>Table1[[#This Row],[c kinetic trace]]* String2Single(CONCATENATE(LEFT(Single2String(Table1[[#This Row],[c gain]]), 6), "00")) + String2Single(CONCATENATE(LEFT(Single2String(Table1[[#This Row],[c bias]]), 6), "00"))</f>
        <v>9.9999904632568359E-3</v>
      </c>
      <c r="AC3" t="str">
        <f xml:space="preserve"> Sng2String(Table1[[#This Row],[c ptrace]])</f>
        <v>3C23D700</v>
      </c>
      <c r="AD3">
        <f>MOD(Table1[[#This Row],[t inv sp mx idx]]+3, 2^4)</f>
        <v>4</v>
      </c>
      <c r="AE3" s="4" t="str">
        <f>DEC2HEX(Table1[[#This Row],[row]], 3)</f>
        <v>003</v>
      </c>
      <c r="AF3" s="2" t="str">
        <f>DEC2HEX(Table1[[#This Row],[col]], 3)</f>
        <v>005</v>
      </c>
      <c r="AG3" s="2" t="str">
        <f>DEC2HEX(Table1[[#This Row],[grn fsp idx]], 2)</f>
        <v>03</v>
      </c>
      <c r="AH3" s="2" t="str">
        <f>DEC2HEX(Table1[[#This Row],[red fsp idx]], 2)</f>
        <v>FC</v>
      </c>
      <c r="AI3" s="2" t="str">
        <f xml:space="preserve"> LEFT(Sng2String(Table1[[#This Row],[t bias]]), 6)</f>
        <v>3C23D7</v>
      </c>
      <c r="AJ3" s="2" t="str">
        <f xml:space="preserve"> LEFT(Sng2String(Table1[[#This Row],[t gain]]), 6)</f>
        <v>3F8147</v>
      </c>
      <c r="AK3" s="2" t="str">
        <f>DEC2HEX(Table1[[#This Row],[t inv sp mx idx]], 1)</f>
        <v>1</v>
      </c>
      <c r="AL3" s="2" t="str">
        <f xml:space="preserve"> LEFT(Sng2String(Table1[[#This Row],[g bias]]), 6)</f>
        <v>3F028F</v>
      </c>
      <c r="AM3" s="2" t="str">
        <f xml:space="preserve"> LEFT(Sng2String(Table1[[#This Row],[g gain]]), 6)</f>
        <v>3F0147</v>
      </c>
      <c r="AN3" s="2" t="str">
        <f>DEC2HEX(Table1[[#This Row],[g inv sp mx idx]], 1)</f>
        <v>2</v>
      </c>
      <c r="AO3" s="2" t="str">
        <f xml:space="preserve"> LEFT(Sng2String(Table1[[#This Row],[a bias]]), 6)</f>
        <v>3F8147</v>
      </c>
      <c r="AP3" s="2" t="str">
        <f xml:space="preserve"> LEFT(Sng2String(Table1[[#This Row],[a gain]]), 6)</f>
        <v>3F028F</v>
      </c>
      <c r="AQ3" s="2" t="str">
        <f>DEC2HEX(Table1[[#This Row],[a inv sp mx idx]], 1)</f>
        <v>3</v>
      </c>
      <c r="AR3" s="2" t="str">
        <f xml:space="preserve"> LEFT(Sng2String(Table1[[#This Row],[c bias]]), 6)</f>
        <v>3C23D7</v>
      </c>
      <c r="AS3" s="2" t="str">
        <f xml:space="preserve"> LEFT(Sng2String(Table1[[#This Row],[c gain]]), 6)</f>
        <v>3F8147</v>
      </c>
      <c r="AT3" s="2" t="str">
        <f>DEC2HEX(Table1[[#This Row],[c inv sp mx idx]], 1)</f>
        <v>4</v>
      </c>
      <c r="AU3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00300503FC3C23D73F814713F028F3F014723F81473F028F33C23D73F8147402</v>
      </c>
      <c r="AV3" s="2">
        <f>LEN(Table1[[#This Row],[DRAM data]])</f>
        <v>64</v>
      </c>
    </row>
    <row r="4" spans="1:48" x14ac:dyDescent="0.25">
      <c r="A4">
        <v>2</v>
      </c>
      <c r="B4">
        <f>Table1[[#This Row],[ZMW num]]+1</f>
        <v>3</v>
      </c>
      <c r="C4">
        <v>3</v>
      </c>
      <c r="D4">
        <v>8</v>
      </c>
      <c r="E4">
        <v>5</v>
      </c>
      <c r="F4">
        <v>250</v>
      </c>
      <c r="G4">
        <v>0</v>
      </c>
      <c r="H4">
        <f>Table1[[#This Row],[ZMW num]]*0.01</f>
        <v>0.02</v>
      </c>
      <c r="I4">
        <f>1+Table1[[#This Row],[t bias]]</f>
        <v>1.02</v>
      </c>
      <c r="J4">
        <f>Table1[[#This Row],[t kinetic trace]]* String2Single(CONCATENATE(LEFT(Single2String(Table1[[#This Row],[t gain]]), 6), "00")) + String2Single(CONCATENATE(LEFT(Single2String(Table1[[#This Row],[t bias]]), 6), "00"))</f>
        <v>1.9999980926513672E-2</v>
      </c>
      <c r="K4" t="str">
        <f>Sng2String(Table1[[#This Row],[t ptrace]])</f>
        <v>3CA3D700</v>
      </c>
      <c r="L4">
        <f>MOD(Table1[[#This Row],[ZMW num]], 2^4)</f>
        <v>2</v>
      </c>
      <c r="M4">
        <v>0</v>
      </c>
      <c r="N4">
        <f>Table1[[#This Row],[t bias]]+0.5</f>
        <v>0.52</v>
      </c>
      <c r="O4">
        <f>Table1[[#This Row],[t gain]]/2</f>
        <v>0.51</v>
      </c>
      <c r="P4">
        <f>Table1[[#This Row],[g kinetic trace]] * String2Single(CONCATENATE(LEFT(Single2String(Table1[[#This Row],[g gain]]), 6), "00")) + String2Single(CONCATENATE(LEFT(Single2String(Table1[[#This Row],[g bias]]), 6), "00"))</f>
        <v>0.519989013671875</v>
      </c>
      <c r="Q4" t="str">
        <f xml:space="preserve"> Sng2String(Table1[[#This Row],[g ptrace]])</f>
        <v>3F051E00</v>
      </c>
      <c r="R4">
        <f>MOD(Table1[[#This Row],[t inv sp mx idx]]+1, 2^4)</f>
        <v>3</v>
      </c>
      <c r="S4">
        <v>0</v>
      </c>
      <c r="T4">
        <f>Table1[[#This Row],[t bias]]+1</f>
        <v>1.02</v>
      </c>
      <c r="U4">
        <f>Table1[[#This Row],[t gain]]-0.5</f>
        <v>0.52</v>
      </c>
      <c r="V4">
        <f>Table1[[#This Row],[a kinetic trace]] * String2Single(CONCATENATE(LEFT(Single2String(Table1[[#This Row],[a gain]]), 6), "00")) + String2Single(CONCATENATE(LEFT(Single2String(Table1[[#This Row],[a bias]]), 6), "00"))</f>
        <v>1.019989013671875</v>
      </c>
      <c r="W4" t="str">
        <f xml:space="preserve"> Sng2String(Table1[[#This Row],[a ptrace]])</f>
        <v>3F828F00</v>
      </c>
      <c r="X4">
        <f>MOD(Table1[[#This Row],[t inv sp mx idx]]+2, 2^4)</f>
        <v>4</v>
      </c>
      <c r="Y4">
        <v>0</v>
      </c>
      <c r="Z4">
        <f>Table1[[#This Row],[t bias]]</f>
        <v>0.02</v>
      </c>
      <c r="AA4">
        <f>Table1[[#This Row],[t gain]]</f>
        <v>1.02</v>
      </c>
      <c r="AB4">
        <f>Table1[[#This Row],[c kinetic trace]]* String2Single(CONCATENATE(LEFT(Single2String(Table1[[#This Row],[c gain]]), 6), "00")) + String2Single(CONCATENATE(LEFT(Single2String(Table1[[#This Row],[c bias]]), 6), "00"))</f>
        <v>1.9999980926513672E-2</v>
      </c>
      <c r="AC4" t="str">
        <f xml:space="preserve"> Sng2String(Table1[[#This Row],[c ptrace]])</f>
        <v>3CA3D700</v>
      </c>
      <c r="AD4">
        <f>MOD(Table1[[#This Row],[t inv sp mx idx]]+3, 2^4)</f>
        <v>5</v>
      </c>
      <c r="AE4" s="4" t="str">
        <f>DEC2HEX(Table1[[#This Row],[row]], 3)</f>
        <v>003</v>
      </c>
      <c r="AF4" s="2" t="str">
        <f>DEC2HEX(Table1[[#This Row],[col]], 3)</f>
        <v>008</v>
      </c>
      <c r="AG4" s="2" t="str">
        <f>DEC2HEX(Table1[[#This Row],[grn fsp idx]], 2)</f>
        <v>05</v>
      </c>
      <c r="AH4" s="2" t="str">
        <f>DEC2HEX(Table1[[#This Row],[red fsp idx]], 2)</f>
        <v>FA</v>
      </c>
      <c r="AI4" s="2" t="str">
        <f xml:space="preserve"> LEFT(Sng2String(Table1[[#This Row],[t bias]]), 6)</f>
        <v>3CA3D7</v>
      </c>
      <c r="AJ4" s="2" t="str">
        <f xml:space="preserve"> LEFT(Sng2String(Table1[[#This Row],[t gain]]), 6)</f>
        <v>3F828F</v>
      </c>
      <c r="AK4" s="2" t="str">
        <f>DEC2HEX(Table1[[#This Row],[t inv sp mx idx]], 1)</f>
        <v>2</v>
      </c>
      <c r="AL4" s="2" t="str">
        <f xml:space="preserve"> LEFT(Sng2String(Table1[[#This Row],[g bias]]), 6)</f>
        <v>3F051E</v>
      </c>
      <c r="AM4" s="2" t="str">
        <f xml:space="preserve"> LEFT(Sng2String(Table1[[#This Row],[g gain]]), 6)</f>
        <v>3F028F</v>
      </c>
      <c r="AN4" s="2" t="str">
        <f>DEC2HEX(Table1[[#This Row],[g inv sp mx idx]], 1)</f>
        <v>3</v>
      </c>
      <c r="AO4" s="2" t="str">
        <f xml:space="preserve"> LEFT(Sng2String(Table1[[#This Row],[a bias]]), 6)</f>
        <v>3F828F</v>
      </c>
      <c r="AP4" s="2" t="str">
        <f xml:space="preserve"> LEFT(Sng2String(Table1[[#This Row],[a gain]]), 6)</f>
        <v>3F051E</v>
      </c>
      <c r="AQ4" s="2" t="str">
        <f>DEC2HEX(Table1[[#This Row],[a inv sp mx idx]], 1)</f>
        <v>4</v>
      </c>
      <c r="AR4" s="2" t="str">
        <f xml:space="preserve"> LEFT(Sng2String(Table1[[#This Row],[c bias]]), 6)</f>
        <v>3CA3D7</v>
      </c>
      <c r="AS4" s="2" t="str">
        <f xml:space="preserve"> LEFT(Sng2String(Table1[[#This Row],[c gain]]), 6)</f>
        <v>3F828F</v>
      </c>
      <c r="AT4" s="2" t="str">
        <f>DEC2HEX(Table1[[#This Row],[c inv sp mx idx]], 1)</f>
        <v>5</v>
      </c>
      <c r="AU4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00300805FA3CA3D73F828F23F051E3F028F33F828F3F051E43CA3D73F828F502</v>
      </c>
      <c r="AV4" s="2">
        <f>LEN(Table1[[#This Row],[DRAM data]])</f>
        <v>64</v>
      </c>
    </row>
    <row r="5" spans="1:48" x14ac:dyDescent="0.25">
      <c r="A5">
        <v>3</v>
      </c>
      <c r="B5">
        <f>Table1[[#This Row],[ZMW num]]+1</f>
        <v>4</v>
      </c>
      <c r="C5">
        <v>3</v>
      </c>
      <c r="D5">
        <v>10</v>
      </c>
      <c r="E5">
        <v>7</v>
      </c>
      <c r="F5">
        <v>248</v>
      </c>
      <c r="G5">
        <v>0</v>
      </c>
      <c r="H5">
        <f>Table1[[#This Row],[ZMW num]]*0.01</f>
        <v>0.03</v>
      </c>
      <c r="I5">
        <f>1+Table1[[#This Row],[t bias]]</f>
        <v>1.03</v>
      </c>
      <c r="J5">
        <f>Table1[[#This Row],[t kinetic trace]]* String2Single(CONCATENATE(LEFT(Single2String(Table1[[#This Row],[t gain]]), 6), "00")) + String2Single(CONCATENATE(LEFT(Single2String(Table1[[#This Row],[t bias]]), 6), "00"))</f>
        <v>2.9999732971191406E-2</v>
      </c>
      <c r="K5" t="str">
        <f>Sng2String(Table1[[#This Row],[t ptrace]])</f>
        <v>3CF5C200</v>
      </c>
      <c r="L5">
        <f>MOD(Table1[[#This Row],[ZMW num]], 2^4)</f>
        <v>3</v>
      </c>
      <c r="M5">
        <v>0</v>
      </c>
      <c r="N5">
        <f>Table1[[#This Row],[t bias]]+0.5</f>
        <v>0.53</v>
      </c>
      <c r="O5">
        <f>Table1[[#This Row],[t gain]]/2</f>
        <v>0.51500000000000001</v>
      </c>
      <c r="P5">
        <f>Table1[[#This Row],[g kinetic trace]] * String2Single(CONCATENATE(LEFT(Single2String(Table1[[#This Row],[g gain]]), 6), "00")) + String2Single(CONCATENATE(LEFT(Single2String(Table1[[#This Row],[g bias]]), 6), "00"))</f>
        <v>0.529998779296875</v>
      </c>
      <c r="Q5" t="str">
        <f xml:space="preserve"> Sng2String(Table1[[#This Row],[g ptrace]])</f>
        <v>3F07AE00</v>
      </c>
      <c r="R5">
        <f>MOD(Table1[[#This Row],[t inv sp mx idx]]+1, 2^4)</f>
        <v>4</v>
      </c>
      <c r="S5">
        <v>0</v>
      </c>
      <c r="T5">
        <f>Table1[[#This Row],[t bias]]+1</f>
        <v>1.03</v>
      </c>
      <c r="U5">
        <f>Table1[[#This Row],[t gain]]-0.5</f>
        <v>0.53</v>
      </c>
      <c r="V5">
        <f>Table1[[#This Row],[a kinetic trace]] * String2Single(CONCATENATE(LEFT(Single2String(Table1[[#This Row],[a gain]]), 6), "00")) + String2Single(CONCATENATE(LEFT(Single2String(Table1[[#This Row],[a bias]]), 6), "00"))</f>
        <v>1.029998779296875</v>
      </c>
      <c r="W5" t="str">
        <f xml:space="preserve"> Sng2String(Table1[[#This Row],[a ptrace]])</f>
        <v>3F83D700</v>
      </c>
      <c r="X5">
        <f>MOD(Table1[[#This Row],[t inv sp mx idx]]+2, 2^4)</f>
        <v>5</v>
      </c>
      <c r="Y5">
        <v>0</v>
      </c>
      <c r="Z5">
        <f>Table1[[#This Row],[t bias]]</f>
        <v>0.03</v>
      </c>
      <c r="AA5">
        <f>Table1[[#This Row],[t gain]]</f>
        <v>1.03</v>
      </c>
      <c r="AB5">
        <f>Table1[[#This Row],[c kinetic trace]]* String2Single(CONCATENATE(LEFT(Single2String(Table1[[#This Row],[c gain]]), 6), "00")) + String2Single(CONCATENATE(LEFT(Single2String(Table1[[#This Row],[c bias]]), 6), "00"))</f>
        <v>2.9999732971191406E-2</v>
      </c>
      <c r="AC5" t="str">
        <f xml:space="preserve"> Sng2String(Table1[[#This Row],[c ptrace]])</f>
        <v>3CF5C200</v>
      </c>
      <c r="AD5">
        <f>MOD(Table1[[#This Row],[t inv sp mx idx]]+3, 2^4)</f>
        <v>6</v>
      </c>
      <c r="AE5" s="4" t="str">
        <f>DEC2HEX(Table1[[#This Row],[row]], 3)</f>
        <v>003</v>
      </c>
      <c r="AF5" s="2" t="str">
        <f>DEC2HEX(Table1[[#This Row],[col]], 3)</f>
        <v>00A</v>
      </c>
      <c r="AG5" s="2" t="str">
        <f>DEC2HEX(Table1[[#This Row],[grn fsp idx]], 2)</f>
        <v>07</v>
      </c>
      <c r="AH5" s="2" t="str">
        <f>DEC2HEX(Table1[[#This Row],[red fsp idx]], 2)</f>
        <v>F8</v>
      </c>
      <c r="AI5" s="2" t="str">
        <f xml:space="preserve"> LEFT(Sng2String(Table1[[#This Row],[t bias]]), 6)</f>
        <v>3CF5C2</v>
      </c>
      <c r="AJ5" s="2" t="str">
        <f xml:space="preserve"> LEFT(Sng2String(Table1[[#This Row],[t gain]]), 6)</f>
        <v>3F83D7</v>
      </c>
      <c r="AK5" s="2" t="str">
        <f>DEC2HEX(Table1[[#This Row],[t inv sp mx idx]], 1)</f>
        <v>3</v>
      </c>
      <c r="AL5" s="2" t="str">
        <f xml:space="preserve"> LEFT(Sng2String(Table1[[#This Row],[g bias]]), 6)</f>
        <v>3F07AE</v>
      </c>
      <c r="AM5" s="2" t="str">
        <f xml:space="preserve"> LEFT(Sng2String(Table1[[#This Row],[g gain]]), 6)</f>
        <v>3F03D7</v>
      </c>
      <c r="AN5" s="2" t="str">
        <f>DEC2HEX(Table1[[#This Row],[g inv sp mx idx]], 1)</f>
        <v>4</v>
      </c>
      <c r="AO5" s="2" t="str">
        <f xml:space="preserve"> LEFT(Sng2String(Table1[[#This Row],[a bias]]), 6)</f>
        <v>3F83D7</v>
      </c>
      <c r="AP5" s="2" t="str">
        <f xml:space="preserve"> LEFT(Sng2String(Table1[[#This Row],[a gain]]), 6)</f>
        <v>3F07AE</v>
      </c>
      <c r="AQ5" s="2" t="str">
        <f>DEC2HEX(Table1[[#This Row],[a inv sp mx idx]], 1)</f>
        <v>5</v>
      </c>
      <c r="AR5" s="2" t="str">
        <f xml:space="preserve"> LEFT(Sng2String(Table1[[#This Row],[c bias]]), 6)</f>
        <v>3CF5C2</v>
      </c>
      <c r="AS5" s="2" t="str">
        <f xml:space="preserve"> LEFT(Sng2String(Table1[[#This Row],[c gain]]), 6)</f>
        <v>3F83D7</v>
      </c>
      <c r="AT5" s="2" t="str">
        <f>DEC2HEX(Table1[[#This Row],[c inv sp mx idx]], 1)</f>
        <v>6</v>
      </c>
      <c r="AU5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00300A07F83CF5C23F83D733F07AE3F03D743F83D73F07AE53CF5C23F83D7602</v>
      </c>
      <c r="AV5" s="2">
        <f>LEN(Table1[[#This Row],[DRAM data]])</f>
        <v>64</v>
      </c>
    </row>
    <row r="6" spans="1:48" x14ac:dyDescent="0.25">
      <c r="A6">
        <v>4</v>
      </c>
      <c r="B6">
        <f>Table1[[#This Row],[ZMW num]]+1</f>
        <v>5</v>
      </c>
      <c r="C6">
        <v>3</v>
      </c>
      <c r="D6">
        <v>14</v>
      </c>
      <c r="E6">
        <v>9</v>
      </c>
      <c r="F6">
        <v>246</v>
      </c>
      <c r="G6">
        <v>0</v>
      </c>
      <c r="H6">
        <f>Table1[[#This Row],[ZMW num]]*0.01</f>
        <v>0.04</v>
      </c>
      <c r="I6">
        <f>1+Table1[[#This Row],[t bias]]</f>
        <v>1.04</v>
      </c>
      <c r="J6">
        <f>Table1[[#This Row],[t kinetic trace]]* String2Single(CONCATENATE(LEFT(Single2String(Table1[[#This Row],[t gain]]), 6), "00")) + String2Single(CONCATENATE(LEFT(Single2String(Table1[[#This Row],[t bias]]), 6), "00"))</f>
        <v>3.9999961853027344E-2</v>
      </c>
      <c r="K6" t="str">
        <f>Sng2String(Table1[[#This Row],[t ptrace]])</f>
        <v>3D23D700</v>
      </c>
      <c r="L6">
        <f>MOD(Table1[[#This Row],[ZMW num]], 2^4)</f>
        <v>4</v>
      </c>
      <c r="M6">
        <v>0</v>
      </c>
      <c r="N6">
        <f>Table1[[#This Row],[t bias]]+0.5</f>
        <v>0.54</v>
      </c>
      <c r="O6">
        <f>Table1[[#This Row],[t gain]]/2</f>
        <v>0.52</v>
      </c>
      <c r="P6">
        <f>Table1[[#This Row],[g kinetic trace]] * String2Single(CONCATENATE(LEFT(Single2String(Table1[[#This Row],[g gain]]), 6), "00")) + String2Single(CONCATENATE(LEFT(Single2String(Table1[[#This Row],[g bias]]), 6), "00"))</f>
        <v>0.5399932861328125</v>
      </c>
      <c r="Q6" t="str">
        <f xml:space="preserve"> Sng2String(Table1[[#This Row],[g ptrace]])</f>
        <v>3F0A3D00</v>
      </c>
      <c r="R6">
        <f>MOD(Table1[[#This Row],[t inv sp mx idx]]+1, 2^4)</f>
        <v>5</v>
      </c>
      <c r="S6">
        <v>0</v>
      </c>
      <c r="T6">
        <f>Table1[[#This Row],[t bias]]+1</f>
        <v>1.04</v>
      </c>
      <c r="U6">
        <f>Table1[[#This Row],[t gain]]-0.5</f>
        <v>0.54</v>
      </c>
      <c r="V6">
        <f>Table1[[#This Row],[a kinetic trace]] * String2Single(CONCATENATE(LEFT(Single2String(Table1[[#This Row],[a gain]]), 6), "00")) + String2Single(CONCATENATE(LEFT(Single2String(Table1[[#This Row],[a bias]]), 6), "00"))</f>
        <v>1.03997802734375</v>
      </c>
      <c r="W6" t="str">
        <f xml:space="preserve"> Sng2String(Table1[[#This Row],[a ptrace]])</f>
        <v>3F851E00</v>
      </c>
      <c r="X6">
        <f>MOD(Table1[[#This Row],[t inv sp mx idx]]+2, 2^4)</f>
        <v>6</v>
      </c>
      <c r="Y6">
        <v>0</v>
      </c>
      <c r="Z6">
        <f>Table1[[#This Row],[t bias]]</f>
        <v>0.04</v>
      </c>
      <c r="AA6">
        <f>Table1[[#This Row],[t gain]]</f>
        <v>1.04</v>
      </c>
      <c r="AB6">
        <f>Table1[[#This Row],[c kinetic trace]]* String2Single(CONCATENATE(LEFT(Single2String(Table1[[#This Row],[c gain]]), 6), "00")) + String2Single(CONCATENATE(LEFT(Single2String(Table1[[#This Row],[c bias]]), 6), "00"))</f>
        <v>3.9999961853027344E-2</v>
      </c>
      <c r="AC6" t="str">
        <f xml:space="preserve"> Sng2String(Table1[[#This Row],[c ptrace]])</f>
        <v>3D23D700</v>
      </c>
      <c r="AD6">
        <f>MOD(Table1[[#This Row],[t inv sp mx idx]]+3, 2^4)</f>
        <v>7</v>
      </c>
      <c r="AE6" s="4" t="str">
        <f>DEC2HEX(Table1[[#This Row],[row]], 3)</f>
        <v>003</v>
      </c>
      <c r="AF6" s="2" t="str">
        <f>DEC2HEX(Table1[[#This Row],[col]], 3)</f>
        <v>00E</v>
      </c>
      <c r="AG6" s="2" t="str">
        <f>DEC2HEX(Table1[[#This Row],[grn fsp idx]], 2)</f>
        <v>09</v>
      </c>
      <c r="AH6" s="2" t="str">
        <f>DEC2HEX(Table1[[#This Row],[red fsp idx]], 2)</f>
        <v>F6</v>
      </c>
      <c r="AI6" s="2" t="str">
        <f xml:space="preserve"> LEFT(Sng2String(Table1[[#This Row],[t bias]]), 6)</f>
        <v>3D23D7</v>
      </c>
      <c r="AJ6" s="2" t="str">
        <f xml:space="preserve"> LEFT(Sng2String(Table1[[#This Row],[t gain]]), 6)</f>
        <v>3F851E</v>
      </c>
      <c r="AK6" s="2" t="str">
        <f>DEC2HEX(Table1[[#This Row],[t inv sp mx idx]], 1)</f>
        <v>4</v>
      </c>
      <c r="AL6" s="2" t="str">
        <f xml:space="preserve"> LEFT(Sng2String(Table1[[#This Row],[g bias]]), 6)</f>
        <v>3F0A3D</v>
      </c>
      <c r="AM6" s="2" t="str">
        <f xml:space="preserve"> LEFT(Sng2String(Table1[[#This Row],[g gain]]), 6)</f>
        <v>3F051E</v>
      </c>
      <c r="AN6" s="2" t="str">
        <f>DEC2HEX(Table1[[#This Row],[g inv sp mx idx]], 1)</f>
        <v>5</v>
      </c>
      <c r="AO6" s="2" t="str">
        <f xml:space="preserve"> LEFT(Sng2String(Table1[[#This Row],[a bias]]), 6)</f>
        <v>3F851E</v>
      </c>
      <c r="AP6" s="2" t="str">
        <f xml:space="preserve"> LEFT(Sng2String(Table1[[#This Row],[a gain]]), 6)</f>
        <v>3F0A3D</v>
      </c>
      <c r="AQ6" s="2" t="str">
        <f>DEC2HEX(Table1[[#This Row],[a inv sp mx idx]], 1)</f>
        <v>6</v>
      </c>
      <c r="AR6" s="2" t="str">
        <f xml:space="preserve"> LEFT(Sng2String(Table1[[#This Row],[c bias]]), 6)</f>
        <v>3D23D7</v>
      </c>
      <c r="AS6" s="2" t="str">
        <f xml:space="preserve"> LEFT(Sng2String(Table1[[#This Row],[c gain]]), 6)</f>
        <v>3F851E</v>
      </c>
      <c r="AT6" s="2" t="str">
        <f>DEC2HEX(Table1[[#This Row],[c inv sp mx idx]], 1)</f>
        <v>7</v>
      </c>
      <c r="AU6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00300E09F63D23D73F851E43F0A3D3F051E53F851E3F0A3D63D23D73F851E702</v>
      </c>
      <c r="AV6" s="2">
        <f>LEN(Table1[[#This Row],[DRAM data]])</f>
        <v>64</v>
      </c>
    </row>
    <row r="7" spans="1:48" x14ac:dyDescent="0.25">
      <c r="A7">
        <v>5</v>
      </c>
      <c r="B7">
        <f>Table1[[#This Row],[ZMW num]]+1</f>
        <v>6</v>
      </c>
      <c r="C7">
        <v>3</v>
      </c>
      <c r="D7">
        <v>15</v>
      </c>
      <c r="E7">
        <v>11</v>
      </c>
      <c r="F7">
        <v>244</v>
      </c>
      <c r="G7">
        <v>0</v>
      </c>
      <c r="H7">
        <f>Table1[[#This Row],[ZMW num]]*0.01</f>
        <v>0.05</v>
      </c>
      <c r="I7">
        <f>1+Table1[[#This Row],[t bias]]</f>
        <v>1.05</v>
      </c>
      <c r="J7">
        <f>Table1[[#This Row],[t kinetic trace]]* String2Single(CONCATENATE(LEFT(Single2String(Table1[[#This Row],[t gain]]), 6), "00")) + String2Single(CONCATENATE(LEFT(Single2String(Table1[[#This Row],[t bias]]), 6), "00"))</f>
        <v>4.9999237060546875E-2</v>
      </c>
      <c r="K7" t="str">
        <f>Sng2String(Table1[[#This Row],[t ptrace]])</f>
        <v>3D4CCC00</v>
      </c>
      <c r="L7">
        <f>MOD(Table1[[#This Row],[ZMW num]], 2^4)</f>
        <v>5</v>
      </c>
      <c r="M7">
        <v>0</v>
      </c>
      <c r="N7">
        <f>Table1[[#This Row],[t bias]]+0.5</f>
        <v>0.55000000000000004</v>
      </c>
      <c r="O7">
        <f>Table1[[#This Row],[t gain]]/2</f>
        <v>0.52500000000000002</v>
      </c>
      <c r="P7">
        <f>Table1[[#This Row],[g kinetic trace]] * String2Single(CONCATENATE(LEFT(Single2String(Table1[[#This Row],[g gain]]), 6), "00")) + String2Single(CONCATENATE(LEFT(Single2String(Table1[[#This Row],[g bias]]), 6), "00"))</f>
        <v>0.54998779296875</v>
      </c>
      <c r="Q7" t="str">
        <f xml:space="preserve"> Sng2String(Table1[[#This Row],[g ptrace]])</f>
        <v>3F0CCC00</v>
      </c>
      <c r="R7">
        <f>MOD(Table1[[#This Row],[t inv sp mx idx]]+1, 2^4)</f>
        <v>6</v>
      </c>
      <c r="S7">
        <v>0</v>
      </c>
      <c r="T7">
        <f>Table1[[#This Row],[t bias]]+1</f>
        <v>1.05</v>
      </c>
      <c r="U7">
        <f>Table1[[#This Row],[t gain]]-0.5</f>
        <v>0.55000000000000004</v>
      </c>
      <c r="V7">
        <f>Table1[[#This Row],[a kinetic trace]] * String2Single(CONCATENATE(LEFT(Single2String(Table1[[#This Row],[a gain]]), 6), "00")) + String2Single(CONCATENATE(LEFT(Single2String(Table1[[#This Row],[a bias]]), 6), "00"))</f>
        <v>1.04998779296875</v>
      </c>
      <c r="W7" t="str">
        <f xml:space="preserve"> Sng2String(Table1[[#This Row],[a ptrace]])</f>
        <v>3F866600</v>
      </c>
      <c r="X7">
        <f>MOD(Table1[[#This Row],[t inv sp mx idx]]+2, 2^4)</f>
        <v>7</v>
      </c>
      <c r="Y7">
        <v>0</v>
      </c>
      <c r="Z7">
        <f>Table1[[#This Row],[t bias]]</f>
        <v>0.05</v>
      </c>
      <c r="AA7">
        <f>Table1[[#This Row],[t gain]]</f>
        <v>1.05</v>
      </c>
      <c r="AB7">
        <f>Table1[[#This Row],[c kinetic trace]]* String2Single(CONCATENATE(LEFT(Single2String(Table1[[#This Row],[c gain]]), 6), "00")) + String2Single(CONCATENATE(LEFT(Single2String(Table1[[#This Row],[c bias]]), 6), "00"))</f>
        <v>4.9999237060546875E-2</v>
      </c>
      <c r="AC7" t="str">
        <f xml:space="preserve"> Sng2String(Table1[[#This Row],[c ptrace]])</f>
        <v>3D4CCC00</v>
      </c>
      <c r="AD7">
        <f>MOD(Table1[[#This Row],[t inv sp mx idx]]+3, 2^4)</f>
        <v>8</v>
      </c>
      <c r="AE7" s="4" t="str">
        <f>DEC2HEX(Table1[[#This Row],[row]], 3)</f>
        <v>003</v>
      </c>
      <c r="AF7" s="2" t="str">
        <f>DEC2HEX(Table1[[#This Row],[col]], 3)</f>
        <v>00F</v>
      </c>
      <c r="AG7" s="2" t="str">
        <f>DEC2HEX(Table1[[#This Row],[grn fsp idx]], 2)</f>
        <v>0B</v>
      </c>
      <c r="AH7" s="2" t="str">
        <f>DEC2HEX(Table1[[#This Row],[red fsp idx]], 2)</f>
        <v>F4</v>
      </c>
      <c r="AI7" s="2" t="str">
        <f xml:space="preserve"> LEFT(Sng2String(Table1[[#This Row],[t bias]]), 6)</f>
        <v>3D4CCC</v>
      </c>
      <c r="AJ7" s="2" t="str">
        <f xml:space="preserve"> LEFT(Sng2String(Table1[[#This Row],[t gain]]), 6)</f>
        <v>3F8666</v>
      </c>
      <c r="AK7" s="2" t="str">
        <f>DEC2HEX(Table1[[#This Row],[t inv sp mx idx]], 1)</f>
        <v>5</v>
      </c>
      <c r="AL7" s="2" t="str">
        <f xml:space="preserve"> LEFT(Sng2String(Table1[[#This Row],[g bias]]), 6)</f>
        <v>3F0CCC</v>
      </c>
      <c r="AM7" s="2" t="str">
        <f xml:space="preserve"> LEFT(Sng2String(Table1[[#This Row],[g gain]]), 6)</f>
        <v>3F0666</v>
      </c>
      <c r="AN7" s="2" t="str">
        <f>DEC2HEX(Table1[[#This Row],[g inv sp mx idx]], 1)</f>
        <v>6</v>
      </c>
      <c r="AO7" s="2" t="str">
        <f xml:space="preserve"> LEFT(Sng2String(Table1[[#This Row],[a bias]]), 6)</f>
        <v>3F8666</v>
      </c>
      <c r="AP7" s="2" t="str">
        <f xml:space="preserve"> LEFT(Sng2String(Table1[[#This Row],[a gain]]), 6)</f>
        <v>3F0CCC</v>
      </c>
      <c r="AQ7" s="2" t="str">
        <f>DEC2HEX(Table1[[#This Row],[a inv sp mx idx]], 1)</f>
        <v>7</v>
      </c>
      <c r="AR7" s="2" t="str">
        <f xml:space="preserve"> LEFT(Sng2String(Table1[[#This Row],[c bias]]), 6)</f>
        <v>3D4CCC</v>
      </c>
      <c r="AS7" s="2" t="str">
        <f xml:space="preserve"> LEFT(Sng2String(Table1[[#This Row],[c gain]]), 6)</f>
        <v>3F8666</v>
      </c>
      <c r="AT7" s="2" t="str">
        <f>DEC2HEX(Table1[[#This Row],[c inv sp mx idx]], 1)</f>
        <v>8</v>
      </c>
      <c r="AU7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00300F0BF43D4CCC3F866653F0CCC3F066663F86663F0CCC73D4CCC3F8666802</v>
      </c>
      <c r="AV7" s="2">
        <f>LEN(Table1[[#This Row],[DRAM data]])</f>
        <v>64</v>
      </c>
    </row>
    <row r="8" spans="1:48" x14ac:dyDescent="0.25">
      <c r="A8">
        <v>6</v>
      </c>
      <c r="B8">
        <f>Table1[[#This Row],[ZMW num]]+1</f>
        <v>7</v>
      </c>
      <c r="C8">
        <v>3</v>
      </c>
      <c r="D8">
        <v>18</v>
      </c>
      <c r="E8">
        <v>13</v>
      </c>
      <c r="F8">
        <v>242</v>
      </c>
      <c r="G8">
        <v>0</v>
      </c>
      <c r="H8">
        <f>Table1[[#This Row],[ZMW num]]*0.01</f>
        <v>0.06</v>
      </c>
      <c r="I8">
        <f>1+Table1[[#This Row],[t bias]]</f>
        <v>1.06</v>
      </c>
      <c r="J8">
        <f>Table1[[#This Row],[t kinetic trace]]* String2Single(CONCATENATE(LEFT(Single2String(Table1[[#This Row],[t gain]]), 6), "00")) + String2Single(CONCATENATE(LEFT(Single2String(Table1[[#This Row],[t bias]]), 6), "00"))</f>
        <v>5.9999465942382813E-2</v>
      </c>
      <c r="K8" t="str">
        <f>Sng2String(Table1[[#This Row],[t ptrace]])</f>
        <v>3D75C200</v>
      </c>
      <c r="L8">
        <f>MOD(Table1[[#This Row],[ZMW num]], 2^4)</f>
        <v>6</v>
      </c>
      <c r="M8">
        <v>0</v>
      </c>
      <c r="N8">
        <f>Table1[[#This Row],[t bias]]+0.5</f>
        <v>0.56000000000000005</v>
      </c>
      <c r="O8">
        <f>Table1[[#This Row],[t gain]]/2</f>
        <v>0.53</v>
      </c>
      <c r="P8">
        <f>Table1[[#This Row],[g kinetic trace]] * String2Single(CONCATENATE(LEFT(Single2String(Table1[[#This Row],[g gain]]), 6), "00")) + String2Single(CONCATENATE(LEFT(Single2String(Table1[[#This Row],[g bias]]), 6), "00"))</f>
        <v>0.55999755859375</v>
      </c>
      <c r="Q8" t="str">
        <f xml:space="preserve"> Sng2String(Table1[[#This Row],[g ptrace]])</f>
        <v>3F0F5C00</v>
      </c>
      <c r="R8">
        <f>MOD(Table1[[#This Row],[t inv sp mx idx]]+1, 2^4)</f>
        <v>7</v>
      </c>
      <c r="S8">
        <v>0</v>
      </c>
      <c r="T8">
        <f>Table1[[#This Row],[t bias]]+1</f>
        <v>1.06</v>
      </c>
      <c r="U8">
        <f>Table1[[#This Row],[t gain]]-0.5</f>
        <v>0.56000000000000005</v>
      </c>
      <c r="V8">
        <f>Table1[[#This Row],[a kinetic trace]] * String2Single(CONCATENATE(LEFT(Single2String(Table1[[#This Row],[a gain]]), 6), "00")) + String2Single(CONCATENATE(LEFT(Single2String(Table1[[#This Row],[a bias]]), 6), "00"))</f>
        <v>1.05999755859375</v>
      </c>
      <c r="W8" t="str">
        <f xml:space="preserve"> Sng2String(Table1[[#This Row],[a ptrace]])</f>
        <v>3F87AE00</v>
      </c>
      <c r="X8">
        <f>MOD(Table1[[#This Row],[t inv sp mx idx]]+2, 2^4)</f>
        <v>8</v>
      </c>
      <c r="Y8">
        <v>0</v>
      </c>
      <c r="Z8">
        <f>Table1[[#This Row],[t bias]]</f>
        <v>0.06</v>
      </c>
      <c r="AA8">
        <f>Table1[[#This Row],[t gain]]</f>
        <v>1.06</v>
      </c>
      <c r="AB8">
        <f>Table1[[#This Row],[c kinetic trace]]* String2Single(CONCATENATE(LEFT(Single2String(Table1[[#This Row],[c gain]]), 6), "00")) + String2Single(CONCATENATE(LEFT(Single2String(Table1[[#This Row],[c bias]]), 6), "00"))</f>
        <v>5.9999465942382813E-2</v>
      </c>
      <c r="AC8" t="str">
        <f xml:space="preserve"> Sng2String(Table1[[#This Row],[c ptrace]])</f>
        <v>3D75C200</v>
      </c>
      <c r="AD8">
        <f>MOD(Table1[[#This Row],[t inv sp mx idx]]+3, 2^4)</f>
        <v>9</v>
      </c>
      <c r="AE8" s="4" t="str">
        <f>DEC2HEX(Table1[[#This Row],[row]], 3)</f>
        <v>003</v>
      </c>
      <c r="AF8" s="2" t="str">
        <f>DEC2HEX(Table1[[#This Row],[col]], 3)</f>
        <v>012</v>
      </c>
      <c r="AG8" s="2" t="str">
        <f>DEC2HEX(Table1[[#This Row],[grn fsp idx]], 2)</f>
        <v>0D</v>
      </c>
      <c r="AH8" s="2" t="str">
        <f>DEC2HEX(Table1[[#This Row],[red fsp idx]], 2)</f>
        <v>F2</v>
      </c>
      <c r="AI8" s="2" t="str">
        <f xml:space="preserve"> LEFT(Sng2String(Table1[[#This Row],[t bias]]), 6)</f>
        <v>3D75C2</v>
      </c>
      <c r="AJ8" s="2" t="str">
        <f xml:space="preserve"> LEFT(Sng2String(Table1[[#This Row],[t gain]]), 6)</f>
        <v>3F87AE</v>
      </c>
      <c r="AK8" s="2" t="str">
        <f>DEC2HEX(Table1[[#This Row],[t inv sp mx idx]], 1)</f>
        <v>6</v>
      </c>
      <c r="AL8" s="2" t="str">
        <f xml:space="preserve"> LEFT(Sng2String(Table1[[#This Row],[g bias]]), 6)</f>
        <v>3F0F5C</v>
      </c>
      <c r="AM8" s="2" t="str">
        <f xml:space="preserve"> LEFT(Sng2String(Table1[[#This Row],[g gain]]), 6)</f>
        <v>3F07AE</v>
      </c>
      <c r="AN8" s="2" t="str">
        <f>DEC2HEX(Table1[[#This Row],[g inv sp mx idx]], 1)</f>
        <v>7</v>
      </c>
      <c r="AO8" s="2" t="str">
        <f xml:space="preserve"> LEFT(Sng2String(Table1[[#This Row],[a bias]]), 6)</f>
        <v>3F87AE</v>
      </c>
      <c r="AP8" s="2" t="str">
        <f xml:space="preserve"> LEFT(Sng2String(Table1[[#This Row],[a gain]]), 6)</f>
        <v>3F0F5C</v>
      </c>
      <c r="AQ8" s="2" t="str">
        <f>DEC2HEX(Table1[[#This Row],[a inv sp mx idx]], 1)</f>
        <v>8</v>
      </c>
      <c r="AR8" s="2" t="str">
        <f xml:space="preserve"> LEFT(Sng2String(Table1[[#This Row],[c bias]]), 6)</f>
        <v>3D75C2</v>
      </c>
      <c r="AS8" s="2" t="str">
        <f xml:space="preserve"> LEFT(Sng2String(Table1[[#This Row],[c gain]]), 6)</f>
        <v>3F87AE</v>
      </c>
      <c r="AT8" s="2" t="str">
        <f>DEC2HEX(Table1[[#This Row],[c inv sp mx idx]], 1)</f>
        <v>9</v>
      </c>
      <c r="AU8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0030120DF23D75C23F87AE63F0F5C3F07AE73F87AE3F0F5C83D75C23F87AE902</v>
      </c>
      <c r="AV8" s="2">
        <f>LEN(Table1[[#This Row],[DRAM data]])</f>
        <v>64</v>
      </c>
    </row>
    <row r="9" spans="1:48" x14ac:dyDescent="0.25">
      <c r="A9">
        <v>7</v>
      </c>
      <c r="B9">
        <f>Table1[[#This Row],[ZMW num]]+1</f>
        <v>8</v>
      </c>
      <c r="C9">
        <v>3</v>
      </c>
      <c r="D9">
        <v>21</v>
      </c>
      <c r="E9">
        <v>15</v>
      </c>
      <c r="F9">
        <v>240</v>
      </c>
      <c r="G9">
        <v>0</v>
      </c>
      <c r="H9">
        <f>Table1[[#This Row],[ZMW num]]*0.01</f>
        <v>7.0000000000000007E-2</v>
      </c>
      <c r="I9">
        <f>1+Table1[[#This Row],[t bias]]</f>
        <v>1.07</v>
      </c>
      <c r="J9">
        <f>Table1[[#This Row],[t kinetic trace]]* String2Single(CONCATENATE(LEFT(Single2String(Table1[[#This Row],[t gain]]), 6), "00")) + String2Single(CONCATENATE(LEFT(Single2String(Table1[[#This Row],[t bias]]), 6), "00"))</f>
        <v>6.999969482421875E-2</v>
      </c>
      <c r="K9" t="str">
        <f>Sng2String(Table1[[#This Row],[t ptrace]])</f>
        <v>3D8F5C00</v>
      </c>
      <c r="L9">
        <f>MOD(Table1[[#This Row],[ZMW num]], 2^4)</f>
        <v>7</v>
      </c>
      <c r="M9">
        <v>0</v>
      </c>
      <c r="N9">
        <f>Table1[[#This Row],[t bias]]+0.5</f>
        <v>0.57000000000000006</v>
      </c>
      <c r="O9">
        <f>Table1[[#This Row],[t gain]]/2</f>
        <v>0.53500000000000003</v>
      </c>
      <c r="P9">
        <f>Table1[[#This Row],[g kinetic trace]] * String2Single(CONCATENATE(LEFT(Single2String(Table1[[#This Row],[g gain]]), 6), "00")) + String2Single(CONCATENATE(LEFT(Single2String(Table1[[#This Row],[g bias]]), 6), "00"))</f>
        <v>0.5699920654296875</v>
      </c>
      <c r="Q9" t="str">
        <f xml:space="preserve"> Sng2String(Table1[[#This Row],[g ptrace]])</f>
        <v>3F11EB00</v>
      </c>
      <c r="R9">
        <f>MOD(Table1[[#This Row],[t inv sp mx idx]]+1, 2^4)</f>
        <v>8</v>
      </c>
      <c r="S9">
        <v>0</v>
      </c>
      <c r="T9">
        <f>Table1[[#This Row],[t bias]]+1</f>
        <v>1.07</v>
      </c>
      <c r="U9">
        <f>Table1[[#This Row],[t gain]]-0.5</f>
        <v>0.57000000000000006</v>
      </c>
      <c r="V9">
        <f>Table1[[#This Row],[a kinetic trace]] * String2Single(CONCATENATE(LEFT(Single2String(Table1[[#This Row],[a gain]]), 6), "00")) + String2Single(CONCATENATE(LEFT(Single2String(Table1[[#This Row],[a bias]]), 6), "00"))</f>
        <v>1.069976806640625</v>
      </c>
      <c r="W9" t="str">
        <f xml:space="preserve"> Sng2String(Table1[[#This Row],[a ptrace]])</f>
        <v>3F88F500</v>
      </c>
      <c r="X9">
        <f>MOD(Table1[[#This Row],[t inv sp mx idx]]+2, 2^4)</f>
        <v>9</v>
      </c>
      <c r="Y9">
        <v>0</v>
      </c>
      <c r="Z9">
        <f>Table1[[#This Row],[t bias]]</f>
        <v>7.0000000000000007E-2</v>
      </c>
      <c r="AA9">
        <f>Table1[[#This Row],[t gain]]</f>
        <v>1.07</v>
      </c>
      <c r="AB9">
        <f>Table1[[#This Row],[c kinetic trace]]* String2Single(CONCATENATE(LEFT(Single2String(Table1[[#This Row],[c gain]]), 6), "00")) + String2Single(CONCATENATE(LEFT(Single2String(Table1[[#This Row],[c bias]]), 6), "00"))</f>
        <v>6.999969482421875E-2</v>
      </c>
      <c r="AC9" t="str">
        <f xml:space="preserve"> Sng2String(Table1[[#This Row],[c ptrace]])</f>
        <v>3D8F5C00</v>
      </c>
      <c r="AD9">
        <f>MOD(Table1[[#This Row],[t inv sp mx idx]]+3, 2^4)</f>
        <v>10</v>
      </c>
      <c r="AE9" s="4" t="str">
        <f>DEC2HEX(Table1[[#This Row],[row]], 3)</f>
        <v>003</v>
      </c>
      <c r="AF9" s="2" t="str">
        <f>DEC2HEX(Table1[[#This Row],[col]], 3)</f>
        <v>015</v>
      </c>
      <c r="AG9" s="2" t="str">
        <f>DEC2HEX(Table1[[#This Row],[grn fsp idx]], 2)</f>
        <v>0F</v>
      </c>
      <c r="AH9" s="2" t="str">
        <f>DEC2HEX(Table1[[#This Row],[red fsp idx]], 2)</f>
        <v>F0</v>
      </c>
      <c r="AI9" s="2" t="str">
        <f xml:space="preserve"> LEFT(Sng2String(Table1[[#This Row],[t bias]]), 6)</f>
        <v>3D8F5C</v>
      </c>
      <c r="AJ9" s="2" t="str">
        <f xml:space="preserve"> LEFT(Sng2String(Table1[[#This Row],[t gain]]), 6)</f>
        <v>3F88F5</v>
      </c>
      <c r="AK9" s="2" t="str">
        <f>DEC2HEX(Table1[[#This Row],[t inv sp mx idx]], 1)</f>
        <v>7</v>
      </c>
      <c r="AL9" s="2" t="str">
        <f xml:space="preserve"> LEFT(Sng2String(Table1[[#This Row],[g bias]]), 6)</f>
        <v>3F11EB</v>
      </c>
      <c r="AM9" s="2" t="str">
        <f xml:space="preserve"> LEFT(Sng2String(Table1[[#This Row],[g gain]]), 6)</f>
        <v>3F08F5</v>
      </c>
      <c r="AN9" s="2" t="str">
        <f>DEC2HEX(Table1[[#This Row],[g inv sp mx idx]], 1)</f>
        <v>8</v>
      </c>
      <c r="AO9" s="2" t="str">
        <f xml:space="preserve"> LEFT(Sng2String(Table1[[#This Row],[a bias]]), 6)</f>
        <v>3F88F5</v>
      </c>
      <c r="AP9" s="2" t="str">
        <f xml:space="preserve"> LEFT(Sng2String(Table1[[#This Row],[a gain]]), 6)</f>
        <v>3F11EB</v>
      </c>
      <c r="AQ9" s="2" t="str">
        <f>DEC2HEX(Table1[[#This Row],[a inv sp mx idx]], 1)</f>
        <v>9</v>
      </c>
      <c r="AR9" s="2" t="str">
        <f xml:space="preserve"> LEFT(Sng2String(Table1[[#This Row],[c bias]]), 6)</f>
        <v>3D8F5C</v>
      </c>
      <c r="AS9" s="2" t="str">
        <f xml:space="preserve"> LEFT(Sng2String(Table1[[#This Row],[c gain]]), 6)</f>
        <v>3F88F5</v>
      </c>
      <c r="AT9" s="2" t="str">
        <f>DEC2HEX(Table1[[#This Row],[c inv sp mx idx]], 1)</f>
        <v>A</v>
      </c>
      <c r="AU9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0030150FF03D8F5C3F88F573F11EB3F08F583F88F53F11EB93D8F5C3F88F5A02</v>
      </c>
      <c r="AV9" s="2">
        <f>LEN(Table1[[#This Row],[DRAM data]])</f>
        <v>64</v>
      </c>
    </row>
    <row r="10" spans="1:48" x14ac:dyDescent="0.25">
      <c r="A10">
        <v>8</v>
      </c>
      <c r="B10">
        <f>Table1[[#This Row],[ZMW num]]+1</f>
        <v>9</v>
      </c>
      <c r="C10">
        <v>3</v>
      </c>
      <c r="D10">
        <v>24</v>
      </c>
      <c r="E10">
        <v>17</v>
      </c>
      <c r="F10">
        <v>238</v>
      </c>
      <c r="G10">
        <v>0</v>
      </c>
      <c r="H10">
        <f>Table1[[#This Row],[ZMW num]]*0.01</f>
        <v>0.08</v>
      </c>
      <c r="I10">
        <f>1+Table1[[#This Row],[t bias]]</f>
        <v>1.08</v>
      </c>
      <c r="J10">
        <f>Table1[[#This Row],[t kinetic trace]]* String2Single(CONCATENATE(LEFT(Single2String(Table1[[#This Row],[t gain]]), 6), "00")) + String2Single(CONCATENATE(LEFT(Single2String(Table1[[#This Row],[t bias]]), 6), "00"))</f>
        <v>7.9999923706054688E-2</v>
      </c>
      <c r="K10" t="str">
        <f>Sng2String(Table1[[#This Row],[t ptrace]])</f>
        <v>3DA3D700</v>
      </c>
      <c r="L10">
        <f>MOD(Table1[[#This Row],[ZMW num]], 2^4)</f>
        <v>8</v>
      </c>
      <c r="M10">
        <v>0</v>
      </c>
      <c r="N10">
        <f>Table1[[#This Row],[t bias]]+0.5</f>
        <v>0.57999999999999996</v>
      </c>
      <c r="O10">
        <f>Table1[[#This Row],[t gain]]/2</f>
        <v>0.54</v>
      </c>
      <c r="P10">
        <f>Table1[[#This Row],[g kinetic trace]] * String2Single(CONCATENATE(LEFT(Single2String(Table1[[#This Row],[g gain]]), 6), "00")) + String2Single(CONCATENATE(LEFT(Single2String(Table1[[#This Row],[g bias]]), 6), "00"))</f>
        <v>0.579986572265625</v>
      </c>
      <c r="Q10" t="str">
        <f xml:space="preserve"> Sng2String(Table1[[#This Row],[g ptrace]])</f>
        <v>3F147A00</v>
      </c>
      <c r="R10">
        <f>MOD(Table1[[#This Row],[t inv sp mx idx]]+1, 2^4)</f>
        <v>9</v>
      </c>
      <c r="S10">
        <v>0</v>
      </c>
      <c r="T10">
        <f>Table1[[#This Row],[t bias]]+1</f>
        <v>1.08</v>
      </c>
      <c r="U10">
        <f>Table1[[#This Row],[t gain]]-0.5</f>
        <v>0.58000000000000007</v>
      </c>
      <c r="V10">
        <f>Table1[[#This Row],[a kinetic trace]] * String2Single(CONCATENATE(LEFT(Single2String(Table1[[#This Row],[a gain]]), 6), "00")) + String2Single(CONCATENATE(LEFT(Single2String(Table1[[#This Row],[a bias]]), 6), "00"))</f>
        <v>1.079986572265625</v>
      </c>
      <c r="W10" t="str">
        <f xml:space="preserve"> Sng2String(Table1[[#This Row],[a ptrace]])</f>
        <v>3F8A3D00</v>
      </c>
      <c r="X10">
        <f>MOD(Table1[[#This Row],[t inv sp mx idx]]+2, 2^4)</f>
        <v>10</v>
      </c>
      <c r="Y10">
        <v>0</v>
      </c>
      <c r="Z10">
        <f>Table1[[#This Row],[t bias]]</f>
        <v>0.08</v>
      </c>
      <c r="AA10">
        <f>Table1[[#This Row],[t gain]]</f>
        <v>1.08</v>
      </c>
      <c r="AB10">
        <f>Table1[[#This Row],[c kinetic trace]]* String2Single(CONCATENATE(LEFT(Single2String(Table1[[#This Row],[c gain]]), 6), "00")) + String2Single(CONCATENATE(LEFT(Single2String(Table1[[#This Row],[c bias]]), 6), "00"))</f>
        <v>7.9999923706054688E-2</v>
      </c>
      <c r="AC10" t="str">
        <f xml:space="preserve"> Sng2String(Table1[[#This Row],[c ptrace]])</f>
        <v>3DA3D700</v>
      </c>
      <c r="AD10">
        <f>MOD(Table1[[#This Row],[t inv sp mx idx]]+3, 2^4)</f>
        <v>11</v>
      </c>
      <c r="AE10" s="4" t="str">
        <f>DEC2HEX(Table1[[#This Row],[row]], 3)</f>
        <v>003</v>
      </c>
      <c r="AF10" s="2" t="str">
        <f>DEC2HEX(Table1[[#This Row],[col]], 3)</f>
        <v>018</v>
      </c>
      <c r="AG10" s="2" t="str">
        <f>DEC2HEX(Table1[[#This Row],[grn fsp idx]], 2)</f>
        <v>11</v>
      </c>
      <c r="AH10" s="2" t="str">
        <f>DEC2HEX(Table1[[#This Row],[red fsp idx]], 2)</f>
        <v>EE</v>
      </c>
      <c r="AI10" s="2" t="str">
        <f xml:space="preserve"> LEFT(Sng2String(Table1[[#This Row],[t bias]]), 6)</f>
        <v>3DA3D7</v>
      </c>
      <c r="AJ10" s="2" t="str">
        <f xml:space="preserve"> LEFT(Sng2String(Table1[[#This Row],[t gain]]), 6)</f>
        <v>3F8A3D</v>
      </c>
      <c r="AK10" s="2" t="str">
        <f>DEC2HEX(Table1[[#This Row],[t inv sp mx idx]], 1)</f>
        <v>8</v>
      </c>
      <c r="AL10" s="2" t="str">
        <f xml:space="preserve"> LEFT(Sng2String(Table1[[#This Row],[g bias]]), 6)</f>
        <v>3F147A</v>
      </c>
      <c r="AM10" s="2" t="str">
        <f xml:space="preserve"> LEFT(Sng2String(Table1[[#This Row],[g gain]]), 6)</f>
        <v>3F0A3D</v>
      </c>
      <c r="AN10" s="2" t="str">
        <f>DEC2HEX(Table1[[#This Row],[g inv sp mx idx]], 1)</f>
        <v>9</v>
      </c>
      <c r="AO10" s="2" t="str">
        <f xml:space="preserve"> LEFT(Sng2String(Table1[[#This Row],[a bias]]), 6)</f>
        <v>3F8A3D</v>
      </c>
      <c r="AP10" s="2" t="str">
        <f xml:space="preserve"> LEFT(Sng2String(Table1[[#This Row],[a gain]]), 6)</f>
        <v>3F147A</v>
      </c>
      <c r="AQ10" s="2" t="str">
        <f>DEC2HEX(Table1[[#This Row],[a inv sp mx idx]], 1)</f>
        <v>A</v>
      </c>
      <c r="AR10" s="2" t="str">
        <f xml:space="preserve"> LEFT(Sng2String(Table1[[#This Row],[c bias]]), 6)</f>
        <v>3DA3D7</v>
      </c>
      <c r="AS10" s="2" t="str">
        <f xml:space="preserve"> LEFT(Sng2String(Table1[[#This Row],[c gain]]), 6)</f>
        <v>3F8A3D</v>
      </c>
      <c r="AT10" s="2" t="str">
        <f>DEC2HEX(Table1[[#This Row],[c inv sp mx idx]], 1)</f>
        <v>B</v>
      </c>
      <c r="AU10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00301811EE3DA3D73F8A3D83F147A3F0A3D93F8A3D3F147AA3DA3D73F8A3DB02</v>
      </c>
      <c r="AV10" s="2">
        <f>LEN(Table1[[#This Row],[DRAM data]])</f>
        <v>64</v>
      </c>
    </row>
    <row r="11" spans="1:48" x14ac:dyDescent="0.25">
      <c r="A11">
        <v>9</v>
      </c>
      <c r="B11">
        <f>Table1[[#This Row],[ZMW num]]+1</f>
        <v>10</v>
      </c>
      <c r="C11">
        <v>3</v>
      </c>
      <c r="D11">
        <v>28</v>
      </c>
      <c r="E11">
        <v>19</v>
      </c>
      <c r="F11">
        <v>236</v>
      </c>
      <c r="G11">
        <v>0</v>
      </c>
      <c r="H11">
        <f>Table1[[#This Row],[ZMW num]]*0.01</f>
        <v>0.09</v>
      </c>
      <c r="I11">
        <f>1+Table1[[#This Row],[t bias]]</f>
        <v>1.0900000000000001</v>
      </c>
      <c r="J11">
        <f>Table1[[#This Row],[t kinetic trace]]* String2Single(CONCATENATE(LEFT(Single2String(Table1[[#This Row],[t gain]]), 6), "00")) + String2Single(CONCATENATE(LEFT(Single2String(Table1[[#This Row],[t bias]]), 6), "00"))</f>
        <v>8.9998245239257813E-2</v>
      </c>
      <c r="K11" t="str">
        <f>Sng2String(Table1[[#This Row],[t ptrace]])</f>
        <v>3DB85100</v>
      </c>
      <c r="L11">
        <f>MOD(Table1[[#This Row],[ZMW num]], 2^4)</f>
        <v>9</v>
      </c>
      <c r="M11">
        <v>0</v>
      </c>
      <c r="N11">
        <f>Table1[[#This Row],[t bias]]+0.5</f>
        <v>0.59</v>
      </c>
      <c r="O11">
        <f>Table1[[#This Row],[t gain]]/2</f>
        <v>0.54500000000000004</v>
      </c>
      <c r="P11">
        <f>Table1[[#This Row],[g kinetic trace]] * String2Single(CONCATENATE(LEFT(Single2String(Table1[[#This Row],[g gain]]), 6), "00")) + String2Single(CONCATENATE(LEFT(Single2String(Table1[[#This Row],[g bias]]), 6), "00"))</f>
        <v>0.589996337890625</v>
      </c>
      <c r="Q11" t="str">
        <f xml:space="preserve"> Sng2String(Table1[[#This Row],[g ptrace]])</f>
        <v>3F170A00</v>
      </c>
      <c r="R11">
        <f>MOD(Table1[[#This Row],[t inv sp mx idx]]+1, 2^4)</f>
        <v>10</v>
      </c>
      <c r="S11">
        <v>0</v>
      </c>
      <c r="T11">
        <f>Table1[[#This Row],[t bias]]+1</f>
        <v>1.0900000000000001</v>
      </c>
      <c r="U11">
        <f>Table1[[#This Row],[t gain]]-0.5</f>
        <v>0.59000000000000008</v>
      </c>
      <c r="V11">
        <f>Table1[[#This Row],[a kinetic trace]] * String2Single(CONCATENATE(LEFT(Single2String(Table1[[#This Row],[a gain]]), 6), "00")) + String2Single(CONCATENATE(LEFT(Single2String(Table1[[#This Row],[a bias]]), 6), "00"))</f>
        <v>1.089996337890625</v>
      </c>
      <c r="W11" t="str">
        <f xml:space="preserve"> Sng2String(Table1[[#This Row],[a ptrace]])</f>
        <v>3F8B8500</v>
      </c>
      <c r="X11">
        <f>MOD(Table1[[#This Row],[t inv sp mx idx]]+2, 2^4)</f>
        <v>11</v>
      </c>
      <c r="Y11">
        <v>0</v>
      </c>
      <c r="Z11">
        <f>Table1[[#This Row],[t bias]]</f>
        <v>0.09</v>
      </c>
      <c r="AA11">
        <f>Table1[[#This Row],[t gain]]</f>
        <v>1.0900000000000001</v>
      </c>
      <c r="AB11">
        <f>Table1[[#This Row],[c kinetic trace]]* String2Single(CONCATENATE(LEFT(Single2String(Table1[[#This Row],[c gain]]), 6), "00")) + String2Single(CONCATENATE(LEFT(Single2String(Table1[[#This Row],[c bias]]), 6), "00"))</f>
        <v>8.9998245239257813E-2</v>
      </c>
      <c r="AC11" t="str">
        <f xml:space="preserve"> Sng2String(Table1[[#This Row],[c ptrace]])</f>
        <v>3DB85100</v>
      </c>
      <c r="AD11">
        <f>MOD(Table1[[#This Row],[t inv sp mx idx]]+3, 2^4)</f>
        <v>12</v>
      </c>
      <c r="AE11" s="4" t="str">
        <f>DEC2HEX(Table1[[#This Row],[row]], 3)</f>
        <v>003</v>
      </c>
      <c r="AF11" s="2" t="str">
        <f>DEC2HEX(Table1[[#This Row],[col]], 3)</f>
        <v>01C</v>
      </c>
      <c r="AG11" s="2" t="str">
        <f>DEC2HEX(Table1[[#This Row],[grn fsp idx]], 2)</f>
        <v>13</v>
      </c>
      <c r="AH11" s="2" t="str">
        <f>DEC2HEX(Table1[[#This Row],[red fsp idx]], 2)</f>
        <v>EC</v>
      </c>
      <c r="AI11" s="2" t="str">
        <f xml:space="preserve"> LEFT(Sng2String(Table1[[#This Row],[t bias]]), 6)</f>
        <v>3DB851</v>
      </c>
      <c r="AJ11" s="2" t="str">
        <f xml:space="preserve"> LEFT(Sng2String(Table1[[#This Row],[t gain]]), 6)</f>
        <v>3F8B85</v>
      </c>
      <c r="AK11" s="2" t="str">
        <f>DEC2HEX(Table1[[#This Row],[t inv sp mx idx]], 1)</f>
        <v>9</v>
      </c>
      <c r="AL11" s="2" t="str">
        <f xml:space="preserve"> LEFT(Sng2String(Table1[[#This Row],[g bias]]), 6)</f>
        <v>3F170A</v>
      </c>
      <c r="AM11" s="2" t="str">
        <f xml:space="preserve"> LEFT(Sng2String(Table1[[#This Row],[g gain]]), 6)</f>
        <v>3F0B85</v>
      </c>
      <c r="AN11" s="2" t="str">
        <f>DEC2HEX(Table1[[#This Row],[g inv sp mx idx]], 1)</f>
        <v>A</v>
      </c>
      <c r="AO11" s="2" t="str">
        <f xml:space="preserve"> LEFT(Sng2String(Table1[[#This Row],[a bias]]), 6)</f>
        <v>3F8B85</v>
      </c>
      <c r="AP11" s="2" t="str">
        <f xml:space="preserve"> LEFT(Sng2String(Table1[[#This Row],[a gain]]), 6)</f>
        <v>3F170A</v>
      </c>
      <c r="AQ11" s="2" t="str">
        <f>DEC2HEX(Table1[[#This Row],[a inv sp mx idx]], 1)</f>
        <v>B</v>
      </c>
      <c r="AR11" s="2" t="str">
        <f xml:space="preserve"> LEFT(Sng2String(Table1[[#This Row],[c bias]]), 6)</f>
        <v>3DB851</v>
      </c>
      <c r="AS11" s="2" t="str">
        <f xml:space="preserve"> LEFT(Sng2String(Table1[[#This Row],[c gain]]), 6)</f>
        <v>3F8B85</v>
      </c>
      <c r="AT11" s="2" t="str">
        <f>DEC2HEX(Table1[[#This Row],[c inv sp mx idx]], 1)</f>
        <v>C</v>
      </c>
      <c r="AU11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00301C13EC3DB8513F8B8593F170A3F0B85A3F8B853F170AB3DB8513F8B85C02</v>
      </c>
      <c r="AV11" s="2">
        <f>LEN(Table1[[#This Row],[DRAM data]])</f>
        <v>64</v>
      </c>
    </row>
    <row r="12" spans="1:48" x14ac:dyDescent="0.25">
      <c r="A12">
        <v>10</v>
      </c>
      <c r="B12">
        <f>Table1[[#This Row],[ZMW num]]+1</f>
        <v>11</v>
      </c>
      <c r="C12">
        <v>3</v>
      </c>
      <c r="D12">
        <v>32</v>
      </c>
      <c r="E12">
        <v>21</v>
      </c>
      <c r="F12">
        <v>234</v>
      </c>
      <c r="G12">
        <v>0</v>
      </c>
      <c r="H12">
        <f>Table1[[#This Row],[ZMW num]]*0.01</f>
        <v>0.1</v>
      </c>
      <c r="I12">
        <f>1+Table1[[#This Row],[t bias]]</f>
        <v>1.1000000000000001</v>
      </c>
      <c r="J12">
        <f>Table1[[#This Row],[t kinetic trace]]* String2Single(CONCATENATE(LEFT(Single2String(Table1[[#This Row],[t gain]]), 6), "00")) + String2Single(CONCATENATE(LEFT(Single2String(Table1[[#This Row],[t bias]]), 6), "00"))</f>
        <v>9.999847412109375E-2</v>
      </c>
      <c r="K12" t="str">
        <f>Sng2String(Table1[[#This Row],[t ptrace]])</f>
        <v>3DCCCC00</v>
      </c>
      <c r="L12">
        <f>MOD(Table1[[#This Row],[ZMW num]], 2^4)</f>
        <v>10</v>
      </c>
      <c r="M12">
        <v>0</v>
      </c>
      <c r="N12">
        <f>Table1[[#This Row],[t bias]]+0.5</f>
        <v>0.6</v>
      </c>
      <c r="O12">
        <f>Table1[[#This Row],[t gain]]/2</f>
        <v>0.55000000000000004</v>
      </c>
      <c r="P12">
        <f>Table1[[#This Row],[g kinetic trace]] * String2Single(CONCATENATE(LEFT(Single2String(Table1[[#This Row],[g gain]]), 6), "00")) + String2Single(CONCATENATE(LEFT(Single2String(Table1[[#This Row],[g bias]]), 6), "00"))</f>
        <v>0.5999908447265625</v>
      </c>
      <c r="Q12" t="str">
        <f xml:space="preserve"> Sng2String(Table1[[#This Row],[g ptrace]])</f>
        <v>3F199900</v>
      </c>
      <c r="R12">
        <f>MOD(Table1[[#This Row],[t inv sp mx idx]]+1, 2^4)</f>
        <v>11</v>
      </c>
      <c r="S12">
        <v>0</v>
      </c>
      <c r="T12">
        <f>Table1[[#This Row],[t bias]]+1</f>
        <v>1.1000000000000001</v>
      </c>
      <c r="U12">
        <f>Table1[[#This Row],[t gain]]-0.5</f>
        <v>0.60000000000000009</v>
      </c>
      <c r="V12">
        <f>Table1[[#This Row],[a kinetic trace]] * String2Single(CONCATENATE(LEFT(Single2String(Table1[[#This Row],[a gain]]), 6), "00")) + String2Single(CONCATENATE(LEFT(Single2String(Table1[[#This Row],[a bias]]), 6), "00"))</f>
        <v>1.0999755859375</v>
      </c>
      <c r="W12" t="str">
        <f xml:space="preserve"> Sng2String(Table1[[#This Row],[a ptrace]])</f>
        <v>3F8CCC00</v>
      </c>
      <c r="X12">
        <f>MOD(Table1[[#This Row],[t inv sp mx idx]]+2, 2^4)</f>
        <v>12</v>
      </c>
      <c r="Y12">
        <v>0</v>
      </c>
      <c r="Z12">
        <f>Table1[[#This Row],[t bias]]</f>
        <v>0.1</v>
      </c>
      <c r="AA12">
        <f>Table1[[#This Row],[t gain]]</f>
        <v>1.1000000000000001</v>
      </c>
      <c r="AB12">
        <f>Table1[[#This Row],[c kinetic trace]]* String2Single(CONCATENATE(LEFT(Single2String(Table1[[#This Row],[c gain]]), 6), "00")) + String2Single(CONCATENATE(LEFT(Single2String(Table1[[#This Row],[c bias]]), 6), "00"))</f>
        <v>9.999847412109375E-2</v>
      </c>
      <c r="AC12" t="str">
        <f xml:space="preserve"> Sng2String(Table1[[#This Row],[c ptrace]])</f>
        <v>3DCCCC00</v>
      </c>
      <c r="AD12">
        <f>MOD(Table1[[#This Row],[t inv sp mx idx]]+3, 2^4)</f>
        <v>13</v>
      </c>
      <c r="AE12" s="4" t="str">
        <f>DEC2HEX(Table1[[#This Row],[row]], 3)</f>
        <v>003</v>
      </c>
      <c r="AF12" s="2" t="str">
        <f>DEC2HEX(Table1[[#This Row],[col]], 3)</f>
        <v>020</v>
      </c>
      <c r="AG12" s="2" t="str">
        <f>DEC2HEX(Table1[[#This Row],[grn fsp idx]], 2)</f>
        <v>15</v>
      </c>
      <c r="AH12" s="2" t="str">
        <f>DEC2HEX(Table1[[#This Row],[red fsp idx]], 2)</f>
        <v>EA</v>
      </c>
      <c r="AI12" s="2" t="str">
        <f xml:space="preserve"> LEFT(Sng2String(Table1[[#This Row],[t bias]]), 6)</f>
        <v>3DCCCC</v>
      </c>
      <c r="AJ12" s="2" t="str">
        <f xml:space="preserve"> LEFT(Sng2String(Table1[[#This Row],[t gain]]), 6)</f>
        <v>3F8CCC</v>
      </c>
      <c r="AK12" s="2" t="str">
        <f>DEC2HEX(Table1[[#This Row],[t inv sp mx idx]], 1)</f>
        <v>A</v>
      </c>
      <c r="AL12" s="2" t="str">
        <f xml:space="preserve"> LEFT(Sng2String(Table1[[#This Row],[g bias]]), 6)</f>
        <v>3F1999</v>
      </c>
      <c r="AM12" s="2" t="str">
        <f xml:space="preserve"> LEFT(Sng2String(Table1[[#This Row],[g gain]]), 6)</f>
        <v>3F0CCC</v>
      </c>
      <c r="AN12" s="2" t="str">
        <f>DEC2HEX(Table1[[#This Row],[g inv sp mx idx]], 1)</f>
        <v>B</v>
      </c>
      <c r="AO12" s="2" t="str">
        <f xml:space="preserve"> LEFT(Sng2String(Table1[[#This Row],[a bias]]), 6)</f>
        <v>3F8CCC</v>
      </c>
      <c r="AP12" s="2" t="str">
        <f xml:space="preserve"> LEFT(Sng2String(Table1[[#This Row],[a gain]]), 6)</f>
        <v>3F1999</v>
      </c>
      <c r="AQ12" s="2" t="str">
        <f>DEC2HEX(Table1[[#This Row],[a inv sp mx idx]], 1)</f>
        <v>C</v>
      </c>
      <c r="AR12" s="2" t="str">
        <f xml:space="preserve"> LEFT(Sng2String(Table1[[#This Row],[c bias]]), 6)</f>
        <v>3DCCCC</v>
      </c>
      <c r="AS12" s="2" t="str">
        <f xml:space="preserve"> LEFT(Sng2String(Table1[[#This Row],[c gain]]), 6)</f>
        <v>3F8CCC</v>
      </c>
      <c r="AT12" s="2" t="str">
        <f>DEC2HEX(Table1[[#This Row],[c inv sp mx idx]], 1)</f>
        <v>D</v>
      </c>
      <c r="AU12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00302015EA3DCCCC3F8CCCA3F19993F0CCCB3F8CCC3F1999C3DCCCC3F8CCCD02</v>
      </c>
      <c r="AV12" s="2">
        <f>LEN(Table1[[#This Row],[DRAM data]])</f>
        <v>64</v>
      </c>
    </row>
    <row r="13" spans="1:48" x14ac:dyDescent="0.25">
      <c r="A13">
        <v>11</v>
      </c>
      <c r="B13">
        <f>Table1[[#This Row],[ZMW num]]+1</f>
        <v>12</v>
      </c>
      <c r="C13">
        <v>3</v>
      </c>
      <c r="D13">
        <v>35</v>
      </c>
      <c r="E13">
        <v>23</v>
      </c>
      <c r="F13">
        <v>232</v>
      </c>
      <c r="G13">
        <v>0</v>
      </c>
      <c r="H13">
        <f>Table1[[#This Row],[ZMW num]]*0.01</f>
        <v>0.11</v>
      </c>
      <c r="I13">
        <f>1+Table1[[#This Row],[t bias]]</f>
        <v>1.1100000000000001</v>
      </c>
      <c r="J13">
        <f>Table1[[#This Row],[t kinetic trace]]* String2Single(CONCATENATE(LEFT(Single2String(Table1[[#This Row],[t gain]]), 6), "00")) + String2Single(CONCATENATE(LEFT(Single2String(Table1[[#This Row],[t bias]]), 6), "00"))</f>
        <v>0.10999870300292969</v>
      </c>
      <c r="K13" t="str">
        <f>Sng2String(Table1[[#This Row],[t ptrace]])</f>
        <v>3DE14700</v>
      </c>
      <c r="L13">
        <f>MOD(Table1[[#This Row],[ZMW num]], 2^4)</f>
        <v>11</v>
      </c>
      <c r="M13">
        <v>0</v>
      </c>
      <c r="N13">
        <f>Table1[[#This Row],[t bias]]+0.5</f>
        <v>0.61</v>
      </c>
      <c r="O13">
        <f>Table1[[#This Row],[t gain]]/2</f>
        <v>0.55500000000000005</v>
      </c>
      <c r="P13">
        <f>Table1[[#This Row],[g kinetic trace]] * String2Single(CONCATENATE(LEFT(Single2String(Table1[[#This Row],[g gain]]), 6), "00")) + String2Single(CONCATENATE(LEFT(Single2String(Table1[[#This Row],[g bias]]), 6), "00"))</f>
        <v>0.6099853515625</v>
      </c>
      <c r="Q13" t="str">
        <f xml:space="preserve"> Sng2String(Table1[[#This Row],[g ptrace]])</f>
        <v>3F1C2800</v>
      </c>
      <c r="R13">
        <f>MOD(Table1[[#This Row],[t inv sp mx idx]]+1, 2^4)</f>
        <v>12</v>
      </c>
      <c r="S13">
        <v>0</v>
      </c>
      <c r="T13">
        <f>Table1[[#This Row],[t bias]]+1</f>
        <v>1.1100000000000001</v>
      </c>
      <c r="U13">
        <f>Table1[[#This Row],[t gain]]-0.5</f>
        <v>0.6100000000000001</v>
      </c>
      <c r="V13">
        <f>Table1[[#This Row],[a kinetic trace]] * String2Single(CONCATENATE(LEFT(Single2String(Table1[[#This Row],[a gain]]), 6), "00")) + String2Single(CONCATENATE(LEFT(Single2String(Table1[[#This Row],[a bias]]), 6), "00"))</f>
        <v>1.1099853515625</v>
      </c>
      <c r="W13" t="str">
        <f xml:space="preserve"> Sng2String(Table1[[#This Row],[a ptrace]])</f>
        <v>3F8E1400</v>
      </c>
      <c r="X13">
        <f>MOD(Table1[[#This Row],[t inv sp mx idx]]+2, 2^4)</f>
        <v>13</v>
      </c>
      <c r="Y13">
        <v>0</v>
      </c>
      <c r="Z13">
        <f>Table1[[#This Row],[t bias]]</f>
        <v>0.11</v>
      </c>
      <c r="AA13">
        <f>Table1[[#This Row],[t gain]]</f>
        <v>1.1100000000000001</v>
      </c>
      <c r="AB13">
        <f>Table1[[#This Row],[c kinetic trace]]* String2Single(CONCATENATE(LEFT(Single2String(Table1[[#This Row],[c gain]]), 6), "00")) + String2Single(CONCATENATE(LEFT(Single2String(Table1[[#This Row],[c bias]]), 6), "00"))</f>
        <v>0.10999870300292969</v>
      </c>
      <c r="AC13" t="str">
        <f xml:space="preserve"> Sng2String(Table1[[#This Row],[c ptrace]])</f>
        <v>3DE14700</v>
      </c>
      <c r="AD13">
        <f>MOD(Table1[[#This Row],[t inv sp mx idx]]+3, 2^4)</f>
        <v>14</v>
      </c>
      <c r="AE13" s="4" t="str">
        <f>DEC2HEX(Table1[[#This Row],[row]], 3)</f>
        <v>003</v>
      </c>
      <c r="AF13" s="2" t="str">
        <f>DEC2HEX(Table1[[#This Row],[col]], 3)</f>
        <v>023</v>
      </c>
      <c r="AG13" s="2" t="str">
        <f>DEC2HEX(Table1[[#This Row],[grn fsp idx]], 2)</f>
        <v>17</v>
      </c>
      <c r="AH13" s="2" t="str">
        <f>DEC2HEX(Table1[[#This Row],[red fsp idx]], 2)</f>
        <v>E8</v>
      </c>
      <c r="AI13" s="2" t="str">
        <f xml:space="preserve"> LEFT(Sng2String(Table1[[#This Row],[t bias]]), 6)</f>
        <v>3DE147</v>
      </c>
      <c r="AJ13" s="2" t="str">
        <f xml:space="preserve"> LEFT(Sng2String(Table1[[#This Row],[t gain]]), 6)</f>
        <v>3F8E14</v>
      </c>
      <c r="AK13" s="2" t="str">
        <f>DEC2HEX(Table1[[#This Row],[t inv sp mx idx]], 1)</f>
        <v>B</v>
      </c>
      <c r="AL13" s="2" t="str">
        <f xml:space="preserve"> LEFT(Sng2String(Table1[[#This Row],[g bias]]), 6)</f>
        <v>3F1C28</v>
      </c>
      <c r="AM13" s="2" t="str">
        <f xml:space="preserve"> LEFT(Sng2String(Table1[[#This Row],[g gain]]), 6)</f>
        <v>3F0E14</v>
      </c>
      <c r="AN13" s="2" t="str">
        <f>DEC2HEX(Table1[[#This Row],[g inv sp mx idx]], 1)</f>
        <v>C</v>
      </c>
      <c r="AO13" s="2" t="str">
        <f xml:space="preserve"> LEFT(Sng2String(Table1[[#This Row],[a bias]]), 6)</f>
        <v>3F8E14</v>
      </c>
      <c r="AP13" s="2" t="str">
        <f xml:space="preserve"> LEFT(Sng2String(Table1[[#This Row],[a gain]]), 6)</f>
        <v>3F1C28</v>
      </c>
      <c r="AQ13" s="2" t="str">
        <f>DEC2HEX(Table1[[#This Row],[a inv sp mx idx]], 1)</f>
        <v>D</v>
      </c>
      <c r="AR13" s="2" t="str">
        <f xml:space="preserve"> LEFT(Sng2String(Table1[[#This Row],[c bias]]), 6)</f>
        <v>3DE147</v>
      </c>
      <c r="AS13" s="2" t="str">
        <f xml:space="preserve"> LEFT(Sng2String(Table1[[#This Row],[c gain]]), 6)</f>
        <v>3F8E14</v>
      </c>
      <c r="AT13" s="2" t="str">
        <f>DEC2HEX(Table1[[#This Row],[c inv sp mx idx]], 1)</f>
        <v>E</v>
      </c>
      <c r="AU13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00302317E83DE1473F8E14B3F1C283F0E14C3F8E143F1C28D3DE1473F8E14E02</v>
      </c>
      <c r="AV13" s="2">
        <f>LEN(Table1[[#This Row],[DRAM data]])</f>
        <v>64</v>
      </c>
    </row>
    <row r="14" spans="1:48" x14ac:dyDescent="0.25">
      <c r="A14">
        <v>12</v>
      </c>
      <c r="B14">
        <f>Table1[[#This Row],[ZMW num]]+1</f>
        <v>13</v>
      </c>
      <c r="C14">
        <v>3</v>
      </c>
      <c r="D14">
        <v>40</v>
      </c>
      <c r="E14">
        <v>25</v>
      </c>
      <c r="F14">
        <v>230</v>
      </c>
      <c r="G14">
        <v>0</v>
      </c>
      <c r="H14">
        <f>Table1[[#This Row],[ZMW num]]*0.01</f>
        <v>0.12</v>
      </c>
      <c r="I14">
        <f>1+Table1[[#This Row],[t bias]]</f>
        <v>1.1200000000000001</v>
      </c>
      <c r="J14">
        <f>Table1[[#This Row],[t kinetic trace]]* String2Single(CONCATENATE(LEFT(Single2String(Table1[[#This Row],[t gain]]), 6), "00")) + String2Single(CONCATENATE(LEFT(Single2String(Table1[[#This Row],[t bias]]), 6), "00"))</f>
        <v>0.11999893188476563</v>
      </c>
      <c r="K14" t="str">
        <f>Sng2String(Table1[[#This Row],[t ptrace]])</f>
        <v>3DF5C200</v>
      </c>
      <c r="L14">
        <f>MOD(Table1[[#This Row],[ZMW num]], 2^4)</f>
        <v>12</v>
      </c>
      <c r="M14">
        <v>0</v>
      </c>
      <c r="N14">
        <f>Table1[[#This Row],[t bias]]+0.5</f>
        <v>0.62</v>
      </c>
      <c r="O14">
        <f>Table1[[#This Row],[t gain]]/2</f>
        <v>0.56000000000000005</v>
      </c>
      <c r="P14">
        <f>Table1[[#This Row],[g kinetic trace]] * String2Single(CONCATENATE(LEFT(Single2String(Table1[[#This Row],[g gain]]), 6), "00")) + String2Single(CONCATENATE(LEFT(Single2String(Table1[[#This Row],[g bias]]), 6), "00"))</f>
        <v>0.6199951171875</v>
      </c>
      <c r="Q14" t="str">
        <f xml:space="preserve"> Sng2String(Table1[[#This Row],[g ptrace]])</f>
        <v>3F1EB800</v>
      </c>
      <c r="R14">
        <f>MOD(Table1[[#This Row],[t inv sp mx idx]]+1, 2^4)</f>
        <v>13</v>
      </c>
      <c r="S14">
        <v>0</v>
      </c>
      <c r="T14">
        <f>Table1[[#This Row],[t bias]]+1</f>
        <v>1.1200000000000001</v>
      </c>
      <c r="U14">
        <f>Table1[[#This Row],[t gain]]-0.5</f>
        <v>0.62000000000000011</v>
      </c>
      <c r="V14">
        <f>Table1[[#This Row],[a kinetic trace]] * String2Single(CONCATENATE(LEFT(Single2String(Table1[[#This Row],[a gain]]), 6), "00")) + String2Single(CONCATENATE(LEFT(Single2String(Table1[[#This Row],[a bias]]), 6), "00"))</f>
        <v>1.1199951171875</v>
      </c>
      <c r="W14" t="str">
        <f xml:space="preserve"> Sng2String(Table1[[#This Row],[a ptrace]])</f>
        <v>3F8F5C00</v>
      </c>
      <c r="X14">
        <f>MOD(Table1[[#This Row],[t inv sp mx idx]]+2, 2^4)</f>
        <v>14</v>
      </c>
      <c r="Y14">
        <v>0</v>
      </c>
      <c r="Z14">
        <f>Table1[[#This Row],[t bias]]</f>
        <v>0.12</v>
      </c>
      <c r="AA14">
        <f>Table1[[#This Row],[t gain]]</f>
        <v>1.1200000000000001</v>
      </c>
      <c r="AB14">
        <f>Table1[[#This Row],[c kinetic trace]]* String2Single(CONCATENATE(LEFT(Single2String(Table1[[#This Row],[c gain]]), 6), "00")) + String2Single(CONCATENATE(LEFT(Single2String(Table1[[#This Row],[c bias]]), 6), "00"))</f>
        <v>0.11999893188476563</v>
      </c>
      <c r="AC14" t="str">
        <f xml:space="preserve"> Sng2String(Table1[[#This Row],[c ptrace]])</f>
        <v>3DF5C200</v>
      </c>
      <c r="AD14">
        <f>MOD(Table1[[#This Row],[t inv sp mx idx]]+3, 2^4)</f>
        <v>15</v>
      </c>
      <c r="AE14" s="4" t="str">
        <f>DEC2HEX(Table1[[#This Row],[row]], 3)</f>
        <v>003</v>
      </c>
      <c r="AF14" s="2" t="str">
        <f>DEC2HEX(Table1[[#This Row],[col]], 3)</f>
        <v>028</v>
      </c>
      <c r="AG14" s="2" t="str">
        <f>DEC2HEX(Table1[[#This Row],[grn fsp idx]], 2)</f>
        <v>19</v>
      </c>
      <c r="AH14" s="2" t="str">
        <f>DEC2HEX(Table1[[#This Row],[red fsp idx]], 2)</f>
        <v>E6</v>
      </c>
      <c r="AI14" s="2" t="str">
        <f xml:space="preserve"> LEFT(Sng2String(Table1[[#This Row],[t bias]]), 6)</f>
        <v>3DF5C2</v>
      </c>
      <c r="AJ14" s="2" t="str">
        <f xml:space="preserve"> LEFT(Sng2String(Table1[[#This Row],[t gain]]), 6)</f>
        <v>3F8F5C</v>
      </c>
      <c r="AK14" s="2" t="str">
        <f>DEC2HEX(Table1[[#This Row],[t inv sp mx idx]], 1)</f>
        <v>C</v>
      </c>
      <c r="AL14" s="2" t="str">
        <f xml:space="preserve"> LEFT(Sng2String(Table1[[#This Row],[g bias]]), 6)</f>
        <v>3F1EB8</v>
      </c>
      <c r="AM14" s="2" t="str">
        <f xml:space="preserve"> LEFT(Sng2String(Table1[[#This Row],[g gain]]), 6)</f>
        <v>3F0F5C</v>
      </c>
      <c r="AN14" s="2" t="str">
        <f>DEC2HEX(Table1[[#This Row],[g inv sp mx idx]], 1)</f>
        <v>D</v>
      </c>
      <c r="AO14" s="2" t="str">
        <f xml:space="preserve"> LEFT(Sng2String(Table1[[#This Row],[a bias]]), 6)</f>
        <v>3F8F5C</v>
      </c>
      <c r="AP14" s="2" t="str">
        <f xml:space="preserve"> LEFT(Sng2String(Table1[[#This Row],[a gain]]), 6)</f>
        <v>3F1EB8</v>
      </c>
      <c r="AQ14" s="2" t="str">
        <f>DEC2HEX(Table1[[#This Row],[a inv sp mx idx]], 1)</f>
        <v>E</v>
      </c>
      <c r="AR14" s="2" t="str">
        <f xml:space="preserve"> LEFT(Sng2String(Table1[[#This Row],[c bias]]), 6)</f>
        <v>3DF5C2</v>
      </c>
      <c r="AS14" s="2" t="str">
        <f xml:space="preserve"> LEFT(Sng2String(Table1[[#This Row],[c gain]]), 6)</f>
        <v>3F8F5C</v>
      </c>
      <c r="AT14" s="2" t="str">
        <f>DEC2HEX(Table1[[#This Row],[c inv sp mx idx]], 1)</f>
        <v>F</v>
      </c>
      <c r="AU14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00302819E63DF5C23F8F5CC3F1EB83F0F5CD3F8F5C3F1EB8E3DF5C23F8F5CF02</v>
      </c>
      <c r="AV14" s="2">
        <f>LEN(Table1[[#This Row],[DRAM data]])</f>
        <v>64</v>
      </c>
    </row>
    <row r="15" spans="1:48" x14ac:dyDescent="0.25">
      <c r="A15">
        <v>13</v>
      </c>
      <c r="B15">
        <f>Table1[[#This Row],[ZMW num]]+1</f>
        <v>14</v>
      </c>
      <c r="C15">
        <v>3</v>
      </c>
      <c r="D15">
        <v>44</v>
      </c>
      <c r="E15">
        <v>27</v>
      </c>
      <c r="F15">
        <v>228</v>
      </c>
      <c r="G15">
        <v>0</v>
      </c>
      <c r="H15">
        <f>Table1[[#This Row],[ZMW num]]*0.01</f>
        <v>0.13</v>
      </c>
      <c r="I15">
        <f>1+Table1[[#This Row],[t bias]]</f>
        <v>1.1299999999999999</v>
      </c>
      <c r="J15">
        <f>Table1[[#This Row],[t kinetic trace]]* String2Single(CONCATENATE(LEFT(Single2String(Table1[[#This Row],[t gain]]), 6), "00")) + String2Single(CONCATENATE(LEFT(Single2String(Table1[[#This Row],[t bias]]), 6), "00"))</f>
        <v>0.12999725341796875</v>
      </c>
      <c r="K15" t="str">
        <f>Sng2String(Table1[[#This Row],[t ptrace]])</f>
        <v>3E051E00</v>
      </c>
      <c r="L15">
        <f>MOD(Table1[[#This Row],[ZMW num]], 2^4)</f>
        <v>13</v>
      </c>
      <c r="M15">
        <v>0</v>
      </c>
      <c r="N15">
        <f>Table1[[#This Row],[t bias]]+0.5</f>
        <v>0.63</v>
      </c>
      <c r="O15">
        <f>Table1[[#This Row],[t gain]]/2</f>
        <v>0.56499999999999995</v>
      </c>
      <c r="P15">
        <f>Table1[[#This Row],[g kinetic trace]] * String2Single(CONCATENATE(LEFT(Single2String(Table1[[#This Row],[g gain]]), 6), "00")) + String2Single(CONCATENATE(LEFT(Single2String(Table1[[#This Row],[g bias]]), 6), "00"))</f>
        <v>0.6299896240234375</v>
      </c>
      <c r="Q15" t="str">
        <f xml:space="preserve"> Sng2String(Table1[[#This Row],[g ptrace]])</f>
        <v>3F214700</v>
      </c>
      <c r="R15">
        <f>MOD(Table1[[#This Row],[t inv sp mx idx]]+1, 2^4)</f>
        <v>14</v>
      </c>
      <c r="S15">
        <v>0</v>
      </c>
      <c r="T15">
        <f>Table1[[#This Row],[t bias]]+1</f>
        <v>1.1299999999999999</v>
      </c>
      <c r="U15">
        <f>Table1[[#This Row],[t gain]]-0.5</f>
        <v>0.62999999999999989</v>
      </c>
      <c r="V15">
        <f>Table1[[#This Row],[a kinetic trace]] * String2Single(CONCATENATE(LEFT(Single2String(Table1[[#This Row],[a gain]]), 6), "00")) + String2Single(CONCATENATE(LEFT(Single2String(Table1[[#This Row],[a bias]]), 6), "00"))</f>
        <v>1.129974365234375</v>
      </c>
      <c r="W15" t="str">
        <f xml:space="preserve"> Sng2String(Table1[[#This Row],[a ptrace]])</f>
        <v>3F90A300</v>
      </c>
      <c r="X15">
        <f>MOD(Table1[[#This Row],[t inv sp mx idx]]+2, 2^4)</f>
        <v>15</v>
      </c>
      <c r="Y15">
        <v>0</v>
      </c>
      <c r="Z15">
        <f>Table1[[#This Row],[t bias]]</f>
        <v>0.13</v>
      </c>
      <c r="AA15">
        <f>Table1[[#This Row],[t gain]]</f>
        <v>1.1299999999999999</v>
      </c>
      <c r="AB15">
        <f>Table1[[#This Row],[c kinetic trace]]* String2Single(CONCATENATE(LEFT(Single2String(Table1[[#This Row],[c gain]]), 6), "00")) + String2Single(CONCATENATE(LEFT(Single2String(Table1[[#This Row],[c bias]]), 6), "00"))</f>
        <v>0.12999725341796875</v>
      </c>
      <c r="AC15" t="str">
        <f xml:space="preserve"> Sng2String(Table1[[#This Row],[c ptrace]])</f>
        <v>3E051E00</v>
      </c>
      <c r="AD15">
        <f>MOD(Table1[[#This Row],[t inv sp mx idx]]+3, 2^4)</f>
        <v>0</v>
      </c>
      <c r="AE15" s="4" t="str">
        <f>DEC2HEX(Table1[[#This Row],[row]], 3)</f>
        <v>003</v>
      </c>
      <c r="AF15" s="2" t="str">
        <f>DEC2HEX(Table1[[#This Row],[col]], 3)</f>
        <v>02C</v>
      </c>
      <c r="AG15" s="2" t="str">
        <f>DEC2HEX(Table1[[#This Row],[grn fsp idx]], 2)</f>
        <v>1B</v>
      </c>
      <c r="AH15" s="2" t="str">
        <f>DEC2HEX(Table1[[#This Row],[red fsp idx]], 2)</f>
        <v>E4</v>
      </c>
      <c r="AI15" s="2" t="str">
        <f xml:space="preserve"> LEFT(Sng2String(Table1[[#This Row],[t bias]]), 6)</f>
        <v>3E051E</v>
      </c>
      <c r="AJ15" s="2" t="str">
        <f xml:space="preserve"> LEFT(Sng2String(Table1[[#This Row],[t gain]]), 6)</f>
        <v>3F90A3</v>
      </c>
      <c r="AK15" s="2" t="str">
        <f>DEC2HEX(Table1[[#This Row],[t inv sp mx idx]], 1)</f>
        <v>D</v>
      </c>
      <c r="AL15" s="2" t="str">
        <f xml:space="preserve"> LEFT(Sng2String(Table1[[#This Row],[g bias]]), 6)</f>
        <v>3F2147</v>
      </c>
      <c r="AM15" s="2" t="str">
        <f xml:space="preserve"> LEFT(Sng2String(Table1[[#This Row],[g gain]]), 6)</f>
        <v>3F10A3</v>
      </c>
      <c r="AN15" s="2" t="str">
        <f>DEC2HEX(Table1[[#This Row],[g inv sp mx idx]], 1)</f>
        <v>E</v>
      </c>
      <c r="AO15" s="2" t="str">
        <f xml:space="preserve"> LEFT(Sng2String(Table1[[#This Row],[a bias]]), 6)</f>
        <v>3F90A3</v>
      </c>
      <c r="AP15" s="2" t="str">
        <f xml:space="preserve"> LEFT(Sng2String(Table1[[#This Row],[a gain]]), 6)</f>
        <v>3F2147</v>
      </c>
      <c r="AQ15" s="2" t="str">
        <f>DEC2HEX(Table1[[#This Row],[a inv sp mx idx]], 1)</f>
        <v>F</v>
      </c>
      <c r="AR15" s="2" t="str">
        <f xml:space="preserve"> LEFT(Sng2String(Table1[[#This Row],[c bias]]), 6)</f>
        <v>3E051E</v>
      </c>
      <c r="AS15" s="2" t="str">
        <f xml:space="preserve"> LEFT(Sng2String(Table1[[#This Row],[c gain]]), 6)</f>
        <v>3F90A3</v>
      </c>
      <c r="AT15" s="2" t="str">
        <f>DEC2HEX(Table1[[#This Row],[c inv sp mx idx]], 1)</f>
        <v>0</v>
      </c>
      <c r="AU15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00302C1BE43E051E3F90A3D3F21473F10A3E3F90A33F2147F3E051E3F90A3002</v>
      </c>
      <c r="AV15" s="2">
        <f>LEN(Table1[[#This Row],[DRAM data]])</f>
        <v>64</v>
      </c>
    </row>
    <row r="16" spans="1:48" x14ac:dyDescent="0.25">
      <c r="A16">
        <v>14</v>
      </c>
      <c r="B16">
        <f>Table1[[#This Row],[ZMW num]]+1</f>
        <v>15</v>
      </c>
      <c r="C16">
        <v>3</v>
      </c>
      <c r="D16">
        <v>45</v>
      </c>
      <c r="E16">
        <v>29</v>
      </c>
      <c r="F16">
        <v>226</v>
      </c>
      <c r="G16">
        <v>0</v>
      </c>
      <c r="H16">
        <f>Table1[[#This Row],[ZMW num]]*0.01</f>
        <v>0.14000000000000001</v>
      </c>
      <c r="I16">
        <f>1+Table1[[#This Row],[t bias]]</f>
        <v>1.1400000000000001</v>
      </c>
      <c r="J16">
        <f>Table1[[#This Row],[t kinetic trace]]* String2Single(CONCATENATE(LEFT(Single2String(Table1[[#This Row],[t gain]]), 6), "00")) + String2Single(CONCATENATE(LEFT(Single2String(Table1[[#This Row],[t bias]]), 6), "00"))</f>
        <v>0.1399993896484375</v>
      </c>
      <c r="K16" t="str">
        <f>Sng2String(Table1[[#This Row],[t ptrace]])</f>
        <v>3E0F5C00</v>
      </c>
      <c r="L16">
        <f>MOD(Table1[[#This Row],[ZMW num]], 2^4)</f>
        <v>14</v>
      </c>
      <c r="M16">
        <v>0</v>
      </c>
      <c r="N16">
        <f>Table1[[#This Row],[t bias]]+0.5</f>
        <v>0.64</v>
      </c>
      <c r="O16">
        <f>Table1[[#This Row],[t gain]]/2</f>
        <v>0.57000000000000006</v>
      </c>
      <c r="P16">
        <f>Table1[[#This Row],[g kinetic trace]] * String2Single(CONCATENATE(LEFT(Single2String(Table1[[#This Row],[g gain]]), 6), "00")) + String2Single(CONCATENATE(LEFT(Single2String(Table1[[#This Row],[g bias]]), 6), "00"))</f>
        <v>0.6399993896484375</v>
      </c>
      <c r="Q16" t="str">
        <f xml:space="preserve"> Sng2String(Table1[[#This Row],[g ptrace]])</f>
        <v>3F23D700</v>
      </c>
      <c r="R16">
        <f>MOD(Table1[[#This Row],[t inv sp mx idx]]+1, 2^4)</f>
        <v>15</v>
      </c>
      <c r="S16">
        <v>0</v>
      </c>
      <c r="T16">
        <f>Table1[[#This Row],[t bias]]+1</f>
        <v>1.1400000000000001</v>
      </c>
      <c r="U16">
        <f>Table1[[#This Row],[t gain]]-0.5</f>
        <v>0.64000000000000012</v>
      </c>
      <c r="V16">
        <f>Table1[[#This Row],[a kinetic trace]] * String2Single(CONCATENATE(LEFT(Single2String(Table1[[#This Row],[a gain]]), 6), "00")) + String2Single(CONCATENATE(LEFT(Single2String(Table1[[#This Row],[a bias]]), 6), "00"))</f>
        <v>1.139984130859375</v>
      </c>
      <c r="W16" t="str">
        <f xml:space="preserve"> Sng2String(Table1[[#This Row],[a ptrace]])</f>
        <v>3F91EB00</v>
      </c>
      <c r="X16">
        <f>MOD(Table1[[#This Row],[t inv sp mx idx]]+2, 2^4)</f>
        <v>0</v>
      </c>
      <c r="Y16">
        <v>0</v>
      </c>
      <c r="Z16">
        <f>Table1[[#This Row],[t bias]]</f>
        <v>0.14000000000000001</v>
      </c>
      <c r="AA16">
        <f>Table1[[#This Row],[t gain]]</f>
        <v>1.1400000000000001</v>
      </c>
      <c r="AB16">
        <f>Table1[[#This Row],[c kinetic trace]]* String2Single(CONCATENATE(LEFT(Single2String(Table1[[#This Row],[c gain]]), 6), "00")) + String2Single(CONCATENATE(LEFT(Single2String(Table1[[#This Row],[c bias]]), 6), "00"))</f>
        <v>0.1399993896484375</v>
      </c>
      <c r="AC16" t="str">
        <f xml:space="preserve"> Sng2String(Table1[[#This Row],[c ptrace]])</f>
        <v>3E0F5C00</v>
      </c>
      <c r="AD16">
        <f>MOD(Table1[[#This Row],[t inv sp mx idx]]+3, 2^4)</f>
        <v>1</v>
      </c>
      <c r="AE16" s="4" t="str">
        <f>DEC2HEX(Table1[[#This Row],[row]], 3)</f>
        <v>003</v>
      </c>
      <c r="AF16" s="2" t="str">
        <f>DEC2HEX(Table1[[#This Row],[col]], 3)</f>
        <v>02D</v>
      </c>
      <c r="AG16" s="2" t="str">
        <f>DEC2HEX(Table1[[#This Row],[grn fsp idx]], 2)</f>
        <v>1D</v>
      </c>
      <c r="AH16" s="2" t="str">
        <f>DEC2HEX(Table1[[#This Row],[red fsp idx]], 2)</f>
        <v>E2</v>
      </c>
      <c r="AI16" s="2" t="str">
        <f xml:space="preserve"> LEFT(Sng2String(Table1[[#This Row],[t bias]]), 6)</f>
        <v>3E0F5C</v>
      </c>
      <c r="AJ16" s="2" t="str">
        <f xml:space="preserve"> LEFT(Sng2String(Table1[[#This Row],[t gain]]), 6)</f>
        <v>3F91EB</v>
      </c>
      <c r="AK16" s="2" t="str">
        <f>DEC2HEX(Table1[[#This Row],[t inv sp mx idx]], 1)</f>
        <v>E</v>
      </c>
      <c r="AL16" s="2" t="str">
        <f xml:space="preserve"> LEFT(Sng2String(Table1[[#This Row],[g bias]]), 6)</f>
        <v>3F23D7</v>
      </c>
      <c r="AM16" s="2" t="str">
        <f xml:space="preserve"> LEFT(Sng2String(Table1[[#This Row],[g gain]]), 6)</f>
        <v>3F11EB</v>
      </c>
      <c r="AN16" s="2" t="str">
        <f>DEC2HEX(Table1[[#This Row],[g inv sp mx idx]], 1)</f>
        <v>F</v>
      </c>
      <c r="AO16" s="2" t="str">
        <f xml:space="preserve"> LEFT(Sng2String(Table1[[#This Row],[a bias]]), 6)</f>
        <v>3F91EB</v>
      </c>
      <c r="AP16" s="2" t="str">
        <f xml:space="preserve"> LEFT(Sng2String(Table1[[#This Row],[a gain]]), 6)</f>
        <v>3F23D7</v>
      </c>
      <c r="AQ16" s="2" t="str">
        <f>DEC2HEX(Table1[[#This Row],[a inv sp mx idx]], 1)</f>
        <v>0</v>
      </c>
      <c r="AR16" s="2" t="str">
        <f xml:space="preserve"> LEFT(Sng2String(Table1[[#This Row],[c bias]]), 6)</f>
        <v>3E0F5C</v>
      </c>
      <c r="AS16" s="2" t="str">
        <f xml:space="preserve"> LEFT(Sng2String(Table1[[#This Row],[c gain]]), 6)</f>
        <v>3F91EB</v>
      </c>
      <c r="AT16" s="2" t="str">
        <f>DEC2HEX(Table1[[#This Row],[c inv sp mx idx]], 1)</f>
        <v>1</v>
      </c>
      <c r="AU16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00302D1DE23E0F5C3F91EBE3F23D73F11EBF3F91EB3F23D703E0F5C3F91EB102</v>
      </c>
      <c r="AV16" s="2">
        <f>LEN(Table1[[#This Row],[DRAM data]])</f>
        <v>64</v>
      </c>
    </row>
    <row r="17" spans="1:48" x14ac:dyDescent="0.25">
      <c r="A17">
        <v>15</v>
      </c>
      <c r="B17">
        <f>Table1[[#This Row],[ZMW num]]+1</f>
        <v>16</v>
      </c>
      <c r="C17">
        <v>3</v>
      </c>
      <c r="D17">
        <v>50</v>
      </c>
      <c r="E17">
        <v>31</v>
      </c>
      <c r="F17">
        <v>224</v>
      </c>
      <c r="G17">
        <v>0</v>
      </c>
      <c r="H17">
        <f>Table1[[#This Row],[ZMW num]]*0.01</f>
        <v>0.15</v>
      </c>
      <c r="I17">
        <f>1+Table1[[#This Row],[t bias]]</f>
        <v>1.1499999999999999</v>
      </c>
      <c r="J17">
        <f>Table1[[#This Row],[t kinetic trace]]* String2Single(CONCATENATE(LEFT(Single2String(Table1[[#This Row],[t gain]]), 6), "00")) + String2Single(CONCATENATE(LEFT(Single2String(Table1[[#This Row],[t bias]]), 6), "00"))</f>
        <v>0.14999771118164063</v>
      </c>
      <c r="K17" t="str">
        <f>Sng2String(Table1[[#This Row],[t ptrace]])</f>
        <v>3E199900</v>
      </c>
      <c r="L17">
        <f>MOD(Table1[[#This Row],[ZMW num]], 2^4)</f>
        <v>15</v>
      </c>
      <c r="M17">
        <v>0</v>
      </c>
      <c r="N17">
        <f>Table1[[#This Row],[t bias]]+0.5</f>
        <v>0.65</v>
      </c>
      <c r="O17">
        <f>Table1[[#This Row],[t gain]]/2</f>
        <v>0.57499999999999996</v>
      </c>
      <c r="P17">
        <f>Table1[[#This Row],[g kinetic trace]] * String2Single(CONCATENATE(LEFT(Single2String(Table1[[#This Row],[g gain]]), 6), "00")) + String2Single(CONCATENATE(LEFT(Single2String(Table1[[#This Row],[g bias]]), 6), "00"))</f>
        <v>0.649993896484375</v>
      </c>
      <c r="Q17" t="str">
        <f xml:space="preserve"> Sng2String(Table1[[#This Row],[g ptrace]])</f>
        <v>3F266600</v>
      </c>
      <c r="R17">
        <f>MOD(Table1[[#This Row],[t inv sp mx idx]]+1, 2^4)</f>
        <v>0</v>
      </c>
      <c r="S17">
        <v>0</v>
      </c>
      <c r="T17">
        <f>Table1[[#This Row],[t bias]]+1</f>
        <v>1.1499999999999999</v>
      </c>
      <c r="U17">
        <f>Table1[[#This Row],[t gain]]-0.5</f>
        <v>0.64999999999999991</v>
      </c>
      <c r="V17">
        <f>Table1[[#This Row],[a kinetic trace]] * String2Single(CONCATENATE(LEFT(Single2String(Table1[[#This Row],[a gain]]), 6), "00")) + String2Single(CONCATENATE(LEFT(Single2String(Table1[[#This Row],[a bias]]), 6), "00"))</f>
        <v>1.149993896484375</v>
      </c>
      <c r="W17" t="str">
        <f xml:space="preserve"> Sng2String(Table1[[#This Row],[a ptrace]])</f>
        <v>3F933300</v>
      </c>
      <c r="X17">
        <f>MOD(Table1[[#This Row],[t inv sp mx idx]]+2, 2^4)</f>
        <v>1</v>
      </c>
      <c r="Y17">
        <v>0</v>
      </c>
      <c r="Z17">
        <f>Table1[[#This Row],[t bias]]</f>
        <v>0.15</v>
      </c>
      <c r="AA17">
        <f>Table1[[#This Row],[t gain]]</f>
        <v>1.1499999999999999</v>
      </c>
      <c r="AB17">
        <f>Table1[[#This Row],[c kinetic trace]]* String2Single(CONCATENATE(LEFT(Single2String(Table1[[#This Row],[c gain]]), 6), "00")) + String2Single(CONCATENATE(LEFT(Single2String(Table1[[#This Row],[c bias]]), 6), "00"))</f>
        <v>0.14999771118164063</v>
      </c>
      <c r="AC17" t="str">
        <f xml:space="preserve"> Sng2String(Table1[[#This Row],[c ptrace]])</f>
        <v>3E199900</v>
      </c>
      <c r="AD17">
        <f>MOD(Table1[[#This Row],[t inv sp mx idx]]+3, 2^4)</f>
        <v>2</v>
      </c>
      <c r="AE17" s="4" t="str">
        <f>DEC2HEX(Table1[[#This Row],[row]], 3)</f>
        <v>003</v>
      </c>
      <c r="AF17" s="2" t="str">
        <f>DEC2HEX(Table1[[#This Row],[col]], 3)</f>
        <v>032</v>
      </c>
      <c r="AG17" s="2" t="str">
        <f>DEC2HEX(Table1[[#This Row],[grn fsp idx]], 2)</f>
        <v>1F</v>
      </c>
      <c r="AH17" s="2" t="str">
        <f>DEC2HEX(Table1[[#This Row],[red fsp idx]], 2)</f>
        <v>E0</v>
      </c>
      <c r="AI17" s="2" t="str">
        <f xml:space="preserve"> LEFT(Sng2String(Table1[[#This Row],[t bias]]), 6)</f>
        <v>3E1999</v>
      </c>
      <c r="AJ17" s="2" t="str">
        <f xml:space="preserve"> LEFT(Sng2String(Table1[[#This Row],[t gain]]), 6)</f>
        <v>3F9333</v>
      </c>
      <c r="AK17" s="2" t="str">
        <f>DEC2HEX(Table1[[#This Row],[t inv sp mx idx]], 1)</f>
        <v>F</v>
      </c>
      <c r="AL17" s="2" t="str">
        <f xml:space="preserve"> LEFT(Sng2String(Table1[[#This Row],[g bias]]), 6)</f>
        <v>3F2666</v>
      </c>
      <c r="AM17" s="2" t="str">
        <f xml:space="preserve"> LEFT(Sng2String(Table1[[#This Row],[g gain]]), 6)</f>
        <v>3F1333</v>
      </c>
      <c r="AN17" s="2" t="str">
        <f>DEC2HEX(Table1[[#This Row],[g inv sp mx idx]], 1)</f>
        <v>0</v>
      </c>
      <c r="AO17" s="2" t="str">
        <f xml:space="preserve"> LEFT(Sng2String(Table1[[#This Row],[a bias]]), 6)</f>
        <v>3F9333</v>
      </c>
      <c r="AP17" s="2" t="str">
        <f xml:space="preserve"> LEFT(Sng2String(Table1[[#This Row],[a gain]]), 6)</f>
        <v>3F2666</v>
      </c>
      <c r="AQ17" s="2" t="str">
        <f>DEC2HEX(Table1[[#This Row],[a inv sp mx idx]], 1)</f>
        <v>1</v>
      </c>
      <c r="AR17" s="2" t="str">
        <f xml:space="preserve"> LEFT(Sng2String(Table1[[#This Row],[c bias]]), 6)</f>
        <v>3E1999</v>
      </c>
      <c r="AS17" s="2" t="str">
        <f xml:space="preserve"> LEFT(Sng2String(Table1[[#This Row],[c gain]]), 6)</f>
        <v>3F9333</v>
      </c>
      <c r="AT17" s="2" t="str">
        <f>DEC2HEX(Table1[[#This Row],[c inv sp mx idx]], 1)</f>
        <v>2</v>
      </c>
      <c r="AU17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0030321FE03E19993F9333F3F26663F133303F93333F266613E19993F9333202</v>
      </c>
      <c r="AV17" s="2">
        <f>LEN(Table1[[#This Row],[DRAM data]])</f>
        <v>64</v>
      </c>
    </row>
    <row r="18" spans="1:48" x14ac:dyDescent="0.25">
      <c r="A18">
        <v>16</v>
      </c>
      <c r="B18">
        <f>Table1[[#This Row],[ZMW num]]+1</f>
        <v>17</v>
      </c>
      <c r="C18">
        <v>3</v>
      </c>
      <c r="D18">
        <v>54</v>
      </c>
      <c r="E18">
        <v>33</v>
      </c>
      <c r="F18">
        <v>222</v>
      </c>
      <c r="G18">
        <v>0</v>
      </c>
      <c r="H18">
        <f>Table1[[#This Row],[ZMW num]]*0.01</f>
        <v>0.16</v>
      </c>
      <c r="I18">
        <f>1+Table1[[#This Row],[t bias]]</f>
        <v>1.1599999999999999</v>
      </c>
      <c r="J18">
        <f>Table1[[#This Row],[t kinetic trace]]* String2Single(CONCATENATE(LEFT(Single2String(Table1[[#This Row],[t gain]]), 6), "00")) + String2Single(CONCATENATE(LEFT(Single2String(Table1[[#This Row],[t bias]]), 6), "00"))</f>
        <v>0.15999984741210938</v>
      </c>
      <c r="K18" t="str">
        <f>Sng2String(Table1[[#This Row],[t ptrace]])</f>
        <v>3E23D700</v>
      </c>
      <c r="L18">
        <f>MOD(Table1[[#This Row],[ZMW num]], 2^4)</f>
        <v>0</v>
      </c>
      <c r="M18">
        <v>0</v>
      </c>
      <c r="N18">
        <f>Table1[[#This Row],[t bias]]+0.5</f>
        <v>0.66</v>
      </c>
      <c r="O18">
        <f>Table1[[#This Row],[t gain]]/2</f>
        <v>0.57999999999999996</v>
      </c>
      <c r="P18">
        <f>Table1[[#This Row],[g kinetic trace]] * String2Single(CONCATENATE(LEFT(Single2String(Table1[[#This Row],[g gain]]), 6), "00")) + String2Single(CONCATENATE(LEFT(Single2String(Table1[[#This Row],[g bias]]), 6), "00"))</f>
        <v>0.6599884033203125</v>
      </c>
      <c r="Q18" t="str">
        <f xml:space="preserve"> Sng2String(Table1[[#This Row],[g ptrace]])</f>
        <v>3F28F500</v>
      </c>
      <c r="R18">
        <f>MOD(Table1[[#This Row],[t inv sp mx idx]]+1, 2^4)</f>
        <v>1</v>
      </c>
      <c r="S18">
        <v>0</v>
      </c>
      <c r="T18">
        <f>Table1[[#This Row],[t bias]]+1</f>
        <v>1.1599999999999999</v>
      </c>
      <c r="U18">
        <f>Table1[[#This Row],[t gain]]-0.5</f>
        <v>0.65999999999999992</v>
      </c>
      <c r="V18">
        <f>Table1[[#This Row],[a kinetic trace]] * String2Single(CONCATENATE(LEFT(Single2String(Table1[[#This Row],[a gain]]), 6), "00")) + String2Single(CONCATENATE(LEFT(Single2String(Table1[[#This Row],[a bias]]), 6), "00"))</f>
        <v>1.15997314453125</v>
      </c>
      <c r="W18" t="str">
        <f xml:space="preserve"> Sng2String(Table1[[#This Row],[a ptrace]])</f>
        <v>3F947A00</v>
      </c>
      <c r="X18">
        <f>MOD(Table1[[#This Row],[t inv sp mx idx]]+2, 2^4)</f>
        <v>2</v>
      </c>
      <c r="Y18">
        <v>0</v>
      </c>
      <c r="Z18">
        <f>Table1[[#This Row],[t bias]]</f>
        <v>0.16</v>
      </c>
      <c r="AA18">
        <f>Table1[[#This Row],[t gain]]</f>
        <v>1.1599999999999999</v>
      </c>
      <c r="AB18">
        <f>Table1[[#This Row],[c kinetic trace]]* String2Single(CONCATENATE(LEFT(Single2String(Table1[[#This Row],[c gain]]), 6), "00")) + String2Single(CONCATENATE(LEFT(Single2String(Table1[[#This Row],[c bias]]), 6), "00"))</f>
        <v>0.15999984741210938</v>
      </c>
      <c r="AC18" t="str">
        <f xml:space="preserve"> Sng2String(Table1[[#This Row],[c ptrace]])</f>
        <v>3E23D700</v>
      </c>
      <c r="AD18">
        <f>MOD(Table1[[#This Row],[t inv sp mx idx]]+3, 2^4)</f>
        <v>3</v>
      </c>
      <c r="AE18" s="4" t="str">
        <f>DEC2HEX(Table1[[#This Row],[row]], 3)</f>
        <v>003</v>
      </c>
      <c r="AF18" s="2" t="str">
        <f>DEC2HEX(Table1[[#This Row],[col]], 3)</f>
        <v>036</v>
      </c>
      <c r="AG18" s="2" t="str">
        <f>DEC2HEX(Table1[[#This Row],[grn fsp idx]], 2)</f>
        <v>21</v>
      </c>
      <c r="AH18" s="2" t="str">
        <f>DEC2HEX(Table1[[#This Row],[red fsp idx]], 2)</f>
        <v>DE</v>
      </c>
      <c r="AI18" s="2" t="str">
        <f xml:space="preserve"> LEFT(Sng2String(Table1[[#This Row],[t bias]]), 6)</f>
        <v>3E23D7</v>
      </c>
      <c r="AJ18" s="2" t="str">
        <f xml:space="preserve"> LEFT(Sng2String(Table1[[#This Row],[t gain]]), 6)</f>
        <v>3F947A</v>
      </c>
      <c r="AK18" s="2" t="str">
        <f>DEC2HEX(Table1[[#This Row],[t inv sp mx idx]], 1)</f>
        <v>0</v>
      </c>
      <c r="AL18" s="2" t="str">
        <f xml:space="preserve"> LEFT(Sng2String(Table1[[#This Row],[g bias]]), 6)</f>
        <v>3F28F5</v>
      </c>
      <c r="AM18" s="2" t="str">
        <f xml:space="preserve"> LEFT(Sng2String(Table1[[#This Row],[g gain]]), 6)</f>
        <v>3F147A</v>
      </c>
      <c r="AN18" s="2" t="str">
        <f>DEC2HEX(Table1[[#This Row],[g inv sp mx idx]], 1)</f>
        <v>1</v>
      </c>
      <c r="AO18" s="2" t="str">
        <f xml:space="preserve"> LEFT(Sng2String(Table1[[#This Row],[a bias]]), 6)</f>
        <v>3F947A</v>
      </c>
      <c r="AP18" s="2" t="str">
        <f xml:space="preserve"> LEFT(Sng2String(Table1[[#This Row],[a gain]]), 6)</f>
        <v>3F28F5</v>
      </c>
      <c r="AQ18" s="2" t="str">
        <f>DEC2HEX(Table1[[#This Row],[a inv sp mx idx]], 1)</f>
        <v>2</v>
      </c>
      <c r="AR18" s="2" t="str">
        <f xml:space="preserve"> LEFT(Sng2String(Table1[[#This Row],[c bias]]), 6)</f>
        <v>3E23D7</v>
      </c>
      <c r="AS18" s="2" t="str">
        <f xml:space="preserve"> LEFT(Sng2String(Table1[[#This Row],[c gain]]), 6)</f>
        <v>3F947A</v>
      </c>
      <c r="AT18" s="2" t="str">
        <f>DEC2HEX(Table1[[#This Row],[c inv sp mx idx]], 1)</f>
        <v>3</v>
      </c>
      <c r="AU18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00303621DE3E23D73F947A03F28F53F147A13F947A3F28F523E23D73F947A302</v>
      </c>
      <c r="AV18" s="2">
        <f>LEN(Table1[[#This Row],[DRAM data]])</f>
        <v>64</v>
      </c>
    </row>
    <row r="19" spans="1:48" x14ac:dyDescent="0.25">
      <c r="A19">
        <v>17</v>
      </c>
      <c r="B19">
        <f>Table1[[#This Row],[ZMW num]]+1</f>
        <v>18</v>
      </c>
      <c r="C19">
        <v>3</v>
      </c>
      <c r="D19">
        <v>57</v>
      </c>
      <c r="E19">
        <v>35</v>
      </c>
      <c r="F19">
        <v>220</v>
      </c>
      <c r="G19">
        <v>0</v>
      </c>
      <c r="H19">
        <f>Table1[[#This Row],[ZMW num]]*0.01</f>
        <v>0.17</v>
      </c>
      <c r="I19">
        <f>1+Table1[[#This Row],[t bias]]</f>
        <v>1.17</v>
      </c>
      <c r="J19">
        <f>Table1[[#This Row],[t kinetic trace]]* String2Single(CONCATENATE(LEFT(Single2String(Table1[[#This Row],[t gain]]), 6), "00")) + String2Single(CONCATENATE(LEFT(Single2String(Table1[[#This Row],[t bias]]), 6), "00"))</f>
        <v>0.1699981689453125</v>
      </c>
      <c r="K19" t="str">
        <f>Sng2String(Table1[[#This Row],[t ptrace]])</f>
        <v>3E2E1400</v>
      </c>
      <c r="L19">
        <f>MOD(Table1[[#This Row],[ZMW num]], 2^4)</f>
        <v>1</v>
      </c>
      <c r="M19">
        <v>0</v>
      </c>
      <c r="N19">
        <f>Table1[[#This Row],[t bias]]+0.5</f>
        <v>0.67</v>
      </c>
      <c r="O19">
        <f>Table1[[#This Row],[t gain]]/2</f>
        <v>0.58499999999999996</v>
      </c>
      <c r="P19">
        <f>Table1[[#This Row],[g kinetic trace]] * String2Single(CONCATENATE(LEFT(Single2String(Table1[[#This Row],[g gain]]), 6), "00")) + String2Single(CONCATENATE(LEFT(Single2String(Table1[[#This Row],[g bias]]), 6), "00"))</f>
        <v>0.6699981689453125</v>
      </c>
      <c r="Q19" t="str">
        <f xml:space="preserve"> Sng2String(Table1[[#This Row],[g ptrace]])</f>
        <v>3F2B8500</v>
      </c>
      <c r="R19">
        <f>MOD(Table1[[#This Row],[t inv sp mx idx]]+1, 2^4)</f>
        <v>2</v>
      </c>
      <c r="S19">
        <v>0</v>
      </c>
      <c r="T19">
        <f>Table1[[#This Row],[t bias]]+1</f>
        <v>1.17</v>
      </c>
      <c r="U19">
        <f>Table1[[#This Row],[t gain]]-0.5</f>
        <v>0.66999999999999993</v>
      </c>
      <c r="V19">
        <f>Table1[[#This Row],[a kinetic trace]] * String2Single(CONCATENATE(LEFT(Single2String(Table1[[#This Row],[a gain]]), 6), "00")) + String2Single(CONCATENATE(LEFT(Single2String(Table1[[#This Row],[a bias]]), 6), "00"))</f>
        <v>1.16998291015625</v>
      </c>
      <c r="W19" t="str">
        <f xml:space="preserve"> Sng2String(Table1[[#This Row],[a ptrace]])</f>
        <v>3F95C200</v>
      </c>
      <c r="X19">
        <f>MOD(Table1[[#This Row],[t inv sp mx idx]]+2, 2^4)</f>
        <v>3</v>
      </c>
      <c r="Y19">
        <v>0</v>
      </c>
      <c r="Z19">
        <f>Table1[[#This Row],[t bias]]</f>
        <v>0.17</v>
      </c>
      <c r="AA19">
        <f>Table1[[#This Row],[t gain]]</f>
        <v>1.17</v>
      </c>
      <c r="AB19">
        <f>Table1[[#This Row],[c kinetic trace]]* String2Single(CONCATENATE(LEFT(Single2String(Table1[[#This Row],[c gain]]), 6), "00")) + String2Single(CONCATENATE(LEFT(Single2String(Table1[[#This Row],[c bias]]), 6), "00"))</f>
        <v>0.1699981689453125</v>
      </c>
      <c r="AC19" t="str">
        <f xml:space="preserve"> Sng2String(Table1[[#This Row],[c ptrace]])</f>
        <v>3E2E1400</v>
      </c>
      <c r="AD19">
        <f>MOD(Table1[[#This Row],[t inv sp mx idx]]+3, 2^4)</f>
        <v>4</v>
      </c>
      <c r="AE19" s="4" t="str">
        <f>DEC2HEX(Table1[[#This Row],[row]], 3)</f>
        <v>003</v>
      </c>
      <c r="AF19" s="2" t="str">
        <f>DEC2HEX(Table1[[#This Row],[col]], 3)</f>
        <v>039</v>
      </c>
      <c r="AG19" s="2" t="str">
        <f>DEC2HEX(Table1[[#This Row],[grn fsp idx]], 2)</f>
        <v>23</v>
      </c>
      <c r="AH19" s="2" t="str">
        <f>DEC2HEX(Table1[[#This Row],[red fsp idx]], 2)</f>
        <v>DC</v>
      </c>
      <c r="AI19" s="2" t="str">
        <f xml:space="preserve"> LEFT(Sng2String(Table1[[#This Row],[t bias]]), 6)</f>
        <v>3E2E14</v>
      </c>
      <c r="AJ19" s="2" t="str">
        <f xml:space="preserve"> LEFT(Sng2String(Table1[[#This Row],[t gain]]), 6)</f>
        <v>3F95C2</v>
      </c>
      <c r="AK19" s="2" t="str">
        <f>DEC2HEX(Table1[[#This Row],[t inv sp mx idx]], 1)</f>
        <v>1</v>
      </c>
      <c r="AL19" s="2" t="str">
        <f xml:space="preserve"> LEFT(Sng2String(Table1[[#This Row],[g bias]]), 6)</f>
        <v>3F2B85</v>
      </c>
      <c r="AM19" s="2" t="str">
        <f xml:space="preserve"> LEFT(Sng2String(Table1[[#This Row],[g gain]]), 6)</f>
        <v>3F15C2</v>
      </c>
      <c r="AN19" s="2" t="str">
        <f>DEC2HEX(Table1[[#This Row],[g inv sp mx idx]], 1)</f>
        <v>2</v>
      </c>
      <c r="AO19" s="2" t="str">
        <f xml:space="preserve"> LEFT(Sng2String(Table1[[#This Row],[a bias]]), 6)</f>
        <v>3F95C2</v>
      </c>
      <c r="AP19" s="2" t="str">
        <f xml:space="preserve"> LEFT(Sng2String(Table1[[#This Row],[a gain]]), 6)</f>
        <v>3F2B85</v>
      </c>
      <c r="AQ19" s="2" t="str">
        <f>DEC2HEX(Table1[[#This Row],[a inv sp mx idx]], 1)</f>
        <v>3</v>
      </c>
      <c r="AR19" s="2" t="str">
        <f xml:space="preserve"> LEFT(Sng2String(Table1[[#This Row],[c bias]]), 6)</f>
        <v>3E2E14</v>
      </c>
      <c r="AS19" s="2" t="str">
        <f xml:space="preserve"> LEFT(Sng2String(Table1[[#This Row],[c gain]]), 6)</f>
        <v>3F95C2</v>
      </c>
      <c r="AT19" s="2" t="str">
        <f>DEC2HEX(Table1[[#This Row],[c inv sp mx idx]], 1)</f>
        <v>4</v>
      </c>
      <c r="AU19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00303923DC3E2E143F95C213F2B853F15C223F95C23F2B8533E2E143F95C2402</v>
      </c>
      <c r="AV19" s="2">
        <f>LEN(Table1[[#This Row],[DRAM data]])</f>
        <v>64</v>
      </c>
    </row>
    <row r="20" spans="1:48" x14ac:dyDescent="0.25">
      <c r="A20">
        <v>18</v>
      </c>
      <c r="B20">
        <f>Table1[[#This Row],[ZMW num]]+1</f>
        <v>19</v>
      </c>
      <c r="C20">
        <v>3</v>
      </c>
      <c r="D20">
        <v>60</v>
      </c>
      <c r="E20">
        <v>37</v>
      </c>
      <c r="F20">
        <v>218</v>
      </c>
      <c r="G20">
        <v>0</v>
      </c>
      <c r="H20">
        <f>Table1[[#This Row],[ZMW num]]*0.01</f>
        <v>0.18</v>
      </c>
      <c r="I20">
        <f>1+Table1[[#This Row],[t bias]]</f>
        <v>1.18</v>
      </c>
      <c r="J20">
        <f>Table1[[#This Row],[t kinetic trace]]* String2Single(CONCATENATE(LEFT(Single2String(Table1[[#This Row],[t gain]]), 6), "00")) + String2Single(CONCATENATE(LEFT(Single2String(Table1[[#This Row],[t bias]]), 6), "00"))</f>
        <v>0.17999649047851563</v>
      </c>
      <c r="K20" t="str">
        <f>Sng2String(Table1[[#This Row],[t ptrace]])</f>
        <v>3E385100</v>
      </c>
      <c r="L20">
        <f>MOD(Table1[[#This Row],[ZMW num]], 2^4)</f>
        <v>2</v>
      </c>
      <c r="M20">
        <v>0</v>
      </c>
      <c r="N20">
        <f>Table1[[#This Row],[t bias]]+0.5</f>
        <v>0.67999999999999994</v>
      </c>
      <c r="O20">
        <f>Table1[[#This Row],[t gain]]/2</f>
        <v>0.59</v>
      </c>
      <c r="P20">
        <f>Table1[[#This Row],[g kinetic trace]] * String2Single(CONCATENATE(LEFT(Single2String(Table1[[#This Row],[g gain]]), 6), "00")) + String2Single(CONCATENATE(LEFT(Single2String(Table1[[#This Row],[g bias]]), 6), "00"))</f>
        <v>0.67999267578125</v>
      </c>
      <c r="Q20" t="str">
        <f xml:space="preserve"> Sng2String(Table1[[#This Row],[g ptrace]])</f>
        <v>3F2E1400</v>
      </c>
      <c r="R20">
        <f>MOD(Table1[[#This Row],[t inv sp mx idx]]+1, 2^4)</f>
        <v>3</v>
      </c>
      <c r="S20">
        <v>0</v>
      </c>
      <c r="T20">
        <f>Table1[[#This Row],[t bias]]+1</f>
        <v>1.18</v>
      </c>
      <c r="U20">
        <f>Table1[[#This Row],[t gain]]-0.5</f>
        <v>0.67999999999999994</v>
      </c>
      <c r="V20">
        <f>Table1[[#This Row],[a kinetic trace]] * String2Single(CONCATENATE(LEFT(Single2String(Table1[[#This Row],[a gain]]), 6), "00")) + String2Single(CONCATENATE(LEFT(Single2String(Table1[[#This Row],[a bias]]), 6), "00"))</f>
        <v>1.17999267578125</v>
      </c>
      <c r="W20" t="str">
        <f xml:space="preserve"> Sng2String(Table1[[#This Row],[a ptrace]])</f>
        <v>3F970A00</v>
      </c>
      <c r="X20">
        <f>MOD(Table1[[#This Row],[t inv sp mx idx]]+2, 2^4)</f>
        <v>4</v>
      </c>
      <c r="Y20">
        <v>0</v>
      </c>
      <c r="Z20">
        <f>Table1[[#This Row],[t bias]]</f>
        <v>0.18</v>
      </c>
      <c r="AA20">
        <f>Table1[[#This Row],[t gain]]</f>
        <v>1.18</v>
      </c>
      <c r="AB20">
        <f>Table1[[#This Row],[c kinetic trace]]* String2Single(CONCATENATE(LEFT(Single2String(Table1[[#This Row],[c gain]]), 6), "00")) + String2Single(CONCATENATE(LEFT(Single2String(Table1[[#This Row],[c bias]]), 6), "00"))</f>
        <v>0.17999649047851563</v>
      </c>
      <c r="AC20" t="str">
        <f xml:space="preserve"> Sng2String(Table1[[#This Row],[c ptrace]])</f>
        <v>3E385100</v>
      </c>
      <c r="AD20">
        <f>MOD(Table1[[#This Row],[t inv sp mx idx]]+3, 2^4)</f>
        <v>5</v>
      </c>
      <c r="AE20" s="4" t="str">
        <f>DEC2HEX(Table1[[#This Row],[row]], 3)</f>
        <v>003</v>
      </c>
      <c r="AF20" s="2" t="str">
        <f>DEC2HEX(Table1[[#This Row],[col]], 3)</f>
        <v>03C</v>
      </c>
      <c r="AG20" s="2" t="str">
        <f>DEC2HEX(Table1[[#This Row],[grn fsp idx]], 2)</f>
        <v>25</v>
      </c>
      <c r="AH20" s="2" t="str">
        <f>DEC2HEX(Table1[[#This Row],[red fsp idx]], 2)</f>
        <v>DA</v>
      </c>
      <c r="AI20" s="2" t="str">
        <f xml:space="preserve"> LEFT(Sng2String(Table1[[#This Row],[t bias]]), 6)</f>
        <v>3E3851</v>
      </c>
      <c r="AJ20" s="2" t="str">
        <f xml:space="preserve"> LEFT(Sng2String(Table1[[#This Row],[t gain]]), 6)</f>
        <v>3F970A</v>
      </c>
      <c r="AK20" s="2" t="str">
        <f>DEC2HEX(Table1[[#This Row],[t inv sp mx idx]], 1)</f>
        <v>2</v>
      </c>
      <c r="AL20" s="2" t="str">
        <f xml:space="preserve"> LEFT(Sng2String(Table1[[#This Row],[g bias]]), 6)</f>
        <v>3F2E14</v>
      </c>
      <c r="AM20" s="2" t="str">
        <f xml:space="preserve"> LEFT(Sng2String(Table1[[#This Row],[g gain]]), 6)</f>
        <v>3F170A</v>
      </c>
      <c r="AN20" s="2" t="str">
        <f>DEC2HEX(Table1[[#This Row],[g inv sp mx idx]], 1)</f>
        <v>3</v>
      </c>
      <c r="AO20" s="2" t="str">
        <f xml:space="preserve"> LEFT(Sng2String(Table1[[#This Row],[a bias]]), 6)</f>
        <v>3F970A</v>
      </c>
      <c r="AP20" s="2" t="str">
        <f xml:space="preserve"> LEFT(Sng2String(Table1[[#This Row],[a gain]]), 6)</f>
        <v>3F2E14</v>
      </c>
      <c r="AQ20" s="2" t="str">
        <f>DEC2HEX(Table1[[#This Row],[a inv sp mx idx]], 1)</f>
        <v>4</v>
      </c>
      <c r="AR20" s="2" t="str">
        <f xml:space="preserve"> LEFT(Sng2String(Table1[[#This Row],[c bias]]), 6)</f>
        <v>3E3851</v>
      </c>
      <c r="AS20" s="2" t="str">
        <f xml:space="preserve"> LEFT(Sng2String(Table1[[#This Row],[c gain]]), 6)</f>
        <v>3F970A</v>
      </c>
      <c r="AT20" s="2" t="str">
        <f>DEC2HEX(Table1[[#This Row],[c inv sp mx idx]], 1)</f>
        <v>5</v>
      </c>
      <c r="AU20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00303C25DA3E38513F970A23F2E143F170A33F970A3F2E1443E38513F970A502</v>
      </c>
      <c r="AV20" s="2">
        <f>LEN(Table1[[#This Row],[DRAM data]])</f>
        <v>64</v>
      </c>
    </row>
    <row r="21" spans="1:48" x14ac:dyDescent="0.25">
      <c r="A21">
        <v>19</v>
      </c>
      <c r="B21">
        <f>Table1[[#This Row],[ZMW num]]+1</f>
        <v>20</v>
      </c>
      <c r="C21">
        <v>3</v>
      </c>
      <c r="D21">
        <v>64</v>
      </c>
      <c r="E21">
        <v>39</v>
      </c>
      <c r="F21">
        <v>216</v>
      </c>
      <c r="G21">
        <v>0</v>
      </c>
      <c r="H21">
        <f>Table1[[#This Row],[ZMW num]]*0.01</f>
        <v>0.19</v>
      </c>
      <c r="I21">
        <f>1+Table1[[#This Row],[t bias]]</f>
        <v>1.19</v>
      </c>
      <c r="J21">
        <f>Table1[[#This Row],[t kinetic trace]]* String2Single(CONCATENATE(LEFT(Single2String(Table1[[#This Row],[t gain]]), 6), "00")) + String2Single(CONCATENATE(LEFT(Single2String(Table1[[#This Row],[t bias]]), 6), "00"))</f>
        <v>0.18999862670898438</v>
      </c>
      <c r="K21" t="str">
        <f>Sng2String(Table1[[#This Row],[t ptrace]])</f>
        <v>3E428F00</v>
      </c>
      <c r="L21">
        <f>MOD(Table1[[#This Row],[ZMW num]], 2^4)</f>
        <v>3</v>
      </c>
      <c r="M21">
        <v>0</v>
      </c>
      <c r="N21">
        <f>Table1[[#This Row],[t bias]]+0.5</f>
        <v>0.69</v>
      </c>
      <c r="O21">
        <f>Table1[[#This Row],[t gain]]/2</f>
        <v>0.59499999999999997</v>
      </c>
      <c r="P21">
        <f>Table1[[#This Row],[g kinetic trace]] * String2Single(CONCATENATE(LEFT(Single2String(Table1[[#This Row],[g gain]]), 6), "00")) + String2Single(CONCATENATE(LEFT(Single2String(Table1[[#This Row],[g bias]]), 6), "00"))</f>
        <v>0.6899871826171875</v>
      </c>
      <c r="Q21" t="str">
        <f xml:space="preserve"> Sng2String(Table1[[#This Row],[g ptrace]])</f>
        <v>3F30A300</v>
      </c>
      <c r="R21">
        <f>MOD(Table1[[#This Row],[t inv sp mx idx]]+1, 2^4)</f>
        <v>4</v>
      </c>
      <c r="S21">
        <v>0</v>
      </c>
      <c r="T21">
        <f>Table1[[#This Row],[t bias]]+1</f>
        <v>1.19</v>
      </c>
      <c r="U21">
        <f>Table1[[#This Row],[t gain]]-0.5</f>
        <v>0.69</v>
      </c>
      <c r="V21">
        <f>Table1[[#This Row],[a kinetic trace]] * String2Single(CONCATENATE(LEFT(Single2String(Table1[[#This Row],[a gain]]), 6), "00")) + String2Single(CONCATENATE(LEFT(Single2String(Table1[[#This Row],[a bias]]), 6), "00"))</f>
        <v>1.189971923828125</v>
      </c>
      <c r="W21" t="str">
        <f xml:space="preserve"> Sng2String(Table1[[#This Row],[a ptrace]])</f>
        <v>3F985100</v>
      </c>
      <c r="X21">
        <f>MOD(Table1[[#This Row],[t inv sp mx idx]]+2, 2^4)</f>
        <v>5</v>
      </c>
      <c r="Y21">
        <v>0</v>
      </c>
      <c r="Z21">
        <f>Table1[[#This Row],[t bias]]</f>
        <v>0.19</v>
      </c>
      <c r="AA21">
        <f>Table1[[#This Row],[t gain]]</f>
        <v>1.19</v>
      </c>
      <c r="AB21">
        <f>Table1[[#This Row],[c kinetic trace]]* String2Single(CONCATENATE(LEFT(Single2String(Table1[[#This Row],[c gain]]), 6), "00")) + String2Single(CONCATENATE(LEFT(Single2String(Table1[[#This Row],[c bias]]), 6), "00"))</f>
        <v>0.18999862670898438</v>
      </c>
      <c r="AC21" t="str">
        <f xml:space="preserve"> Sng2String(Table1[[#This Row],[c ptrace]])</f>
        <v>3E428F00</v>
      </c>
      <c r="AD21">
        <f>MOD(Table1[[#This Row],[t inv sp mx idx]]+3, 2^4)</f>
        <v>6</v>
      </c>
      <c r="AE21" s="4" t="str">
        <f>DEC2HEX(Table1[[#This Row],[row]], 3)</f>
        <v>003</v>
      </c>
      <c r="AF21" s="2" t="str">
        <f>DEC2HEX(Table1[[#This Row],[col]], 3)</f>
        <v>040</v>
      </c>
      <c r="AG21" s="2" t="str">
        <f>DEC2HEX(Table1[[#This Row],[grn fsp idx]], 2)</f>
        <v>27</v>
      </c>
      <c r="AH21" s="2" t="str">
        <f>DEC2HEX(Table1[[#This Row],[red fsp idx]], 2)</f>
        <v>D8</v>
      </c>
      <c r="AI21" s="2" t="str">
        <f xml:space="preserve"> LEFT(Sng2String(Table1[[#This Row],[t bias]]), 6)</f>
        <v>3E428F</v>
      </c>
      <c r="AJ21" s="2" t="str">
        <f xml:space="preserve"> LEFT(Sng2String(Table1[[#This Row],[t gain]]), 6)</f>
        <v>3F9851</v>
      </c>
      <c r="AK21" s="2" t="str">
        <f>DEC2HEX(Table1[[#This Row],[t inv sp mx idx]], 1)</f>
        <v>3</v>
      </c>
      <c r="AL21" s="2" t="str">
        <f xml:space="preserve"> LEFT(Sng2String(Table1[[#This Row],[g bias]]), 6)</f>
        <v>3F30A3</v>
      </c>
      <c r="AM21" s="2" t="str">
        <f xml:space="preserve"> LEFT(Sng2String(Table1[[#This Row],[g gain]]), 6)</f>
        <v>3F1851</v>
      </c>
      <c r="AN21" s="2" t="str">
        <f>DEC2HEX(Table1[[#This Row],[g inv sp mx idx]], 1)</f>
        <v>4</v>
      </c>
      <c r="AO21" s="2" t="str">
        <f xml:space="preserve"> LEFT(Sng2String(Table1[[#This Row],[a bias]]), 6)</f>
        <v>3F9851</v>
      </c>
      <c r="AP21" s="2" t="str">
        <f xml:space="preserve"> LEFT(Sng2String(Table1[[#This Row],[a gain]]), 6)</f>
        <v>3F30A3</v>
      </c>
      <c r="AQ21" s="2" t="str">
        <f>DEC2HEX(Table1[[#This Row],[a inv sp mx idx]], 1)</f>
        <v>5</v>
      </c>
      <c r="AR21" s="2" t="str">
        <f xml:space="preserve"> LEFT(Sng2String(Table1[[#This Row],[c bias]]), 6)</f>
        <v>3E428F</v>
      </c>
      <c r="AS21" s="2" t="str">
        <f xml:space="preserve"> LEFT(Sng2String(Table1[[#This Row],[c gain]]), 6)</f>
        <v>3F9851</v>
      </c>
      <c r="AT21" s="2" t="str">
        <f>DEC2HEX(Table1[[#This Row],[c inv sp mx idx]], 1)</f>
        <v>6</v>
      </c>
      <c r="AU21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00304027D83E428F3F985133F30A33F185143F98513F30A353E428F3F9851602</v>
      </c>
      <c r="AV21" s="2">
        <f>LEN(Table1[[#This Row],[DRAM data]])</f>
        <v>64</v>
      </c>
    </row>
    <row r="22" spans="1:48" x14ac:dyDescent="0.25">
      <c r="A22">
        <v>20</v>
      </c>
      <c r="B22">
        <f>Table1[[#This Row],[ZMW num]]+1</f>
        <v>21</v>
      </c>
      <c r="C22">
        <v>3</v>
      </c>
      <c r="D22">
        <v>66</v>
      </c>
      <c r="E22">
        <v>41</v>
      </c>
      <c r="F22">
        <v>214</v>
      </c>
      <c r="G22">
        <v>0</v>
      </c>
      <c r="H22">
        <f>Table1[[#This Row],[ZMW num]]*0.01</f>
        <v>0.2</v>
      </c>
      <c r="I22">
        <f>1+Table1[[#This Row],[t bias]]</f>
        <v>1.2</v>
      </c>
      <c r="J22">
        <f>Table1[[#This Row],[t kinetic trace]]* String2Single(CONCATENATE(LEFT(Single2String(Table1[[#This Row],[t gain]]), 6), "00")) + String2Single(CONCATENATE(LEFT(Single2String(Table1[[#This Row],[t bias]]), 6), "00"))</f>
        <v>0.1999969482421875</v>
      </c>
      <c r="K22" t="str">
        <f>Sng2String(Table1[[#This Row],[t ptrace]])</f>
        <v>3E4CCC00</v>
      </c>
      <c r="L22">
        <f>MOD(Table1[[#This Row],[ZMW num]], 2^4)</f>
        <v>4</v>
      </c>
      <c r="M22">
        <v>0</v>
      </c>
      <c r="N22">
        <f>Table1[[#This Row],[t bias]]+0.5</f>
        <v>0.7</v>
      </c>
      <c r="O22">
        <f>Table1[[#This Row],[t gain]]/2</f>
        <v>0.6</v>
      </c>
      <c r="P22">
        <f>Table1[[#This Row],[g kinetic trace]] * String2Single(CONCATENATE(LEFT(Single2String(Table1[[#This Row],[g gain]]), 6), "00")) + String2Single(CONCATENATE(LEFT(Single2String(Table1[[#This Row],[g bias]]), 6), "00"))</f>
        <v>0.6999969482421875</v>
      </c>
      <c r="Q22" t="str">
        <f xml:space="preserve"> Sng2String(Table1[[#This Row],[g ptrace]])</f>
        <v>3F333300</v>
      </c>
      <c r="R22">
        <f>MOD(Table1[[#This Row],[t inv sp mx idx]]+1, 2^4)</f>
        <v>5</v>
      </c>
      <c r="S22">
        <v>0</v>
      </c>
      <c r="T22">
        <f>Table1[[#This Row],[t bias]]+1</f>
        <v>1.2</v>
      </c>
      <c r="U22">
        <f>Table1[[#This Row],[t gain]]-0.5</f>
        <v>0.7</v>
      </c>
      <c r="V22">
        <f>Table1[[#This Row],[a kinetic trace]] * String2Single(CONCATENATE(LEFT(Single2String(Table1[[#This Row],[a gain]]), 6), "00")) + String2Single(CONCATENATE(LEFT(Single2String(Table1[[#This Row],[a bias]]), 6), "00"))</f>
        <v>1.199981689453125</v>
      </c>
      <c r="W22" t="str">
        <f xml:space="preserve"> Sng2String(Table1[[#This Row],[a ptrace]])</f>
        <v>3F999900</v>
      </c>
      <c r="X22">
        <f>MOD(Table1[[#This Row],[t inv sp mx idx]]+2, 2^4)</f>
        <v>6</v>
      </c>
      <c r="Y22">
        <v>0</v>
      </c>
      <c r="Z22">
        <f>Table1[[#This Row],[t bias]]</f>
        <v>0.2</v>
      </c>
      <c r="AA22">
        <f>Table1[[#This Row],[t gain]]</f>
        <v>1.2</v>
      </c>
      <c r="AB22">
        <f>Table1[[#This Row],[c kinetic trace]]* String2Single(CONCATENATE(LEFT(Single2String(Table1[[#This Row],[c gain]]), 6), "00")) + String2Single(CONCATENATE(LEFT(Single2String(Table1[[#This Row],[c bias]]), 6), "00"))</f>
        <v>0.1999969482421875</v>
      </c>
      <c r="AC22" t="str">
        <f xml:space="preserve"> Sng2String(Table1[[#This Row],[c ptrace]])</f>
        <v>3E4CCC00</v>
      </c>
      <c r="AD22">
        <f>MOD(Table1[[#This Row],[t inv sp mx idx]]+3, 2^4)</f>
        <v>7</v>
      </c>
      <c r="AE22" s="4" t="str">
        <f>DEC2HEX(Table1[[#This Row],[row]], 3)</f>
        <v>003</v>
      </c>
      <c r="AF22" s="2" t="str">
        <f>DEC2HEX(Table1[[#This Row],[col]], 3)</f>
        <v>042</v>
      </c>
      <c r="AG22" s="2" t="str">
        <f>DEC2HEX(Table1[[#This Row],[grn fsp idx]], 2)</f>
        <v>29</v>
      </c>
      <c r="AH22" s="2" t="str">
        <f>DEC2HEX(Table1[[#This Row],[red fsp idx]], 2)</f>
        <v>D6</v>
      </c>
      <c r="AI22" s="2" t="str">
        <f xml:space="preserve"> LEFT(Sng2String(Table1[[#This Row],[t bias]]), 6)</f>
        <v>3E4CCC</v>
      </c>
      <c r="AJ22" s="2" t="str">
        <f xml:space="preserve"> LEFT(Sng2String(Table1[[#This Row],[t gain]]), 6)</f>
        <v>3F9999</v>
      </c>
      <c r="AK22" s="2" t="str">
        <f>DEC2HEX(Table1[[#This Row],[t inv sp mx idx]], 1)</f>
        <v>4</v>
      </c>
      <c r="AL22" s="2" t="str">
        <f xml:space="preserve"> LEFT(Sng2String(Table1[[#This Row],[g bias]]), 6)</f>
        <v>3F3333</v>
      </c>
      <c r="AM22" s="2" t="str">
        <f xml:space="preserve"> LEFT(Sng2String(Table1[[#This Row],[g gain]]), 6)</f>
        <v>3F1999</v>
      </c>
      <c r="AN22" s="2" t="str">
        <f>DEC2HEX(Table1[[#This Row],[g inv sp mx idx]], 1)</f>
        <v>5</v>
      </c>
      <c r="AO22" s="2" t="str">
        <f xml:space="preserve"> LEFT(Sng2String(Table1[[#This Row],[a bias]]), 6)</f>
        <v>3F9999</v>
      </c>
      <c r="AP22" s="2" t="str">
        <f xml:space="preserve"> LEFT(Sng2String(Table1[[#This Row],[a gain]]), 6)</f>
        <v>3F3333</v>
      </c>
      <c r="AQ22" s="2" t="str">
        <f>DEC2HEX(Table1[[#This Row],[a inv sp mx idx]], 1)</f>
        <v>6</v>
      </c>
      <c r="AR22" s="2" t="str">
        <f xml:space="preserve"> LEFT(Sng2String(Table1[[#This Row],[c bias]]), 6)</f>
        <v>3E4CCC</v>
      </c>
      <c r="AS22" s="2" t="str">
        <f xml:space="preserve"> LEFT(Sng2String(Table1[[#This Row],[c gain]]), 6)</f>
        <v>3F9999</v>
      </c>
      <c r="AT22" s="2" t="str">
        <f>DEC2HEX(Table1[[#This Row],[c inv sp mx idx]], 1)</f>
        <v>7</v>
      </c>
      <c r="AU22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00304229D63E4CCC3F999943F33333F199953F99993F333363E4CCC3F9999702</v>
      </c>
      <c r="AV22" s="2">
        <f>LEN(Table1[[#This Row],[DRAM data]])</f>
        <v>64</v>
      </c>
    </row>
    <row r="23" spans="1:48" x14ac:dyDescent="0.25">
      <c r="A23">
        <v>21</v>
      </c>
      <c r="B23">
        <f>Table1[[#This Row],[ZMW num]]+1</f>
        <v>22</v>
      </c>
      <c r="C23">
        <v>3</v>
      </c>
      <c r="D23">
        <v>69</v>
      </c>
      <c r="E23">
        <v>43</v>
      </c>
      <c r="F23">
        <v>212</v>
      </c>
      <c r="G23">
        <v>0</v>
      </c>
      <c r="H23">
        <f>Table1[[#This Row],[ZMW num]]*0.01</f>
        <v>0.21</v>
      </c>
      <c r="I23">
        <f>1+Table1[[#This Row],[t bias]]</f>
        <v>1.21</v>
      </c>
      <c r="J23">
        <f>Table1[[#This Row],[t kinetic trace]]* String2Single(CONCATENATE(LEFT(Single2String(Table1[[#This Row],[t gain]]), 6), "00")) + String2Single(CONCATENATE(LEFT(Single2String(Table1[[#This Row],[t bias]]), 6), "00"))</f>
        <v>0.20999908447265625</v>
      </c>
      <c r="K23" t="str">
        <f>Sng2String(Table1[[#This Row],[t ptrace]])</f>
        <v>3E570A00</v>
      </c>
      <c r="L23">
        <f>MOD(Table1[[#This Row],[ZMW num]], 2^4)</f>
        <v>5</v>
      </c>
      <c r="M23">
        <v>0</v>
      </c>
      <c r="N23">
        <f>Table1[[#This Row],[t bias]]+0.5</f>
        <v>0.71</v>
      </c>
      <c r="O23">
        <f>Table1[[#This Row],[t gain]]/2</f>
        <v>0.60499999999999998</v>
      </c>
      <c r="P23">
        <f>Table1[[#This Row],[g kinetic trace]] * String2Single(CONCATENATE(LEFT(Single2String(Table1[[#This Row],[g gain]]), 6), "00")) + String2Single(CONCATENATE(LEFT(Single2String(Table1[[#This Row],[g bias]]), 6), "00"))</f>
        <v>0.709991455078125</v>
      </c>
      <c r="Q23" t="str">
        <f xml:space="preserve"> Sng2String(Table1[[#This Row],[g ptrace]])</f>
        <v>3F35C200</v>
      </c>
      <c r="R23">
        <f>MOD(Table1[[#This Row],[t inv sp mx idx]]+1, 2^4)</f>
        <v>6</v>
      </c>
      <c r="S23">
        <v>0</v>
      </c>
      <c r="T23">
        <f>Table1[[#This Row],[t bias]]+1</f>
        <v>1.21</v>
      </c>
      <c r="U23">
        <f>Table1[[#This Row],[t gain]]-0.5</f>
        <v>0.71</v>
      </c>
      <c r="V23">
        <f>Table1[[#This Row],[a kinetic trace]] * String2Single(CONCATENATE(LEFT(Single2String(Table1[[#This Row],[a gain]]), 6), "00")) + String2Single(CONCATENATE(LEFT(Single2String(Table1[[#This Row],[a bias]]), 6), "00"))</f>
        <v>1.209991455078125</v>
      </c>
      <c r="W23" t="str">
        <f xml:space="preserve"> Sng2String(Table1[[#This Row],[a ptrace]])</f>
        <v>3F9AE100</v>
      </c>
      <c r="X23">
        <f>MOD(Table1[[#This Row],[t inv sp mx idx]]+2, 2^4)</f>
        <v>7</v>
      </c>
      <c r="Y23">
        <v>0</v>
      </c>
      <c r="Z23">
        <f>Table1[[#This Row],[t bias]]</f>
        <v>0.21</v>
      </c>
      <c r="AA23">
        <f>Table1[[#This Row],[t gain]]</f>
        <v>1.21</v>
      </c>
      <c r="AB23">
        <f>Table1[[#This Row],[c kinetic trace]]* String2Single(CONCATENATE(LEFT(Single2String(Table1[[#This Row],[c gain]]), 6), "00")) + String2Single(CONCATENATE(LEFT(Single2String(Table1[[#This Row],[c bias]]), 6), "00"))</f>
        <v>0.20999908447265625</v>
      </c>
      <c r="AC23" t="str">
        <f xml:space="preserve"> Sng2String(Table1[[#This Row],[c ptrace]])</f>
        <v>3E570A00</v>
      </c>
      <c r="AD23">
        <f>MOD(Table1[[#This Row],[t inv sp mx idx]]+3, 2^4)</f>
        <v>8</v>
      </c>
      <c r="AE23" s="4" t="str">
        <f>DEC2HEX(Table1[[#This Row],[row]], 3)</f>
        <v>003</v>
      </c>
      <c r="AF23" s="2" t="str">
        <f>DEC2HEX(Table1[[#This Row],[col]], 3)</f>
        <v>045</v>
      </c>
      <c r="AG23" s="2" t="str">
        <f>DEC2HEX(Table1[[#This Row],[grn fsp idx]], 2)</f>
        <v>2B</v>
      </c>
      <c r="AH23" s="2" t="str">
        <f>DEC2HEX(Table1[[#This Row],[red fsp idx]], 2)</f>
        <v>D4</v>
      </c>
      <c r="AI23" s="2" t="str">
        <f xml:space="preserve"> LEFT(Sng2String(Table1[[#This Row],[t bias]]), 6)</f>
        <v>3E570A</v>
      </c>
      <c r="AJ23" s="2" t="str">
        <f xml:space="preserve"> LEFT(Sng2String(Table1[[#This Row],[t gain]]), 6)</f>
        <v>3F9AE1</v>
      </c>
      <c r="AK23" s="2" t="str">
        <f>DEC2HEX(Table1[[#This Row],[t inv sp mx idx]], 1)</f>
        <v>5</v>
      </c>
      <c r="AL23" s="2" t="str">
        <f xml:space="preserve"> LEFT(Sng2String(Table1[[#This Row],[g bias]]), 6)</f>
        <v>3F35C2</v>
      </c>
      <c r="AM23" s="2" t="str">
        <f xml:space="preserve"> LEFT(Sng2String(Table1[[#This Row],[g gain]]), 6)</f>
        <v>3F1AE1</v>
      </c>
      <c r="AN23" s="2" t="str">
        <f>DEC2HEX(Table1[[#This Row],[g inv sp mx idx]], 1)</f>
        <v>6</v>
      </c>
      <c r="AO23" s="2" t="str">
        <f xml:space="preserve"> LEFT(Sng2String(Table1[[#This Row],[a bias]]), 6)</f>
        <v>3F9AE1</v>
      </c>
      <c r="AP23" s="2" t="str">
        <f xml:space="preserve"> LEFT(Sng2String(Table1[[#This Row],[a gain]]), 6)</f>
        <v>3F35C2</v>
      </c>
      <c r="AQ23" s="2" t="str">
        <f>DEC2HEX(Table1[[#This Row],[a inv sp mx idx]], 1)</f>
        <v>7</v>
      </c>
      <c r="AR23" s="2" t="str">
        <f xml:space="preserve"> LEFT(Sng2String(Table1[[#This Row],[c bias]]), 6)</f>
        <v>3E570A</v>
      </c>
      <c r="AS23" s="2" t="str">
        <f xml:space="preserve"> LEFT(Sng2String(Table1[[#This Row],[c gain]]), 6)</f>
        <v>3F9AE1</v>
      </c>
      <c r="AT23" s="2" t="str">
        <f>DEC2HEX(Table1[[#This Row],[c inv sp mx idx]], 1)</f>
        <v>8</v>
      </c>
      <c r="AU23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0030452BD43E570A3F9AE153F35C23F1AE163F9AE13F35C273E570A3F9AE1802</v>
      </c>
      <c r="AV23" s="2">
        <f>LEN(Table1[[#This Row],[DRAM data]])</f>
        <v>64</v>
      </c>
    </row>
    <row r="24" spans="1:48" x14ac:dyDescent="0.25">
      <c r="A24">
        <v>22</v>
      </c>
      <c r="B24">
        <f>Table1[[#This Row],[ZMW num]]+1</f>
        <v>23</v>
      </c>
      <c r="C24">
        <v>3</v>
      </c>
      <c r="D24">
        <v>72</v>
      </c>
      <c r="E24">
        <v>45</v>
      </c>
      <c r="F24">
        <v>210</v>
      </c>
      <c r="G24">
        <v>0</v>
      </c>
      <c r="H24">
        <f>Table1[[#This Row],[ZMW num]]*0.01</f>
        <v>0.22</v>
      </c>
      <c r="I24">
        <f>1+Table1[[#This Row],[t bias]]</f>
        <v>1.22</v>
      </c>
      <c r="J24">
        <f>Table1[[#This Row],[t kinetic trace]]* String2Single(CONCATENATE(LEFT(Single2String(Table1[[#This Row],[t gain]]), 6), "00")) + String2Single(CONCATENATE(LEFT(Single2String(Table1[[#This Row],[t bias]]), 6), "00"))</f>
        <v>0.21999740600585938</v>
      </c>
      <c r="K24" t="str">
        <f>Sng2String(Table1[[#This Row],[t ptrace]])</f>
        <v>3E614700</v>
      </c>
      <c r="L24">
        <f>MOD(Table1[[#This Row],[ZMW num]], 2^4)</f>
        <v>6</v>
      </c>
      <c r="M24">
        <v>0</v>
      </c>
      <c r="N24">
        <f>Table1[[#This Row],[t bias]]+0.5</f>
        <v>0.72</v>
      </c>
      <c r="O24">
        <f>Table1[[#This Row],[t gain]]/2</f>
        <v>0.61</v>
      </c>
      <c r="P24">
        <f>Table1[[#This Row],[g kinetic trace]] * String2Single(CONCATENATE(LEFT(Single2String(Table1[[#This Row],[g gain]]), 6), "00")) + String2Single(CONCATENATE(LEFT(Single2String(Table1[[#This Row],[g bias]]), 6), "00"))</f>
        <v>0.7199859619140625</v>
      </c>
      <c r="Q24" t="str">
        <f xml:space="preserve"> Sng2String(Table1[[#This Row],[g ptrace]])</f>
        <v>3F385100</v>
      </c>
      <c r="R24">
        <f>MOD(Table1[[#This Row],[t inv sp mx idx]]+1, 2^4)</f>
        <v>7</v>
      </c>
      <c r="S24">
        <v>0</v>
      </c>
      <c r="T24">
        <f>Table1[[#This Row],[t bias]]+1</f>
        <v>1.22</v>
      </c>
      <c r="U24">
        <f>Table1[[#This Row],[t gain]]-0.5</f>
        <v>0.72</v>
      </c>
      <c r="V24">
        <f>Table1[[#This Row],[a kinetic trace]] * String2Single(CONCATENATE(LEFT(Single2String(Table1[[#This Row],[a gain]]), 6), "00")) + String2Single(CONCATENATE(LEFT(Single2String(Table1[[#This Row],[a bias]]), 6), "00"))</f>
        <v>1.219970703125</v>
      </c>
      <c r="W24" t="str">
        <f xml:space="preserve"> Sng2String(Table1[[#This Row],[a ptrace]])</f>
        <v>3F9C2800</v>
      </c>
      <c r="X24">
        <f>MOD(Table1[[#This Row],[t inv sp mx idx]]+2, 2^4)</f>
        <v>8</v>
      </c>
      <c r="Y24">
        <v>0</v>
      </c>
      <c r="Z24">
        <f>Table1[[#This Row],[t bias]]</f>
        <v>0.22</v>
      </c>
      <c r="AA24">
        <f>Table1[[#This Row],[t gain]]</f>
        <v>1.22</v>
      </c>
      <c r="AB24">
        <f>Table1[[#This Row],[c kinetic trace]]* String2Single(CONCATENATE(LEFT(Single2String(Table1[[#This Row],[c gain]]), 6), "00")) + String2Single(CONCATENATE(LEFT(Single2String(Table1[[#This Row],[c bias]]), 6), "00"))</f>
        <v>0.21999740600585938</v>
      </c>
      <c r="AC24" t="str">
        <f xml:space="preserve"> Sng2String(Table1[[#This Row],[c ptrace]])</f>
        <v>3E614700</v>
      </c>
      <c r="AD24">
        <f>MOD(Table1[[#This Row],[t inv sp mx idx]]+3, 2^4)</f>
        <v>9</v>
      </c>
      <c r="AE24" s="4" t="str">
        <f>DEC2HEX(Table1[[#This Row],[row]], 3)</f>
        <v>003</v>
      </c>
      <c r="AF24" s="2" t="str">
        <f>DEC2HEX(Table1[[#This Row],[col]], 3)</f>
        <v>048</v>
      </c>
      <c r="AG24" s="2" t="str">
        <f>DEC2HEX(Table1[[#This Row],[grn fsp idx]], 2)</f>
        <v>2D</v>
      </c>
      <c r="AH24" s="2" t="str">
        <f>DEC2HEX(Table1[[#This Row],[red fsp idx]], 2)</f>
        <v>D2</v>
      </c>
      <c r="AI24" s="2" t="str">
        <f xml:space="preserve"> LEFT(Sng2String(Table1[[#This Row],[t bias]]), 6)</f>
        <v>3E6147</v>
      </c>
      <c r="AJ24" s="2" t="str">
        <f xml:space="preserve"> LEFT(Sng2String(Table1[[#This Row],[t gain]]), 6)</f>
        <v>3F9C28</v>
      </c>
      <c r="AK24" s="2" t="str">
        <f>DEC2HEX(Table1[[#This Row],[t inv sp mx idx]], 1)</f>
        <v>6</v>
      </c>
      <c r="AL24" s="2" t="str">
        <f xml:space="preserve"> LEFT(Sng2String(Table1[[#This Row],[g bias]]), 6)</f>
        <v>3F3851</v>
      </c>
      <c r="AM24" s="2" t="str">
        <f xml:space="preserve"> LEFT(Sng2String(Table1[[#This Row],[g gain]]), 6)</f>
        <v>3F1C28</v>
      </c>
      <c r="AN24" s="2" t="str">
        <f>DEC2HEX(Table1[[#This Row],[g inv sp mx idx]], 1)</f>
        <v>7</v>
      </c>
      <c r="AO24" s="2" t="str">
        <f xml:space="preserve"> LEFT(Sng2String(Table1[[#This Row],[a bias]]), 6)</f>
        <v>3F9C28</v>
      </c>
      <c r="AP24" s="2" t="str">
        <f xml:space="preserve"> LEFT(Sng2String(Table1[[#This Row],[a gain]]), 6)</f>
        <v>3F3851</v>
      </c>
      <c r="AQ24" s="2" t="str">
        <f>DEC2HEX(Table1[[#This Row],[a inv sp mx idx]], 1)</f>
        <v>8</v>
      </c>
      <c r="AR24" s="2" t="str">
        <f xml:space="preserve"> LEFT(Sng2String(Table1[[#This Row],[c bias]]), 6)</f>
        <v>3E6147</v>
      </c>
      <c r="AS24" s="2" t="str">
        <f xml:space="preserve"> LEFT(Sng2String(Table1[[#This Row],[c gain]]), 6)</f>
        <v>3F9C28</v>
      </c>
      <c r="AT24" s="2" t="str">
        <f>DEC2HEX(Table1[[#This Row],[c inv sp mx idx]], 1)</f>
        <v>9</v>
      </c>
      <c r="AU24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0030482DD23E61473F9C2863F38513F1C2873F9C283F385183E61473F9C28902</v>
      </c>
      <c r="AV24" s="2">
        <f>LEN(Table1[[#This Row],[DRAM data]])</f>
        <v>64</v>
      </c>
    </row>
    <row r="25" spans="1:48" x14ac:dyDescent="0.25">
      <c r="A25">
        <v>23</v>
      </c>
      <c r="B25">
        <f>Table1[[#This Row],[ZMW num]]+1</f>
        <v>24</v>
      </c>
      <c r="C25">
        <v>3</v>
      </c>
      <c r="D25">
        <v>75</v>
      </c>
      <c r="E25">
        <v>47</v>
      </c>
      <c r="F25">
        <v>208</v>
      </c>
      <c r="G25">
        <v>0</v>
      </c>
      <c r="H25">
        <f>Table1[[#This Row],[ZMW num]]*0.01</f>
        <v>0.23</v>
      </c>
      <c r="I25">
        <f>1+Table1[[#This Row],[t bias]]</f>
        <v>1.23</v>
      </c>
      <c r="J25">
        <f>Table1[[#This Row],[t kinetic trace]]* String2Single(CONCATENATE(LEFT(Single2String(Table1[[#This Row],[t gain]]), 6), "00")) + String2Single(CONCATENATE(LEFT(Single2String(Table1[[#This Row],[t bias]]), 6), "00"))</f>
        <v>0.22999954223632813</v>
      </c>
      <c r="K25" t="str">
        <f>Sng2String(Table1[[#This Row],[t ptrace]])</f>
        <v>3E6B8500</v>
      </c>
      <c r="L25">
        <f>MOD(Table1[[#This Row],[ZMW num]], 2^4)</f>
        <v>7</v>
      </c>
      <c r="M25">
        <v>0</v>
      </c>
      <c r="N25">
        <f>Table1[[#This Row],[t bias]]+0.5</f>
        <v>0.73</v>
      </c>
      <c r="O25">
        <f>Table1[[#This Row],[t gain]]/2</f>
        <v>0.61499999999999999</v>
      </c>
      <c r="P25">
        <f>Table1[[#This Row],[g kinetic trace]] * String2Single(CONCATENATE(LEFT(Single2String(Table1[[#This Row],[g gain]]), 6), "00")) + String2Single(CONCATENATE(LEFT(Single2String(Table1[[#This Row],[g bias]]), 6), "00"))</f>
        <v>0.7299957275390625</v>
      </c>
      <c r="Q25" t="str">
        <f xml:space="preserve"> Sng2String(Table1[[#This Row],[g ptrace]])</f>
        <v>3F3AE100</v>
      </c>
      <c r="R25">
        <f>MOD(Table1[[#This Row],[t inv sp mx idx]]+1, 2^4)</f>
        <v>8</v>
      </c>
      <c r="S25">
        <v>0</v>
      </c>
      <c r="T25">
        <f>Table1[[#This Row],[t bias]]+1</f>
        <v>1.23</v>
      </c>
      <c r="U25">
        <f>Table1[[#This Row],[t gain]]-0.5</f>
        <v>0.73</v>
      </c>
      <c r="V25">
        <f>Table1[[#This Row],[a kinetic trace]] * String2Single(CONCATENATE(LEFT(Single2String(Table1[[#This Row],[a gain]]), 6), "00")) + String2Single(CONCATENATE(LEFT(Single2String(Table1[[#This Row],[a bias]]), 6), "00"))</f>
        <v>1.22998046875</v>
      </c>
      <c r="W25" t="str">
        <f xml:space="preserve"> Sng2String(Table1[[#This Row],[a ptrace]])</f>
        <v>3F9D7000</v>
      </c>
      <c r="X25">
        <f>MOD(Table1[[#This Row],[t inv sp mx idx]]+2, 2^4)</f>
        <v>9</v>
      </c>
      <c r="Y25">
        <v>0</v>
      </c>
      <c r="Z25">
        <f>Table1[[#This Row],[t bias]]</f>
        <v>0.23</v>
      </c>
      <c r="AA25">
        <f>Table1[[#This Row],[t gain]]</f>
        <v>1.23</v>
      </c>
      <c r="AB25">
        <f>Table1[[#This Row],[c kinetic trace]]* String2Single(CONCATENATE(LEFT(Single2String(Table1[[#This Row],[c gain]]), 6), "00")) + String2Single(CONCATENATE(LEFT(Single2String(Table1[[#This Row],[c bias]]), 6), "00"))</f>
        <v>0.22999954223632813</v>
      </c>
      <c r="AC25" t="str">
        <f xml:space="preserve"> Sng2String(Table1[[#This Row],[c ptrace]])</f>
        <v>3E6B8500</v>
      </c>
      <c r="AD25">
        <f>MOD(Table1[[#This Row],[t inv sp mx idx]]+3, 2^4)</f>
        <v>10</v>
      </c>
      <c r="AE25" s="4" t="str">
        <f>DEC2HEX(Table1[[#This Row],[row]], 3)</f>
        <v>003</v>
      </c>
      <c r="AF25" s="2" t="str">
        <f>DEC2HEX(Table1[[#This Row],[col]], 3)</f>
        <v>04B</v>
      </c>
      <c r="AG25" s="2" t="str">
        <f>DEC2HEX(Table1[[#This Row],[grn fsp idx]], 2)</f>
        <v>2F</v>
      </c>
      <c r="AH25" s="2" t="str">
        <f>DEC2HEX(Table1[[#This Row],[red fsp idx]], 2)</f>
        <v>D0</v>
      </c>
      <c r="AI25" s="2" t="str">
        <f xml:space="preserve"> LEFT(Sng2String(Table1[[#This Row],[t bias]]), 6)</f>
        <v>3E6B85</v>
      </c>
      <c r="AJ25" s="2" t="str">
        <f xml:space="preserve"> LEFT(Sng2String(Table1[[#This Row],[t gain]]), 6)</f>
        <v>3F9D70</v>
      </c>
      <c r="AK25" s="2" t="str">
        <f>DEC2HEX(Table1[[#This Row],[t inv sp mx idx]], 1)</f>
        <v>7</v>
      </c>
      <c r="AL25" s="2" t="str">
        <f xml:space="preserve"> LEFT(Sng2String(Table1[[#This Row],[g bias]]), 6)</f>
        <v>3F3AE1</v>
      </c>
      <c r="AM25" s="2" t="str">
        <f xml:space="preserve"> LEFT(Sng2String(Table1[[#This Row],[g gain]]), 6)</f>
        <v>3F1D70</v>
      </c>
      <c r="AN25" s="2" t="str">
        <f>DEC2HEX(Table1[[#This Row],[g inv sp mx idx]], 1)</f>
        <v>8</v>
      </c>
      <c r="AO25" s="2" t="str">
        <f xml:space="preserve"> LEFT(Sng2String(Table1[[#This Row],[a bias]]), 6)</f>
        <v>3F9D70</v>
      </c>
      <c r="AP25" s="2" t="str">
        <f xml:space="preserve"> LEFT(Sng2String(Table1[[#This Row],[a gain]]), 6)</f>
        <v>3F3AE1</v>
      </c>
      <c r="AQ25" s="2" t="str">
        <f>DEC2HEX(Table1[[#This Row],[a inv sp mx idx]], 1)</f>
        <v>9</v>
      </c>
      <c r="AR25" s="2" t="str">
        <f xml:space="preserve"> LEFT(Sng2String(Table1[[#This Row],[c bias]]), 6)</f>
        <v>3E6B85</v>
      </c>
      <c r="AS25" s="2" t="str">
        <f xml:space="preserve"> LEFT(Sng2String(Table1[[#This Row],[c gain]]), 6)</f>
        <v>3F9D70</v>
      </c>
      <c r="AT25" s="2" t="str">
        <f>DEC2HEX(Table1[[#This Row],[c inv sp mx idx]], 1)</f>
        <v>A</v>
      </c>
      <c r="AU25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00304B2FD03E6B853F9D7073F3AE13F1D7083F9D703F3AE193E6B853F9D70A02</v>
      </c>
      <c r="AV25" s="2">
        <f>LEN(Table1[[#This Row],[DRAM data]])</f>
        <v>64</v>
      </c>
    </row>
    <row r="26" spans="1:48" x14ac:dyDescent="0.25">
      <c r="A26">
        <v>24</v>
      </c>
      <c r="B26">
        <f>Table1[[#This Row],[ZMW num]]+1</f>
        <v>25</v>
      </c>
      <c r="C26">
        <v>3</v>
      </c>
      <c r="D26">
        <v>80</v>
      </c>
      <c r="E26">
        <v>49</v>
      </c>
      <c r="F26">
        <v>206</v>
      </c>
      <c r="G26">
        <v>0</v>
      </c>
      <c r="H26">
        <f>Table1[[#This Row],[ZMW num]]*0.01</f>
        <v>0.24</v>
      </c>
      <c r="I26">
        <f>1+Table1[[#This Row],[t bias]]</f>
        <v>1.24</v>
      </c>
      <c r="J26">
        <f>Table1[[#This Row],[t kinetic trace]]* String2Single(CONCATENATE(LEFT(Single2String(Table1[[#This Row],[t gain]]), 6), "00")) + String2Single(CONCATENATE(LEFT(Single2String(Table1[[#This Row],[t bias]]), 6), "00"))</f>
        <v>0.23999786376953125</v>
      </c>
      <c r="K26" t="str">
        <f>Sng2String(Table1[[#This Row],[t ptrace]])</f>
        <v>3E75C200</v>
      </c>
      <c r="L26">
        <f>MOD(Table1[[#This Row],[ZMW num]], 2^4)</f>
        <v>8</v>
      </c>
      <c r="M26">
        <v>0</v>
      </c>
      <c r="N26">
        <f>Table1[[#This Row],[t bias]]+0.5</f>
        <v>0.74</v>
      </c>
      <c r="O26">
        <f>Table1[[#This Row],[t gain]]/2</f>
        <v>0.62</v>
      </c>
      <c r="P26">
        <f>Table1[[#This Row],[g kinetic trace]] * String2Single(CONCATENATE(LEFT(Single2String(Table1[[#This Row],[g gain]]), 6), "00")) + String2Single(CONCATENATE(LEFT(Single2String(Table1[[#This Row],[g bias]]), 6), "00"))</f>
        <v>0.739990234375</v>
      </c>
      <c r="Q26" t="str">
        <f xml:space="preserve"> Sng2String(Table1[[#This Row],[g ptrace]])</f>
        <v>3F3D7000</v>
      </c>
      <c r="R26">
        <f>MOD(Table1[[#This Row],[t inv sp mx idx]]+1, 2^4)</f>
        <v>9</v>
      </c>
      <c r="S26">
        <v>0</v>
      </c>
      <c r="T26">
        <f>Table1[[#This Row],[t bias]]+1</f>
        <v>1.24</v>
      </c>
      <c r="U26">
        <f>Table1[[#This Row],[t gain]]-0.5</f>
        <v>0.74</v>
      </c>
      <c r="V26">
        <f>Table1[[#This Row],[a kinetic trace]] * String2Single(CONCATENATE(LEFT(Single2String(Table1[[#This Row],[a gain]]), 6), "00")) + String2Single(CONCATENATE(LEFT(Single2String(Table1[[#This Row],[a bias]]), 6), "00"))</f>
        <v>1.239990234375</v>
      </c>
      <c r="W26" t="str">
        <f xml:space="preserve"> Sng2String(Table1[[#This Row],[a ptrace]])</f>
        <v>3F9EB800</v>
      </c>
      <c r="X26">
        <f>MOD(Table1[[#This Row],[t inv sp mx idx]]+2, 2^4)</f>
        <v>10</v>
      </c>
      <c r="Y26">
        <v>0</v>
      </c>
      <c r="Z26">
        <f>Table1[[#This Row],[t bias]]</f>
        <v>0.24</v>
      </c>
      <c r="AA26">
        <f>Table1[[#This Row],[t gain]]</f>
        <v>1.24</v>
      </c>
      <c r="AB26">
        <f>Table1[[#This Row],[c kinetic trace]]* String2Single(CONCATENATE(LEFT(Single2String(Table1[[#This Row],[c gain]]), 6), "00")) + String2Single(CONCATENATE(LEFT(Single2String(Table1[[#This Row],[c bias]]), 6), "00"))</f>
        <v>0.23999786376953125</v>
      </c>
      <c r="AC26" t="str">
        <f xml:space="preserve"> Sng2String(Table1[[#This Row],[c ptrace]])</f>
        <v>3E75C200</v>
      </c>
      <c r="AD26">
        <f>MOD(Table1[[#This Row],[t inv sp mx idx]]+3, 2^4)</f>
        <v>11</v>
      </c>
      <c r="AE26" s="4" t="str">
        <f>DEC2HEX(Table1[[#This Row],[row]], 3)</f>
        <v>003</v>
      </c>
      <c r="AF26" s="2" t="str">
        <f>DEC2HEX(Table1[[#This Row],[col]], 3)</f>
        <v>050</v>
      </c>
      <c r="AG26" s="2" t="str">
        <f>DEC2HEX(Table1[[#This Row],[grn fsp idx]], 2)</f>
        <v>31</v>
      </c>
      <c r="AH26" s="2" t="str">
        <f>DEC2HEX(Table1[[#This Row],[red fsp idx]], 2)</f>
        <v>CE</v>
      </c>
      <c r="AI26" s="2" t="str">
        <f xml:space="preserve"> LEFT(Sng2String(Table1[[#This Row],[t bias]]), 6)</f>
        <v>3E75C2</v>
      </c>
      <c r="AJ26" s="2" t="str">
        <f xml:space="preserve"> LEFT(Sng2String(Table1[[#This Row],[t gain]]), 6)</f>
        <v>3F9EB8</v>
      </c>
      <c r="AK26" s="2" t="str">
        <f>DEC2HEX(Table1[[#This Row],[t inv sp mx idx]], 1)</f>
        <v>8</v>
      </c>
      <c r="AL26" s="2" t="str">
        <f xml:space="preserve"> LEFT(Sng2String(Table1[[#This Row],[g bias]]), 6)</f>
        <v>3F3D70</v>
      </c>
      <c r="AM26" s="2" t="str">
        <f xml:space="preserve"> LEFT(Sng2String(Table1[[#This Row],[g gain]]), 6)</f>
        <v>3F1EB8</v>
      </c>
      <c r="AN26" s="2" t="str">
        <f>DEC2HEX(Table1[[#This Row],[g inv sp mx idx]], 1)</f>
        <v>9</v>
      </c>
      <c r="AO26" s="2" t="str">
        <f xml:space="preserve"> LEFT(Sng2String(Table1[[#This Row],[a bias]]), 6)</f>
        <v>3F9EB8</v>
      </c>
      <c r="AP26" s="2" t="str">
        <f xml:space="preserve"> LEFT(Sng2String(Table1[[#This Row],[a gain]]), 6)</f>
        <v>3F3D70</v>
      </c>
      <c r="AQ26" s="2" t="str">
        <f>DEC2HEX(Table1[[#This Row],[a inv sp mx idx]], 1)</f>
        <v>A</v>
      </c>
      <c r="AR26" s="2" t="str">
        <f xml:space="preserve"> LEFT(Sng2String(Table1[[#This Row],[c bias]]), 6)</f>
        <v>3E75C2</v>
      </c>
      <c r="AS26" s="2" t="str">
        <f xml:space="preserve"> LEFT(Sng2String(Table1[[#This Row],[c gain]]), 6)</f>
        <v>3F9EB8</v>
      </c>
      <c r="AT26" s="2" t="str">
        <f>DEC2HEX(Table1[[#This Row],[c inv sp mx idx]], 1)</f>
        <v>B</v>
      </c>
      <c r="AU26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00305031CE3E75C23F9EB883F3D703F1EB893F9EB83F3D70A3E75C23F9EB8B02</v>
      </c>
      <c r="AV26" s="2">
        <f>LEN(Table1[[#This Row],[DRAM data]])</f>
        <v>64</v>
      </c>
    </row>
    <row r="27" spans="1:48" x14ac:dyDescent="0.25">
      <c r="A27">
        <v>25</v>
      </c>
      <c r="B27">
        <f>Table1[[#This Row],[ZMW num]]+1</f>
        <v>26</v>
      </c>
      <c r="C27">
        <v>3</v>
      </c>
      <c r="D27">
        <v>87</v>
      </c>
      <c r="E27">
        <v>51</v>
      </c>
      <c r="F27">
        <v>204</v>
      </c>
      <c r="G27">
        <v>0</v>
      </c>
      <c r="H27">
        <f>Table1[[#This Row],[ZMW num]]*0.01</f>
        <v>0.25</v>
      </c>
      <c r="I27">
        <f>1+Table1[[#This Row],[t bias]]</f>
        <v>1.25</v>
      </c>
      <c r="J27">
        <f>Table1[[#This Row],[t kinetic trace]]* String2Single(CONCATENATE(LEFT(Single2String(Table1[[#This Row],[t gain]]), 6), "00")) + String2Single(CONCATENATE(LEFT(Single2String(Table1[[#This Row],[t bias]]), 6), "00"))</f>
        <v>0.25</v>
      </c>
      <c r="K27" t="str">
        <f>Sng2String(Table1[[#This Row],[t ptrace]])</f>
        <v>3E800000</v>
      </c>
      <c r="L27">
        <f>MOD(Table1[[#This Row],[ZMW num]], 2^4)</f>
        <v>9</v>
      </c>
      <c r="M27">
        <v>0</v>
      </c>
      <c r="N27">
        <f>Table1[[#This Row],[t bias]]+0.5</f>
        <v>0.75</v>
      </c>
      <c r="O27">
        <f>Table1[[#This Row],[t gain]]/2</f>
        <v>0.625</v>
      </c>
      <c r="P27">
        <f>Table1[[#This Row],[g kinetic trace]] * String2Single(CONCATENATE(LEFT(Single2String(Table1[[#This Row],[g gain]]), 6), "00")) + String2Single(CONCATENATE(LEFT(Single2String(Table1[[#This Row],[g bias]]), 6), "00"))</f>
        <v>0.75</v>
      </c>
      <c r="Q27" t="str">
        <f xml:space="preserve"> Sng2String(Table1[[#This Row],[g ptrace]])</f>
        <v>3F400000</v>
      </c>
      <c r="R27">
        <f>MOD(Table1[[#This Row],[t inv sp mx idx]]+1, 2^4)</f>
        <v>10</v>
      </c>
      <c r="S27">
        <v>0</v>
      </c>
      <c r="T27">
        <f>Table1[[#This Row],[t bias]]+1</f>
        <v>1.25</v>
      </c>
      <c r="U27">
        <f>Table1[[#This Row],[t gain]]-0.5</f>
        <v>0.75</v>
      </c>
      <c r="V27">
        <f>Table1[[#This Row],[a kinetic trace]] * String2Single(CONCATENATE(LEFT(Single2String(Table1[[#This Row],[a gain]]), 6), "00")) + String2Single(CONCATENATE(LEFT(Single2String(Table1[[#This Row],[a bias]]), 6), "00"))</f>
        <v>1.25</v>
      </c>
      <c r="W27" t="str">
        <f xml:space="preserve"> Sng2String(Table1[[#This Row],[a ptrace]])</f>
        <v>3FA00000</v>
      </c>
      <c r="X27">
        <f>MOD(Table1[[#This Row],[t inv sp mx idx]]+2, 2^4)</f>
        <v>11</v>
      </c>
      <c r="Y27">
        <v>0</v>
      </c>
      <c r="Z27">
        <f>Table1[[#This Row],[t bias]]</f>
        <v>0.25</v>
      </c>
      <c r="AA27">
        <f>Table1[[#This Row],[t gain]]</f>
        <v>1.25</v>
      </c>
      <c r="AB27">
        <f>Table1[[#This Row],[c kinetic trace]]* String2Single(CONCATENATE(LEFT(Single2String(Table1[[#This Row],[c gain]]), 6), "00")) + String2Single(CONCATENATE(LEFT(Single2String(Table1[[#This Row],[c bias]]), 6), "00"))</f>
        <v>0.25</v>
      </c>
      <c r="AC27" t="str">
        <f xml:space="preserve"> Sng2String(Table1[[#This Row],[c ptrace]])</f>
        <v>3E800000</v>
      </c>
      <c r="AD27">
        <f>MOD(Table1[[#This Row],[t inv sp mx idx]]+3, 2^4)</f>
        <v>12</v>
      </c>
      <c r="AE27" s="4" t="str">
        <f>DEC2HEX(Table1[[#This Row],[row]], 3)</f>
        <v>003</v>
      </c>
      <c r="AF27" s="2" t="str">
        <f>DEC2HEX(Table1[[#This Row],[col]], 3)</f>
        <v>057</v>
      </c>
      <c r="AG27" s="2" t="str">
        <f>DEC2HEX(Table1[[#This Row],[grn fsp idx]], 2)</f>
        <v>33</v>
      </c>
      <c r="AH27" s="2" t="str">
        <f>DEC2HEX(Table1[[#This Row],[red fsp idx]], 2)</f>
        <v>CC</v>
      </c>
      <c r="AI27" s="2" t="str">
        <f xml:space="preserve"> LEFT(Sng2String(Table1[[#This Row],[t bias]]), 6)</f>
        <v>3E8000</v>
      </c>
      <c r="AJ27" s="2" t="str">
        <f xml:space="preserve"> LEFT(Sng2String(Table1[[#This Row],[t gain]]), 6)</f>
        <v>3FA000</v>
      </c>
      <c r="AK27" s="2" t="str">
        <f>DEC2HEX(Table1[[#This Row],[t inv sp mx idx]], 1)</f>
        <v>9</v>
      </c>
      <c r="AL27" s="2" t="str">
        <f xml:space="preserve"> LEFT(Sng2String(Table1[[#This Row],[g bias]]), 6)</f>
        <v>3F4000</v>
      </c>
      <c r="AM27" s="2" t="str">
        <f xml:space="preserve"> LEFT(Sng2String(Table1[[#This Row],[g gain]]), 6)</f>
        <v>3F2000</v>
      </c>
      <c r="AN27" s="2" t="str">
        <f>DEC2HEX(Table1[[#This Row],[g inv sp mx idx]], 1)</f>
        <v>A</v>
      </c>
      <c r="AO27" s="2" t="str">
        <f xml:space="preserve"> LEFT(Sng2String(Table1[[#This Row],[a bias]]), 6)</f>
        <v>3FA000</v>
      </c>
      <c r="AP27" s="2" t="str">
        <f xml:space="preserve"> LEFT(Sng2String(Table1[[#This Row],[a gain]]), 6)</f>
        <v>3F4000</v>
      </c>
      <c r="AQ27" s="2" t="str">
        <f>DEC2HEX(Table1[[#This Row],[a inv sp mx idx]], 1)</f>
        <v>B</v>
      </c>
      <c r="AR27" s="2" t="str">
        <f xml:space="preserve"> LEFT(Sng2String(Table1[[#This Row],[c bias]]), 6)</f>
        <v>3E8000</v>
      </c>
      <c r="AS27" s="2" t="str">
        <f xml:space="preserve"> LEFT(Sng2String(Table1[[#This Row],[c gain]]), 6)</f>
        <v>3FA000</v>
      </c>
      <c r="AT27" s="2" t="str">
        <f>DEC2HEX(Table1[[#This Row],[c inv sp mx idx]], 1)</f>
        <v>C</v>
      </c>
      <c r="AU27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00305733CC3E80003FA00093F40003F2000A3FA0003F4000B3E80003FA000C02</v>
      </c>
      <c r="AV27" s="2">
        <f>LEN(Table1[[#This Row],[DRAM data]])</f>
        <v>64</v>
      </c>
    </row>
    <row r="28" spans="1:48" x14ac:dyDescent="0.25">
      <c r="A28">
        <v>26</v>
      </c>
      <c r="B28">
        <f>Table1[[#This Row],[ZMW num]]+1</f>
        <v>27</v>
      </c>
      <c r="C28">
        <v>3</v>
      </c>
      <c r="D28">
        <v>93</v>
      </c>
      <c r="E28">
        <v>53</v>
      </c>
      <c r="F28">
        <v>202</v>
      </c>
      <c r="G28">
        <v>0</v>
      </c>
      <c r="H28">
        <f>Table1[[#This Row],[ZMW num]]*0.01</f>
        <v>0.26</v>
      </c>
      <c r="I28">
        <f>1+Table1[[#This Row],[t bias]]</f>
        <v>1.26</v>
      </c>
      <c r="J28">
        <f>Table1[[#This Row],[t kinetic trace]]* String2Single(CONCATENATE(LEFT(Single2String(Table1[[#This Row],[t gain]]), 6), "00")) + String2Single(CONCATENATE(LEFT(Single2String(Table1[[#This Row],[t bias]]), 6), "00"))</f>
        <v>0.2599945068359375</v>
      </c>
      <c r="K28" t="str">
        <f>Sng2String(Table1[[#This Row],[t ptrace]])</f>
        <v>3E851E00</v>
      </c>
      <c r="L28">
        <f>MOD(Table1[[#This Row],[ZMW num]], 2^4)</f>
        <v>10</v>
      </c>
      <c r="M28">
        <v>0</v>
      </c>
      <c r="N28">
        <f>Table1[[#This Row],[t bias]]+0.5</f>
        <v>0.76</v>
      </c>
      <c r="O28">
        <f>Table1[[#This Row],[t gain]]/2</f>
        <v>0.63</v>
      </c>
      <c r="P28">
        <f>Table1[[#This Row],[g kinetic trace]] * String2Single(CONCATENATE(LEFT(Single2String(Table1[[#This Row],[g gain]]), 6), "00")) + String2Single(CONCATENATE(LEFT(Single2String(Table1[[#This Row],[g bias]]), 6), "00"))</f>
        <v>0.7599945068359375</v>
      </c>
      <c r="Q28" t="str">
        <f xml:space="preserve"> Sng2String(Table1[[#This Row],[g ptrace]])</f>
        <v>3F428F00</v>
      </c>
      <c r="R28">
        <f>MOD(Table1[[#This Row],[t inv sp mx idx]]+1, 2^4)</f>
        <v>11</v>
      </c>
      <c r="S28">
        <v>0</v>
      </c>
      <c r="T28">
        <f>Table1[[#This Row],[t bias]]+1</f>
        <v>1.26</v>
      </c>
      <c r="U28">
        <f>Table1[[#This Row],[t gain]]-0.5</f>
        <v>0.76</v>
      </c>
      <c r="V28">
        <f>Table1[[#This Row],[a kinetic trace]] * String2Single(CONCATENATE(LEFT(Single2String(Table1[[#This Row],[a gain]]), 6), "00")) + String2Single(CONCATENATE(LEFT(Single2String(Table1[[#This Row],[a bias]]), 6), "00"))</f>
        <v>1.259979248046875</v>
      </c>
      <c r="W28" t="str">
        <f xml:space="preserve"> Sng2String(Table1[[#This Row],[a ptrace]])</f>
        <v>3FA14700</v>
      </c>
      <c r="X28">
        <f>MOD(Table1[[#This Row],[t inv sp mx idx]]+2, 2^4)</f>
        <v>12</v>
      </c>
      <c r="Y28">
        <v>0</v>
      </c>
      <c r="Z28">
        <f>Table1[[#This Row],[t bias]]</f>
        <v>0.26</v>
      </c>
      <c r="AA28">
        <f>Table1[[#This Row],[t gain]]</f>
        <v>1.26</v>
      </c>
      <c r="AB28">
        <f>Table1[[#This Row],[c kinetic trace]]* String2Single(CONCATENATE(LEFT(Single2String(Table1[[#This Row],[c gain]]), 6), "00")) + String2Single(CONCATENATE(LEFT(Single2String(Table1[[#This Row],[c bias]]), 6), "00"))</f>
        <v>0.2599945068359375</v>
      </c>
      <c r="AC28" t="str">
        <f xml:space="preserve"> Sng2String(Table1[[#This Row],[c ptrace]])</f>
        <v>3E851E00</v>
      </c>
      <c r="AD28">
        <f>MOD(Table1[[#This Row],[t inv sp mx idx]]+3, 2^4)</f>
        <v>13</v>
      </c>
      <c r="AE28" s="4" t="str">
        <f>DEC2HEX(Table1[[#This Row],[row]], 3)</f>
        <v>003</v>
      </c>
      <c r="AF28" s="2" t="str">
        <f>DEC2HEX(Table1[[#This Row],[col]], 3)</f>
        <v>05D</v>
      </c>
      <c r="AG28" s="2" t="str">
        <f>DEC2HEX(Table1[[#This Row],[grn fsp idx]], 2)</f>
        <v>35</v>
      </c>
      <c r="AH28" s="2" t="str">
        <f>DEC2HEX(Table1[[#This Row],[red fsp idx]], 2)</f>
        <v>CA</v>
      </c>
      <c r="AI28" s="2" t="str">
        <f xml:space="preserve"> LEFT(Sng2String(Table1[[#This Row],[t bias]]), 6)</f>
        <v>3E851E</v>
      </c>
      <c r="AJ28" s="2" t="str">
        <f xml:space="preserve"> LEFT(Sng2String(Table1[[#This Row],[t gain]]), 6)</f>
        <v>3FA147</v>
      </c>
      <c r="AK28" s="2" t="str">
        <f>DEC2HEX(Table1[[#This Row],[t inv sp mx idx]], 1)</f>
        <v>A</v>
      </c>
      <c r="AL28" s="2" t="str">
        <f xml:space="preserve"> LEFT(Sng2String(Table1[[#This Row],[g bias]]), 6)</f>
        <v>3F428F</v>
      </c>
      <c r="AM28" s="2" t="str">
        <f xml:space="preserve"> LEFT(Sng2String(Table1[[#This Row],[g gain]]), 6)</f>
        <v>3F2147</v>
      </c>
      <c r="AN28" s="2" t="str">
        <f>DEC2HEX(Table1[[#This Row],[g inv sp mx idx]], 1)</f>
        <v>B</v>
      </c>
      <c r="AO28" s="2" t="str">
        <f xml:space="preserve"> LEFT(Sng2String(Table1[[#This Row],[a bias]]), 6)</f>
        <v>3FA147</v>
      </c>
      <c r="AP28" s="2" t="str">
        <f xml:space="preserve"> LEFT(Sng2String(Table1[[#This Row],[a gain]]), 6)</f>
        <v>3F428F</v>
      </c>
      <c r="AQ28" s="2" t="str">
        <f>DEC2HEX(Table1[[#This Row],[a inv sp mx idx]], 1)</f>
        <v>C</v>
      </c>
      <c r="AR28" s="2" t="str">
        <f xml:space="preserve"> LEFT(Sng2String(Table1[[#This Row],[c bias]]), 6)</f>
        <v>3E851E</v>
      </c>
      <c r="AS28" s="2" t="str">
        <f xml:space="preserve"> LEFT(Sng2String(Table1[[#This Row],[c gain]]), 6)</f>
        <v>3FA147</v>
      </c>
      <c r="AT28" s="2" t="str">
        <f>DEC2HEX(Table1[[#This Row],[c inv sp mx idx]], 1)</f>
        <v>D</v>
      </c>
      <c r="AU28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00305D35CA3E851E3FA147A3F428F3F2147B3FA1473F428FC3E851E3FA147D02</v>
      </c>
      <c r="AV28" s="2">
        <f>LEN(Table1[[#This Row],[DRAM data]])</f>
        <v>64</v>
      </c>
    </row>
    <row r="29" spans="1:48" x14ac:dyDescent="0.25">
      <c r="A29">
        <v>27</v>
      </c>
      <c r="B29">
        <f>Table1[[#This Row],[ZMW num]]+1</f>
        <v>28</v>
      </c>
      <c r="C29">
        <v>3</v>
      </c>
      <c r="D29">
        <v>100</v>
      </c>
      <c r="E29">
        <v>55</v>
      </c>
      <c r="F29">
        <v>200</v>
      </c>
      <c r="G29">
        <v>0</v>
      </c>
      <c r="H29">
        <f>Table1[[#This Row],[ZMW num]]*0.01</f>
        <v>0.27</v>
      </c>
      <c r="I29">
        <f>1+Table1[[#This Row],[t bias]]</f>
        <v>1.27</v>
      </c>
      <c r="J29">
        <f>Table1[[#This Row],[t kinetic trace]]* String2Single(CONCATENATE(LEFT(Single2String(Table1[[#This Row],[t gain]]), 6), "00")) + String2Single(CONCATENATE(LEFT(Single2String(Table1[[#This Row],[t bias]]), 6), "00"))</f>
        <v>0.26999664306640625</v>
      </c>
      <c r="K29" t="str">
        <f>Sng2String(Table1[[#This Row],[t ptrace]])</f>
        <v>3E8A3D00</v>
      </c>
      <c r="L29">
        <f>MOD(Table1[[#This Row],[ZMW num]], 2^4)</f>
        <v>11</v>
      </c>
      <c r="M29">
        <v>0</v>
      </c>
      <c r="N29">
        <f>Table1[[#This Row],[t bias]]+0.5</f>
        <v>0.77</v>
      </c>
      <c r="O29">
        <f>Table1[[#This Row],[t gain]]/2</f>
        <v>0.63500000000000001</v>
      </c>
      <c r="P29">
        <f>Table1[[#This Row],[g kinetic trace]] * String2Single(CONCATENATE(LEFT(Single2String(Table1[[#This Row],[g gain]]), 6), "00")) + String2Single(CONCATENATE(LEFT(Single2String(Table1[[#This Row],[g bias]]), 6), "00"))</f>
        <v>0.769989013671875</v>
      </c>
      <c r="Q29" t="str">
        <f xml:space="preserve"> Sng2String(Table1[[#This Row],[g ptrace]])</f>
        <v>3F451E00</v>
      </c>
      <c r="R29">
        <f>MOD(Table1[[#This Row],[t inv sp mx idx]]+1, 2^4)</f>
        <v>12</v>
      </c>
      <c r="S29">
        <v>0</v>
      </c>
      <c r="T29">
        <f>Table1[[#This Row],[t bias]]+1</f>
        <v>1.27</v>
      </c>
      <c r="U29">
        <f>Table1[[#This Row],[t gain]]-0.5</f>
        <v>0.77</v>
      </c>
      <c r="V29">
        <f>Table1[[#This Row],[a kinetic trace]] * String2Single(CONCATENATE(LEFT(Single2String(Table1[[#This Row],[a gain]]), 6), "00")) + String2Single(CONCATENATE(LEFT(Single2String(Table1[[#This Row],[a bias]]), 6), "00"))</f>
        <v>1.269989013671875</v>
      </c>
      <c r="W29" t="str">
        <f xml:space="preserve"> Sng2String(Table1[[#This Row],[a ptrace]])</f>
        <v>3FA28F00</v>
      </c>
      <c r="X29">
        <f>MOD(Table1[[#This Row],[t inv sp mx idx]]+2, 2^4)</f>
        <v>13</v>
      </c>
      <c r="Y29">
        <v>0</v>
      </c>
      <c r="Z29">
        <f>Table1[[#This Row],[t bias]]</f>
        <v>0.27</v>
      </c>
      <c r="AA29">
        <f>Table1[[#This Row],[t gain]]</f>
        <v>1.27</v>
      </c>
      <c r="AB29">
        <f>Table1[[#This Row],[c kinetic trace]]* String2Single(CONCATENATE(LEFT(Single2String(Table1[[#This Row],[c gain]]), 6), "00")) + String2Single(CONCATENATE(LEFT(Single2String(Table1[[#This Row],[c bias]]), 6), "00"))</f>
        <v>0.26999664306640625</v>
      </c>
      <c r="AC29" t="str">
        <f xml:space="preserve"> Sng2String(Table1[[#This Row],[c ptrace]])</f>
        <v>3E8A3D00</v>
      </c>
      <c r="AD29">
        <f>MOD(Table1[[#This Row],[t inv sp mx idx]]+3, 2^4)</f>
        <v>14</v>
      </c>
      <c r="AE29" s="4" t="str">
        <f>DEC2HEX(Table1[[#This Row],[row]], 3)</f>
        <v>003</v>
      </c>
      <c r="AF29" s="2" t="str">
        <f>DEC2HEX(Table1[[#This Row],[col]], 3)</f>
        <v>064</v>
      </c>
      <c r="AG29" s="2" t="str">
        <f>DEC2HEX(Table1[[#This Row],[grn fsp idx]], 2)</f>
        <v>37</v>
      </c>
      <c r="AH29" s="2" t="str">
        <f>DEC2HEX(Table1[[#This Row],[red fsp idx]], 2)</f>
        <v>C8</v>
      </c>
      <c r="AI29" s="2" t="str">
        <f xml:space="preserve"> LEFT(Sng2String(Table1[[#This Row],[t bias]]), 6)</f>
        <v>3E8A3D</v>
      </c>
      <c r="AJ29" s="2" t="str">
        <f xml:space="preserve"> LEFT(Sng2String(Table1[[#This Row],[t gain]]), 6)</f>
        <v>3FA28F</v>
      </c>
      <c r="AK29" s="2" t="str">
        <f>DEC2HEX(Table1[[#This Row],[t inv sp mx idx]], 1)</f>
        <v>B</v>
      </c>
      <c r="AL29" s="2" t="str">
        <f xml:space="preserve"> LEFT(Sng2String(Table1[[#This Row],[g bias]]), 6)</f>
        <v>3F451E</v>
      </c>
      <c r="AM29" s="2" t="str">
        <f xml:space="preserve"> LEFT(Sng2String(Table1[[#This Row],[g gain]]), 6)</f>
        <v>3F228F</v>
      </c>
      <c r="AN29" s="2" t="str">
        <f>DEC2HEX(Table1[[#This Row],[g inv sp mx idx]], 1)</f>
        <v>C</v>
      </c>
      <c r="AO29" s="2" t="str">
        <f xml:space="preserve"> LEFT(Sng2String(Table1[[#This Row],[a bias]]), 6)</f>
        <v>3FA28F</v>
      </c>
      <c r="AP29" s="2" t="str">
        <f xml:space="preserve"> LEFT(Sng2String(Table1[[#This Row],[a gain]]), 6)</f>
        <v>3F451E</v>
      </c>
      <c r="AQ29" s="2" t="str">
        <f>DEC2HEX(Table1[[#This Row],[a inv sp mx idx]], 1)</f>
        <v>D</v>
      </c>
      <c r="AR29" s="2" t="str">
        <f xml:space="preserve"> LEFT(Sng2String(Table1[[#This Row],[c bias]]), 6)</f>
        <v>3E8A3D</v>
      </c>
      <c r="AS29" s="2" t="str">
        <f xml:space="preserve"> LEFT(Sng2String(Table1[[#This Row],[c gain]]), 6)</f>
        <v>3FA28F</v>
      </c>
      <c r="AT29" s="2" t="str">
        <f>DEC2HEX(Table1[[#This Row],[c inv sp mx idx]], 1)</f>
        <v>E</v>
      </c>
      <c r="AU29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00306437C83E8A3D3FA28FB3F451E3F228FC3FA28F3F451ED3E8A3D3FA28FE02</v>
      </c>
      <c r="AV29" s="2">
        <f>LEN(Table1[[#This Row],[DRAM data]])</f>
        <v>64</v>
      </c>
    </row>
    <row r="30" spans="1:48" x14ac:dyDescent="0.25">
      <c r="A30">
        <v>28</v>
      </c>
      <c r="B30">
        <f>Table1[[#This Row],[ZMW num]]+1</f>
        <v>29</v>
      </c>
      <c r="C30">
        <v>3</v>
      </c>
      <c r="D30">
        <v>105</v>
      </c>
      <c r="E30">
        <v>57</v>
      </c>
      <c r="F30">
        <v>198</v>
      </c>
      <c r="G30">
        <v>0</v>
      </c>
      <c r="H30">
        <f>Table1[[#This Row],[ZMW num]]*0.01</f>
        <v>0.28000000000000003</v>
      </c>
      <c r="I30">
        <f>1+Table1[[#This Row],[t bias]]</f>
        <v>1.28</v>
      </c>
      <c r="J30">
        <f>Table1[[#This Row],[t kinetic trace]]* String2Single(CONCATENATE(LEFT(Single2String(Table1[[#This Row],[t gain]]), 6), "00")) + String2Single(CONCATENATE(LEFT(Single2String(Table1[[#This Row],[t bias]]), 6), "00"))</f>
        <v>0.279998779296875</v>
      </c>
      <c r="K30" t="str">
        <f>Sng2String(Table1[[#This Row],[t ptrace]])</f>
        <v>3E8F5C00</v>
      </c>
      <c r="L30">
        <f>MOD(Table1[[#This Row],[ZMW num]], 2^4)</f>
        <v>12</v>
      </c>
      <c r="M30">
        <v>0</v>
      </c>
      <c r="N30">
        <f>Table1[[#This Row],[t bias]]+0.5</f>
        <v>0.78</v>
      </c>
      <c r="O30">
        <f>Table1[[#This Row],[t gain]]/2</f>
        <v>0.64</v>
      </c>
      <c r="P30">
        <f>Table1[[#This Row],[g kinetic trace]] * String2Single(CONCATENATE(LEFT(Single2String(Table1[[#This Row],[g gain]]), 6), "00")) + String2Single(CONCATENATE(LEFT(Single2String(Table1[[#This Row],[g bias]]), 6), "00"))</f>
        <v>0.779998779296875</v>
      </c>
      <c r="Q30" t="str">
        <f xml:space="preserve"> Sng2String(Table1[[#This Row],[g ptrace]])</f>
        <v>3F47AE00</v>
      </c>
      <c r="R30">
        <f>MOD(Table1[[#This Row],[t inv sp mx idx]]+1, 2^4)</f>
        <v>13</v>
      </c>
      <c r="S30">
        <v>0</v>
      </c>
      <c r="T30">
        <f>Table1[[#This Row],[t bias]]+1</f>
        <v>1.28</v>
      </c>
      <c r="U30">
        <f>Table1[[#This Row],[t gain]]-0.5</f>
        <v>0.78</v>
      </c>
      <c r="V30">
        <f>Table1[[#This Row],[a kinetic trace]] * String2Single(CONCATENATE(LEFT(Single2String(Table1[[#This Row],[a gain]]), 6), "00")) + String2Single(CONCATENATE(LEFT(Single2String(Table1[[#This Row],[a bias]]), 6), "00"))</f>
        <v>1.279998779296875</v>
      </c>
      <c r="W30" t="str">
        <f xml:space="preserve"> Sng2String(Table1[[#This Row],[a ptrace]])</f>
        <v>3FA3D700</v>
      </c>
      <c r="X30">
        <f>MOD(Table1[[#This Row],[t inv sp mx idx]]+2, 2^4)</f>
        <v>14</v>
      </c>
      <c r="Y30">
        <v>0</v>
      </c>
      <c r="Z30">
        <f>Table1[[#This Row],[t bias]]</f>
        <v>0.28000000000000003</v>
      </c>
      <c r="AA30">
        <f>Table1[[#This Row],[t gain]]</f>
        <v>1.28</v>
      </c>
      <c r="AB30">
        <f>Table1[[#This Row],[c kinetic trace]]* String2Single(CONCATENATE(LEFT(Single2String(Table1[[#This Row],[c gain]]), 6), "00")) + String2Single(CONCATENATE(LEFT(Single2String(Table1[[#This Row],[c bias]]), 6), "00"))</f>
        <v>0.279998779296875</v>
      </c>
      <c r="AC30" t="str">
        <f xml:space="preserve"> Sng2String(Table1[[#This Row],[c ptrace]])</f>
        <v>3E8F5C00</v>
      </c>
      <c r="AD30">
        <f>MOD(Table1[[#This Row],[t inv sp mx idx]]+3, 2^4)</f>
        <v>15</v>
      </c>
      <c r="AE30" s="4" t="str">
        <f>DEC2HEX(Table1[[#This Row],[row]], 3)</f>
        <v>003</v>
      </c>
      <c r="AF30" s="2" t="str">
        <f>DEC2HEX(Table1[[#This Row],[col]], 3)</f>
        <v>069</v>
      </c>
      <c r="AG30" s="2" t="str">
        <f>DEC2HEX(Table1[[#This Row],[grn fsp idx]], 2)</f>
        <v>39</v>
      </c>
      <c r="AH30" s="2" t="str">
        <f>DEC2HEX(Table1[[#This Row],[red fsp idx]], 2)</f>
        <v>C6</v>
      </c>
      <c r="AI30" s="2" t="str">
        <f xml:space="preserve"> LEFT(Sng2String(Table1[[#This Row],[t bias]]), 6)</f>
        <v>3E8F5C</v>
      </c>
      <c r="AJ30" s="2" t="str">
        <f xml:space="preserve"> LEFT(Sng2String(Table1[[#This Row],[t gain]]), 6)</f>
        <v>3FA3D7</v>
      </c>
      <c r="AK30" s="2" t="str">
        <f>DEC2HEX(Table1[[#This Row],[t inv sp mx idx]], 1)</f>
        <v>C</v>
      </c>
      <c r="AL30" s="2" t="str">
        <f xml:space="preserve"> LEFT(Sng2String(Table1[[#This Row],[g bias]]), 6)</f>
        <v>3F47AE</v>
      </c>
      <c r="AM30" s="2" t="str">
        <f xml:space="preserve"> LEFT(Sng2String(Table1[[#This Row],[g gain]]), 6)</f>
        <v>3F23D7</v>
      </c>
      <c r="AN30" s="2" t="str">
        <f>DEC2HEX(Table1[[#This Row],[g inv sp mx idx]], 1)</f>
        <v>D</v>
      </c>
      <c r="AO30" s="2" t="str">
        <f xml:space="preserve"> LEFT(Sng2String(Table1[[#This Row],[a bias]]), 6)</f>
        <v>3FA3D7</v>
      </c>
      <c r="AP30" s="2" t="str">
        <f xml:space="preserve"> LEFT(Sng2String(Table1[[#This Row],[a gain]]), 6)</f>
        <v>3F47AE</v>
      </c>
      <c r="AQ30" s="2" t="str">
        <f>DEC2HEX(Table1[[#This Row],[a inv sp mx idx]], 1)</f>
        <v>E</v>
      </c>
      <c r="AR30" s="2" t="str">
        <f xml:space="preserve"> LEFT(Sng2String(Table1[[#This Row],[c bias]]), 6)</f>
        <v>3E8F5C</v>
      </c>
      <c r="AS30" s="2" t="str">
        <f xml:space="preserve"> LEFT(Sng2String(Table1[[#This Row],[c gain]]), 6)</f>
        <v>3FA3D7</v>
      </c>
      <c r="AT30" s="2" t="str">
        <f>DEC2HEX(Table1[[#This Row],[c inv sp mx idx]], 1)</f>
        <v>F</v>
      </c>
      <c r="AU30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00306939C63E8F5C3FA3D7C3F47AE3F23D7D3FA3D73F47AEE3E8F5C3FA3D7F02</v>
      </c>
      <c r="AV30" s="2">
        <f>LEN(Table1[[#This Row],[DRAM data]])</f>
        <v>64</v>
      </c>
    </row>
    <row r="31" spans="1:48" x14ac:dyDescent="0.25">
      <c r="A31">
        <v>29</v>
      </c>
      <c r="B31">
        <f>Table1[[#This Row],[ZMW num]]+1</f>
        <v>30</v>
      </c>
      <c r="C31">
        <v>3</v>
      </c>
      <c r="D31">
        <v>110</v>
      </c>
      <c r="E31">
        <v>59</v>
      </c>
      <c r="F31">
        <v>196</v>
      </c>
      <c r="G31">
        <v>0</v>
      </c>
      <c r="H31">
        <f>Table1[[#This Row],[ZMW num]]*0.01</f>
        <v>0.28999999999999998</v>
      </c>
      <c r="I31">
        <f>1+Table1[[#This Row],[t bias]]</f>
        <v>1.29</v>
      </c>
      <c r="J31">
        <f>Table1[[#This Row],[t kinetic trace]]* String2Single(CONCATENATE(LEFT(Single2String(Table1[[#This Row],[t gain]]), 6), "00")) + String2Single(CONCATENATE(LEFT(Single2String(Table1[[#This Row],[t bias]]), 6), "00"))</f>
        <v>0.2899932861328125</v>
      </c>
      <c r="K31" t="str">
        <f>Sng2String(Table1[[#This Row],[t ptrace]])</f>
        <v>3E947A00</v>
      </c>
      <c r="L31">
        <f>MOD(Table1[[#This Row],[ZMW num]], 2^4)</f>
        <v>13</v>
      </c>
      <c r="M31">
        <v>0</v>
      </c>
      <c r="N31">
        <f>Table1[[#This Row],[t bias]]+0.5</f>
        <v>0.79</v>
      </c>
      <c r="O31">
        <f>Table1[[#This Row],[t gain]]/2</f>
        <v>0.64500000000000002</v>
      </c>
      <c r="P31">
        <f>Table1[[#This Row],[g kinetic trace]] * String2Single(CONCATENATE(LEFT(Single2String(Table1[[#This Row],[g gain]]), 6), "00")) + String2Single(CONCATENATE(LEFT(Single2String(Table1[[#This Row],[g bias]]), 6), "00"))</f>
        <v>0.7899932861328125</v>
      </c>
      <c r="Q31" t="str">
        <f xml:space="preserve"> Sng2String(Table1[[#This Row],[g ptrace]])</f>
        <v>3F4A3D00</v>
      </c>
      <c r="R31">
        <f>MOD(Table1[[#This Row],[t inv sp mx idx]]+1, 2^4)</f>
        <v>14</v>
      </c>
      <c r="S31">
        <v>0</v>
      </c>
      <c r="T31">
        <f>Table1[[#This Row],[t bias]]+1</f>
        <v>1.29</v>
      </c>
      <c r="U31">
        <f>Table1[[#This Row],[t gain]]-0.5</f>
        <v>0.79</v>
      </c>
      <c r="V31">
        <f>Table1[[#This Row],[a kinetic trace]] * String2Single(CONCATENATE(LEFT(Single2String(Table1[[#This Row],[a gain]]), 6), "00")) + String2Single(CONCATENATE(LEFT(Single2String(Table1[[#This Row],[a bias]]), 6), "00"))</f>
        <v>1.28997802734375</v>
      </c>
      <c r="W31" t="str">
        <f xml:space="preserve"> Sng2String(Table1[[#This Row],[a ptrace]])</f>
        <v>3FA51E00</v>
      </c>
      <c r="X31">
        <f>MOD(Table1[[#This Row],[t inv sp mx idx]]+2, 2^4)</f>
        <v>15</v>
      </c>
      <c r="Y31">
        <v>0</v>
      </c>
      <c r="Z31">
        <f>Table1[[#This Row],[t bias]]</f>
        <v>0.28999999999999998</v>
      </c>
      <c r="AA31">
        <f>Table1[[#This Row],[t gain]]</f>
        <v>1.29</v>
      </c>
      <c r="AB31">
        <f>Table1[[#This Row],[c kinetic trace]]* String2Single(CONCATENATE(LEFT(Single2String(Table1[[#This Row],[c gain]]), 6), "00")) + String2Single(CONCATENATE(LEFT(Single2String(Table1[[#This Row],[c bias]]), 6), "00"))</f>
        <v>0.2899932861328125</v>
      </c>
      <c r="AC31" t="str">
        <f xml:space="preserve"> Sng2String(Table1[[#This Row],[c ptrace]])</f>
        <v>3E947A00</v>
      </c>
      <c r="AD31">
        <f>MOD(Table1[[#This Row],[t inv sp mx idx]]+3, 2^4)</f>
        <v>0</v>
      </c>
      <c r="AE31" s="4" t="str">
        <f>DEC2HEX(Table1[[#This Row],[row]], 3)</f>
        <v>003</v>
      </c>
      <c r="AF31" s="2" t="str">
        <f>DEC2HEX(Table1[[#This Row],[col]], 3)</f>
        <v>06E</v>
      </c>
      <c r="AG31" s="2" t="str">
        <f>DEC2HEX(Table1[[#This Row],[grn fsp idx]], 2)</f>
        <v>3B</v>
      </c>
      <c r="AH31" s="2" t="str">
        <f>DEC2HEX(Table1[[#This Row],[red fsp idx]], 2)</f>
        <v>C4</v>
      </c>
      <c r="AI31" s="2" t="str">
        <f xml:space="preserve"> LEFT(Sng2String(Table1[[#This Row],[t bias]]), 6)</f>
        <v>3E947A</v>
      </c>
      <c r="AJ31" s="2" t="str">
        <f xml:space="preserve"> LEFT(Sng2String(Table1[[#This Row],[t gain]]), 6)</f>
        <v>3FA51E</v>
      </c>
      <c r="AK31" s="2" t="str">
        <f>DEC2HEX(Table1[[#This Row],[t inv sp mx idx]], 1)</f>
        <v>D</v>
      </c>
      <c r="AL31" s="2" t="str">
        <f xml:space="preserve"> LEFT(Sng2String(Table1[[#This Row],[g bias]]), 6)</f>
        <v>3F4A3D</v>
      </c>
      <c r="AM31" s="2" t="str">
        <f xml:space="preserve"> LEFT(Sng2String(Table1[[#This Row],[g gain]]), 6)</f>
        <v>3F251E</v>
      </c>
      <c r="AN31" s="2" t="str">
        <f>DEC2HEX(Table1[[#This Row],[g inv sp mx idx]], 1)</f>
        <v>E</v>
      </c>
      <c r="AO31" s="2" t="str">
        <f xml:space="preserve"> LEFT(Sng2String(Table1[[#This Row],[a bias]]), 6)</f>
        <v>3FA51E</v>
      </c>
      <c r="AP31" s="2" t="str">
        <f xml:space="preserve"> LEFT(Sng2String(Table1[[#This Row],[a gain]]), 6)</f>
        <v>3F4A3D</v>
      </c>
      <c r="AQ31" s="2" t="str">
        <f>DEC2HEX(Table1[[#This Row],[a inv sp mx idx]], 1)</f>
        <v>F</v>
      </c>
      <c r="AR31" s="2" t="str">
        <f xml:space="preserve"> LEFT(Sng2String(Table1[[#This Row],[c bias]]), 6)</f>
        <v>3E947A</v>
      </c>
      <c r="AS31" s="2" t="str">
        <f xml:space="preserve"> LEFT(Sng2String(Table1[[#This Row],[c gain]]), 6)</f>
        <v>3FA51E</v>
      </c>
      <c r="AT31" s="2" t="str">
        <f>DEC2HEX(Table1[[#This Row],[c inv sp mx idx]], 1)</f>
        <v>0</v>
      </c>
      <c r="AU31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00306E3BC43E947A3FA51ED3F4A3D3F251EE3FA51E3F4A3DF3E947A3FA51E002</v>
      </c>
      <c r="AV31" s="2">
        <f>LEN(Table1[[#This Row],[DRAM data]])</f>
        <v>64</v>
      </c>
    </row>
    <row r="32" spans="1:48" x14ac:dyDescent="0.25">
      <c r="A32">
        <v>30</v>
      </c>
      <c r="B32">
        <f>Table1[[#This Row],[ZMW num]]+1</f>
        <v>31</v>
      </c>
      <c r="C32">
        <v>3</v>
      </c>
      <c r="D32">
        <v>118</v>
      </c>
      <c r="E32">
        <v>61</v>
      </c>
      <c r="F32">
        <v>194</v>
      </c>
      <c r="G32">
        <v>0</v>
      </c>
      <c r="H32">
        <f>Table1[[#This Row],[ZMW num]]*0.01</f>
        <v>0.3</v>
      </c>
      <c r="I32">
        <f>1+Table1[[#This Row],[t bias]]</f>
        <v>1.3</v>
      </c>
      <c r="J32">
        <f>Table1[[#This Row],[t kinetic trace]]* String2Single(CONCATENATE(LEFT(Single2String(Table1[[#This Row],[t gain]]), 6), "00")) + String2Single(CONCATENATE(LEFT(Single2String(Table1[[#This Row],[t bias]]), 6), "00"))</f>
        <v>0.29999542236328125</v>
      </c>
      <c r="K32" t="str">
        <f>Sng2String(Table1[[#This Row],[t ptrace]])</f>
        <v>3E999900</v>
      </c>
      <c r="L32">
        <f>MOD(Table1[[#This Row],[ZMW num]], 2^4)</f>
        <v>14</v>
      </c>
      <c r="M32">
        <v>0</v>
      </c>
      <c r="N32">
        <f>Table1[[#This Row],[t bias]]+0.5</f>
        <v>0.8</v>
      </c>
      <c r="O32">
        <f>Table1[[#This Row],[t gain]]/2</f>
        <v>0.65</v>
      </c>
      <c r="P32">
        <f>Table1[[#This Row],[g kinetic trace]] * String2Single(CONCATENATE(LEFT(Single2String(Table1[[#This Row],[g gain]]), 6), "00")) + String2Single(CONCATENATE(LEFT(Single2String(Table1[[#This Row],[g bias]]), 6), "00"))</f>
        <v>0.79998779296875</v>
      </c>
      <c r="Q32" t="str">
        <f xml:space="preserve"> Sng2String(Table1[[#This Row],[g ptrace]])</f>
        <v>3F4CCC00</v>
      </c>
      <c r="R32">
        <f>MOD(Table1[[#This Row],[t inv sp mx idx]]+1, 2^4)</f>
        <v>15</v>
      </c>
      <c r="S32">
        <v>0</v>
      </c>
      <c r="T32">
        <f>Table1[[#This Row],[t bias]]+1</f>
        <v>1.3</v>
      </c>
      <c r="U32">
        <f>Table1[[#This Row],[t gain]]-0.5</f>
        <v>0.8</v>
      </c>
      <c r="V32">
        <f>Table1[[#This Row],[a kinetic trace]] * String2Single(CONCATENATE(LEFT(Single2String(Table1[[#This Row],[a gain]]), 6), "00")) + String2Single(CONCATENATE(LEFT(Single2String(Table1[[#This Row],[a bias]]), 6), "00"))</f>
        <v>1.29998779296875</v>
      </c>
      <c r="W32" t="str">
        <f xml:space="preserve"> Sng2String(Table1[[#This Row],[a ptrace]])</f>
        <v>3FA66600</v>
      </c>
      <c r="X32">
        <f>MOD(Table1[[#This Row],[t inv sp mx idx]]+2, 2^4)</f>
        <v>0</v>
      </c>
      <c r="Y32">
        <v>0</v>
      </c>
      <c r="Z32">
        <f>Table1[[#This Row],[t bias]]</f>
        <v>0.3</v>
      </c>
      <c r="AA32">
        <f>Table1[[#This Row],[t gain]]</f>
        <v>1.3</v>
      </c>
      <c r="AB32">
        <f>Table1[[#This Row],[c kinetic trace]]* String2Single(CONCATENATE(LEFT(Single2String(Table1[[#This Row],[c gain]]), 6), "00")) + String2Single(CONCATENATE(LEFT(Single2String(Table1[[#This Row],[c bias]]), 6), "00"))</f>
        <v>0.29999542236328125</v>
      </c>
      <c r="AC32" t="str">
        <f xml:space="preserve"> Sng2String(Table1[[#This Row],[c ptrace]])</f>
        <v>3E999900</v>
      </c>
      <c r="AD32">
        <f>MOD(Table1[[#This Row],[t inv sp mx idx]]+3, 2^4)</f>
        <v>1</v>
      </c>
      <c r="AE32" s="4" t="str">
        <f>DEC2HEX(Table1[[#This Row],[row]], 3)</f>
        <v>003</v>
      </c>
      <c r="AF32" s="2" t="str">
        <f>DEC2HEX(Table1[[#This Row],[col]], 3)</f>
        <v>076</v>
      </c>
      <c r="AG32" s="2" t="str">
        <f>DEC2HEX(Table1[[#This Row],[grn fsp idx]], 2)</f>
        <v>3D</v>
      </c>
      <c r="AH32" s="2" t="str">
        <f>DEC2HEX(Table1[[#This Row],[red fsp idx]], 2)</f>
        <v>C2</v>
      </c>
      <c r="AI32" s="2" t="str">
        <f xml:space="preserve"> LEFT(Sng2String(Table1[[#This Row],[t bias]]), 6)</f>
        <v>3E9999</v>
      </c>
      <c r="AJ32" s="2" t="str">
        <f xml:space="preserve"> LEFT(Sng2String(Table1[[#This Row],[t gain]]), 6)</f>
        <v>3FA666</v>
      </c>
      <c r="AK32" s="2" t="str">
        <f>DEC2HEX(Table1[[#This Row],[t inv sp mx idx]], 1)</f>
        <v>E</v>
      </c>
      <c r="AL32" s="2" t="str">
        <f xml:space="preserve"> LEFT(Sng2String(Table1[[#This Row],[g bias]]), 6)</f>
        <v>3F4CCC</v>
      </c>
      <c r="AM32" s="2" t="str">
        <f xml:space="preserve"> LEFT(Sng2String(Table1[[#This Row],[g gain]]), 6)</f>
        <v>3F2666</v>
      </c>
      <c r="AN32" s="2" t="str">
        <f>DEC2HEX(Table1[[#This Row],[g inv sp mx idx]], 1)</f>
        <v>F</v>
      </c>
      <c r="AO32" s="2" t="str">
        <f xml:space="preserve"> LEFT(Sng2String(Table1[[#This Row],[a bias]]), 6)</f>
        <v>3FA666</v>
      </c>
      <c r="AP32" s="2" t="str">
        <f xml:space="preserve"> LEFT(Sng2String(Table1[[#This Row],[a gain]]), 6)</f>
        <v>3F4CCC</v>
      </c>
      <c r="AQ32" s="2" t="str">
        <f>DEC2HEX(Table1[[#This Row],[a inv sp mx idx]], 1)</f>
        <v>0</v>
      </c>
      <c r="AR32" s="2" t="str">
        <f xml:space="preserve"> LEFT(Sng2String(Table1[[#This Row],[c bias]]), 6)</f>
        <v>3E9999</v>
      </c>
      <c r="AS32" s="2" t="str">
        <f xml:space="preserve"> LEFT(Sng2String(Table1[[#This Row],[c gain]]), 6)</f>
        <v>3FA666</v>
      </c>
      <c r="AT32" s="2" t="str">
        <f>DEC2HEX(Table1[[#This Row],[c inv sp mx idx]], 1)</f>
        <v>1</v>
      </c>
      <c r="AU32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0030763DC23E99993FA666E3F4CCC3F2666F3FA6663F4CCC03E99993FA666102</v>
      </c>
      <c r="AV32" s="2">
        <f>LEN(Table1[[#This Row],[DRAM data]])</f>
        <v>64</v>
      </c>
    </row>
    <row r="33" spans="1:48" x14ac:dyDescent="0.25">
      <c r="A33">
        <v>31</v>
      </c>
      <c r="B33">
        <f>Table1[[#This Row],[ZMW num]]+1</f>
        <v>32</v>
      </c>
      <c r="C33">
        <v>3</v>
      </c>
      <c r="D33">
        <v>124</v>
      </c>
      <c r="E33">
        <v>63</v>
      </c>
      <c r="F33">
        <v>192</v>
      </c>
      <c r="G33">
        <v>0</v>
      </c>
      <c r="H33">
        <f>Table1[[#This Row],[ZMW num]]*0.01</f>
        <v>0.31</v>
      </c>
      <c r="I33">
        <f>1+Table1[[#This Row],[t bias]]</f>
        <v>1.31</v>
      </c>
      <c r="J33">
        <f>Table1[[#This Row],[t kinetic trace]]* String2Single(CONCATENATE(LEFT(Single2String(Table1[[#This Row],[t gain]]), 6), "00")) + String2Single(CONCATENATE(LEFT(Single2String(Table1[[#This Row],[t bias]]), 6), "00"))</f>
        <v>0.30999755859375</v>
      </c>
      <c r="K33" t="str">
        <f>Sng2String(Table1[[#This Row],[t ptrace]])</f>
        <v>3E9EB800</v>
      </c>
      <c r="L33">
        <f>MOD(Table1[[#This Row],[ZMW num]], 2^4)</f>
        <v>15</v>
      </c>
      <c r="M33">
        <v>0</v>
      </c>
      <c r="N33">
        <f>Table1[[#This Row],[t bias]]+0.5</f>
        <v>0.81</v>
      </c>
      <c r="O33">
        <f>Table1[[#This Row],[t gain]]/2</f>
        <v>0.65500000000000003</v>
      </c>
      <c r="P33">
        <f>Table1[[#This Row],[g kinetic trace]] * String2Single(CONCATENATE(LEFT(Single2String(Table1[[#This Row],[g gain]]), 6), "00")) + String2Single(CONCATENATE(LEFT(Single2String(Table1[[#This Row],[g bias]]), 6), "00"))</f>
        <v>0.80999755859375</v>
      </c>
      <c r="Q33" t="str">
        <f xml:space="preserve"> Sng2String(Table1[[#This Row],[g ptrace]])</f>
        <v>3F4F5C00</v>
      </c>
      <c r="R33">
        <f>MOD(Table1[[#This Row],[t inv sp mx idx]]+1, 2^4)</f>
        <v>0</v>
      </c>
      <c r="S33">
        <v>0</v>
      </c>
      <c r="T33">
        <f>Table1[[#This Row],[t bias]]+1</f>
        <v>1.31</v>
      </c>
      <c r="U33">
        <f>Table1[[#This Row],[t gain]]-0.5</f>
        <v>0.81</v>
      </c>
      <c r="V33">
        <f>Table1[[#This Row],[a kinetic trace]] * String2Single(CONCATENATE(LEFT(Single2String(Table1[[#This Row],[a gain]]), 6), "00")) + String2Single(CONCATENATE(LEFT(Single2String(Table1[[#This Row],[a bias]]), 6), "00"))</f>
        <v>1.30999755859375</v>
      </c>
      <c r="W33" t="str">
        <f xml:space="preserve"> Sng2String(Table1[[#This Row],[a ptrace]])</f>
        <v>3FA7AE00</v>
      </c>
      <c r="X33">
        <f>MOD(Table1[[#This Row],[t inv sp mx idx]]+2, 2^4)</f>
        <v>1</v>
      </c>
      <c r="Y33">
        <v>0</v>
      </c>
      <c r="Z33">
        <f>Table1[[#This Row],[t bias]]</f>
        <v>0.31</v>
      </c>
      <c r="AA33">
        <f>Table1[[#This Row],[t gain]]</f>
        <v>1.31</v>
      </c>
      <c r="AB33">
        <f>Table1[[#This Row],[c kinetic trace]]* String2Single(CONCATENATE(LEFT(Single2String(Table1[[#This Row],[c gain]]), 6), "00")) + String2Single(CONCATENATE(LEFT(Single2String(Table1[[#This Row],[c bias]]), 6), "00"))</f>
        <v>0.30999755859375</v>
      </c>
      <c r="AC33" t="str">
        <f xml:space="preserve"> Sng2String(Table1[[#This Row],[c ptrace]])</f>
        <v>3E9EB800</v>
      </c>
      <c r="AD33">
        <f>MOD(Table1[[#This Row],[t inv sp mx idx]]+3, 2^4)</f>
        <v>2</v>
      </c>
      <c r="AE33" s="4" t="str">
        <f>DEC2HEX(Table1[[#This Row],[row]], 3)</f>
        <v>003</v>
      </c>
      <c r="AF33" s="2" t="str">
        <f>DEC2HEX(Table1[[#This Row],[col]], 3)</f>
        <v>07C</v>
      </c>
      <c r="AG33" s="2" t="str">
        <f>DEC2HEX(Table1[[#This Row],[grn fsp idx]], 2)</f>
        <v>3F</v>
      </c>
      <c r="AH33" s="2" t="str">
        <f>DEC2HEX(Table1[[#This Row],[red fsp idx]], 2)</f>
        <v>C0</v>
      </c>
      <c r="AI33" s="2" t="str">
        <f xml:space="preserve"> LEFT(Sng2String(Table1[[#This Row],[t bias]]), 6)</f>
        <v>3E9EB8</v>
      </c>
      <c r="AJ33" s="2" t="str">
        <f xml:space="preserve"> LEFT(Sng2String(Table1[[#This Row],[t gain]]), 6)</f>
        <v>3FA7AE</v>
      </c>
      <c r="AK33" s="2" t="str">
        <f>DEC2HEX(Table1[[#This Row],[t inv sp mx idx]], 1)</f>
        <v>F</v>
      </c>
      <c r="AL33" s="2" t="str">
        <f xml:space="preserve"> LEFT(Sng2String(Table1[[#This Row],[g bias]]), 6)</f>
        <v>3F4F5C</v>
      </c>
      <c r="AM33" s="2" t="str">
        <f xml:space="preserve"> LEFT(Sng2String(Table1[[#This Row],[g gain]]), 6)</f>
        <v>3F27AE</v>
      </c>
      <c r="AN33" s="2" t="str">
        <f>DEC2HEX(Table1[[#This Row],[g inv sp mx idx]], 1)</f>
        <v>0</v>
      </c>
      <c r="AO33" s="2" t="str">
        <f xml:space="preserve"> LEFT(Sng2String(Table1[[#This Row],[a bias]]), 6)</f>
        <v>3FA7AE</v>
      </c>
      <c r="AP33" s="2" t="str">
        <f xml:space="preserve"> LEFT(Sng2String(Table1[[#This Row],[a gain]]), 6)</f>
        <v>3F4F5C</v>
      </c>
      <c r="AQ33" s="2" t="str">
        <f>DEC2HEX(Table1[[#This Row],[a inv sp mx idx]], 1)</f>
        <v>1</v>
      </c>
      <c r="AR33" s="2" t="str">
        <f xml:space="preserve"> LEFT(Sng2String(Table1[[#This Row],[c bias]]), 6)</f>
        <v>3E9EB8</v>
      </c>
      <c r="AS33" s="2" t="str">
        <f xml:space="preserve"> LEFT(Sng2String(Table1[[#This Row],[c gain]]), 6)</f>
        <v>3FA7AE</v>
      </c>
      <c r="AT33" s="2" t="str">
        <f>DEC2HEX(Table1[[#This Row],[c inv sp mx idx]], 1)</f>
        <v>2</v>
      </c>
      <c r="AU33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00307C3FC03E9EB83FA7AEF3F4F5C3F27AE03FA7AE3F4F5C13E9EB83FA7AE202</v>
      </c>
      <c r="AV33" s="2">
        <f>LEN(Table1[[#This Row],[DRAM data]])</f>
        <v>64</v>
      </c>
    </row>
    <row r="34" spans="1:48" x14ac:dyDescent="0.25">
      <c r="A34">
        <v>32</v>
      </c>
      <c r="B34">
        <f>Table1[[#This Row],[ZMW num]]+1</f>
        <v>33</v>
      </c>
      <c r="C34">
        <v>4</v>
      </c>
      <c r="D34">
        <f>D2+1</f>
        <v>4</v>
      </c>
      <c r="E34">
        <v>65</v>
      </c>
      <c r="F34">
        <v>190</v>
      </c>
      <c r="G34">
        <v>0</v>
      </c>
      <c r="H34">
        <f>Table1[[#This Row],[ZMW num]]*0.01</f>
        <v>0.32</v>
      </c>
      <c r="I34">
        <f>1+Table1[[#This Row],[t bias]]</f>
        <v>1.32</v>
      </c>
      <c r="J34">
        <f>Table1[[#This Row],[t kinetic trace]]* String2Single(CONCATENATE(LEFT(Single2String(Table1[[#This Row],[t gain]]), 6), "00")) + String2Single(CONCATENATE(LEFT(Single2String(Table1[[#This Row],[t bias]]), 6), "00"))</f>
        <v>0.31999969482421875</v>
      </c>
      <c r="K34" t="str">
        <f>Sng2String(Table1[[#This Row],[t ptrace]])</f>
        <v>3EA3D700</v>
      </c>
      <c r="L34">
        <f>MOD(Table1[[#This Row],[ZMW num]], 2^4)</f>
        <v>0</v>
      </c>
      <c r="M34">
        <v>0</v>
      </c>
      <c r="N34">
        <f>Table1[[#This Row],[t bias]]+0.5</f>
        <v>0.82000000000000006</v>
      </c>
      <c r="O34">
        <f>Table1[[#This Row],[t gain]]/2</f>
        <v>0.66</v>
      </c>
      <c r="P34">
        <f>Table1[[#This Row],[g kinetic trace]] * String2Single(CONCATENATE(LEFT(Single2String(Table1[[#This Row],[g gain]]), 6), "00")) + String2Single(CONCATENATE(LEFT(Single2String(Table1[[#This Row],[g bias]]), 6), "00"))</f>
        <v>0.8199920654296875</v>
      </c>
      <c r="Q34" t="str">
        <f xml:space="preserve"> Sng2String(Table1[[#This Row],[g ptrace]])</f>
        <v>3F51EB00</v>
      </c>
      <c r="R34">
        <f>MOD(Table1[[#This Row],[t inv sp mx idx]]+1, 2^4)</f>
        <v>1</v>
      </c>
      <c r="S34">
        <v>0</v>
      </c>
      <c r="T34">
        <f>Table1[[#This Row],[t bias]]+1</f>
        <v>1.32</v>
      </c>
      <c r="U34">
        <f>Table1[[#This Row],[t gain]]-0.5</f>
        <v>0.82000000000000006</v>
      </c>
      <c r="V34">
        <f>Table1[[#This Row],[a kinetic trace]] * String2Single(CONCATENATE(LEFT(Single2String(Table1[[#This Row],[a gain]]), 6), "00")) + String2Single(CONCATENATE(LEFT(Single2String(Table1[[#This Row],[a bias]]), 6), "00"))</f>
        <v>1.319976806640625</v>
      </c>
      <c r="W34" t="str">
        <f xml:space="preserve"> Sng2String(Table1[[#This Row],[a ptrace]])</f>
        <v>3FA8F500</v>
      </c>
      <c r="X34">
        <f>MOD(Table1[[#This Row],[t inv sp mx idx]]+2, 2^4)</f>
        <v>2</v>
      </c>
      <c r="Y34">
        <v>0</v>
      </c>
      <c r="Z34">
        <f>Table1[[#This Row],[t bias]]</f>
        <v>0.32</v>
      </c>
      <c r="AA34">
        <f>Table1[[#This Row],[t gain]]</f>
        <v>1.32</v>
      </c>
      <c r="AB34">
        <f>Table1[[#This Row],[c kinetic trace]]* String2Single(CONCATENATE(LEFT(Single2String(Table1[[#This Row],[c gain]]), 6), "00")) + String2Single(CONCATENATE(LEFT(Single2String(Table1[[#This Row],[c bias]]), 6), "00"))</f>
        <v>0.31999969482421875</v>
      </c>
      <c r="AC34" t="str">
        <f xml:space="preserve"> Sng2String(Table1[[#This Row],[c ptrace]])</f>
        <v>3EA3D700</v>
      </c>
      <c r="AD34">
        <f>MOD(Table1[[#This Row],[t inv sp mx idx]]+3, 2^4)</f>
        <v>3</v>
      </c>
      <c r="AE34" s="4" t="str">
        <f>DEC2HEX(Table1[[#This Row],[row]], 3)</f>
        <v>004</v>
      </c>
      <c r="AF34" s="2" t="str">
        <f>DEC2HEX(Table1[[#This Row],[col]], 3)</f>
        <v>004</v>
      </c>
      <c r="AG34" s="2" t="str">
        <f>DEC2HEX(Table1[[#This Row],[grn fsp idx]], 2)</f>
        <v>41</v>
      </c>
      <c r="AH34" s="2" t="str">
        <f>DEC2HEX(Table1[[#This Row],[red fsp idx]], 2)</f>
        <v>BE</v>
      </c>
      <c r="AI34" s="2" t="str">
        <f xml:space="preserve"> LEFT(Sng2String(Table1[[#This Row],[t bias]]), 6)</f>
        <v>3EA3D7</v>
      </c>
      <c r="AJ34" s="2" t="str">
        <f xml:space="preserve"> LEFT(Sng2String(Table1[[#This Row],[t gain]]), 6)</f>
        <v>3FA8F5</v>
      </c>
      <c r="AK34" s="2" t="str">
        <f>DEC2HEX(Table1[[#This Row],[t inv sp mx idx]], 1)</f>
        <v>0</v>
      </c>
      <c r="AL34" s="2" t="str">
        <f xml:space="preserve"> LEFT(Sng2String(Table1[[#This Row],[g bias]]), 6)</f>
        <v>3F51EB</v>
      </c>
      <c r="AM34" s="2" t="str">
        <f xml:space="preserve"> LEFT(Sng2String(Table1[[#This Row],[g gain]]), 6)</f>
        <v>3F28F5</v>
      </c>
      <c r="AN34" s="2" t="str">
        <f>DEC2HEX(Table1[[#This Row],[g inv sp mx idx]], 1)</f>
        <v>1</v>
      </c>
      <c r="AO34" s="2" t="str">
        <f xml:space="preserve"> LEFT(Sng2String(Table1[[#This Row],[a bias]]), 6)</f>
        <v>3FA8F5</v>
      </c>
      <c r="AP34" s="2" t="str">
        <f xml:space="preserve"> LEFT(Sng2String(Table1[[#This Row],[a gain]]), 6)</f>
        <v>3F51EB</v>
      </c>
      <c r="AQ34" s="2" t="str">
        <f>DEC2HEX(Table1[[#This Row],[a inv sp mx idx]], 1)</f>
        <v>2</v>
      </c>
      <c r="AR34" s="2" t="str">
        <f xml:space="preserve"> LEFT(Sng2String(Table1[[#This Row],[c bias]]), 6)</f>
        <v>3EA3D7</v>
      </c>
      <c r="AS34" s="2" t="str">
        <f xml:space="preserve"> LEFT(Sng2String(Table1[[#This Row],[c gain]]), 6)</f>
        <v>3FA8F5</v>
      </c>
      <c r="AT34" s="2" t="str">
        <f>DEC2HEX(Table1[[#This Row],[c inv sp mx idx]], 1)</f>
        <v>3</v>
      </c>
      <c r="AU34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00400441BE3EA3D73FA8F503F51EB3F28F513FA8F53F51EB23EA3D73FA8F5302</v>
      </c>
      <c r="AV34" s="2">
        <f>LEN(Table1[[#This Row],[DRAM data]])</f>
        <v>64</v>
      </c>
    </row>
    <row r="35" spans="1:48" x14ac:dyDescent="0.25">
      <c r="A35">
        <v>33</v>
      </c>
      <c r="B35">
        <f>Table1[[#This Row],[ZMW num]]+1</f>
        <v>34</v>
      </c>
      <c r="C35">
        <v>4</v>
      </c>
      <c r="D35">
        <f t="shared" ref="D35:D65" si="0">D3+1</f>
        <v>6</v>
      </c>
      <c r="E35">
        <v>67</v>
      </c>
      <c r="F35">
        <v>188</v>
      </c>
      <c r="G35">
        <v>0</v>
      </c>
      <c r="H35">
        <f>Table1[[#This Row],[ZMW num]]*0.01</f>
        <v>0.33</v>
      </c>
      <c r="I35">
        <f>1+Table1[[#This Row],[t bias]]</f>
        <v>1.33</v>
      </c>
      <c r="J35">
        <f>Table1[[#This Row],[t kinetic trace]]* String2Single(CONCATENATE(LEFT(Single2String(Table1[[#This Row],[t gain]]), 6), "00")) + String2Single(CONCATENATE(LEFT(Single2String(Table1[[#This Row],[t bias]]), 6), "00"))</f>
        <v>0.32999420166015625</v>
      </c>
      <c r="K35" t="str">
        <f>Sng2String(Table1[[#This Row],[t ptrace]])</f>
        <v>3EA8F500</v>
      </c>
      <c r="L35">
        <f>MOD(Table1[[#This Row],[ZMW num]], 2^4)</f>
        <v>1</v>
      </c>
      <c r="M35">
        <v>0</v>
      </c>
      <c r="N35">
        <f>Table1[[#This Row],[t bias]]+0.5</f>
        <v>0.83000000000000007</v>
      </c>
      <c r="O35">
        <f>Table1[[#This Row],[t gain]]/2</f>
        <v>0.66500000000000004</v>
      </c>
      <c r="P35">
        <f>Table1[[#This Row],[g kinetic trace]] * String2Single(CONCATENATE(LEFT(Single2String(Table1[[#This Row],[g gain]]), 6), "00")) + String2Single(CONCATENATE(LEFT(Single2String(Table1[[#This Row],[g bias]]), 6), "00"))</f>
        <v>0.829986572265625</v>
      </c>
      <c r="Q35" t="str">
        <f xml:space="preserve"> Sng2String(Table1[[#This Row],[g ptrace]])</f>
        <v>3F547A00</v>
      </c>
      <c r="R35">
        <f>MOD(Table1[[#This Row],[t inv sp mx idx]]+1, 2^4)</f>
        <v>2</v>
      </c>
      <c r="S35">
        <v>0</v>
      </c>
      <c r="T35">
        <f>Table1[[#This Row],[t bias]]+1</f>
        <v>1.33</v>
      </c>
      <c r="U35">
        <f>Table1[[#This Row],[t gain]]-0.5</f>
        <v>0.83000000000000007</v>
      </c>
      <c r="V35">
        <f>Table1[[#This Row],[a kinetic trace]] * String2Single(CONCATENATE(LEFT(Single2String(Table1[[#This Row],[a gain]]), 6), "00")) + String2Single(CONCATENATE(LEFT(Single2String(Table1[[#This Row],[a bias]]), 6), "00"))</f>
        <v>1.329986572265625</v>
      </c>
      <c r="W35" t="str">
        <f xml:space="preserve"> Sng2String(Table1[[#This Row],[a ptrace]])</f>
        <v>3FAA3D00</v>
      </c>
      <c r="X35">
        <f>MOD(Table1[[#This Row],[t inv sp mx idx]]+2, 2^4)</f>
        <v>3</v>
      </c>
      <c r="Y35">
        <v>0</v>
      </c>
      <c r="Z35">
        <f>Table1[[#This Row],[t bias]]</f>
        <v>0.33</v>
      </c>
      <c r="AA35">
        <f>Table1[[#This Row],[t gain]]</f>
        <v>1.33</v>
      </c>
      <c r="AB35">
        <f>Table1[[#This Row],[c kinetic trace]]* String2Single(CONCATENATE(LEFT(Single2String(Table1[[#This Row],[c gain]]), 6), "00")) + String2Single(CONCATENATE(LEFT(Single2String(Table1[[#This Row],[c bias]]), 6), "00"))</f>
        <v>0.32999420166015625</v>
      </c>
      <c r="AC35" t="str">
        <f xml:space="preserve"> Sng2String(Table1[[#This Row],[c ptrace]])</f>
        <v>3EA8F500</v>
      </c>
      <c r="AD35">
        <f>MOD(Table1[[#This Row],[t inv sp mx idx]]+3, 2^4)</f>
        <v>4</v>
      </c>
      <c r="AE35" s="4" t="str">
        <f>DEC2HEX(Table1[[#This Row],[row]], 3)</f>
        <v>004</v>
      </c>
      <c r="AF35" s="2" t="str">
        <f>DEC2HEX(Table1[[#This Row],[col]], 3)</f>
        <v>006</v>
      </c>
      <c r="AG35" s="2" t="str">
        <f>DEC2HEX(Table1[[#This Row],[grn fsp idx]], 2)</f>
        <v>43</v>
      </c>
      <c r="AH35" s="2" t="str">
        <f>DEC2HEX(Table1[[#This Row],[red fsp idx]], 2)</f>
        <v>BC</v>
      </c>
      <c r="AI35" s="2" t="str">
        <f xml:space="preserve"> LEFT(Sng2String(Table1[[#This Row],[t bias]]), 6)</f>
        <v>3EA8F5</v>
      </c>
      <c r="AJ35" s="2" t="str">
        <f xml:space="preserve"> LEFT(Sng2String(Table1[[#This Row],[t gain]]), 6)</f>
        <v>3FAA3D</v>
      </c>
      <c r="AK35" s="2" t="str">
        <f>DEC2HEX(Table1[[#This Row],[t inv sp mx idx]], 1)</f>
        <v>1</v>
      </c>
      <c r="AL35" s="2" t="str">
        <f xml:space="preserve"> LEFT(Sng2String(Table1[[#This Row],[g bias]]), 6)</f>
        <v>3F547A</v>
      </c>
      <c r="AM35" s="2" t="str">
        <f xml:space="preserve"> LEFT(Sng2String(Table1[[#This Row],[g gain]]), 6)</f>
        <v>3F2A3D</v>
      </c>
      <c r="AN35" s="2" t="str">
        <f>DEC2HEX(Table1[[#This Row],[g inv sp mx idx]], 1)</f>
        <v>2</v>
      </c>
      <c r="AO35" s="2" t="str">
        <f xml:space="preserve"> LEFT(Sng2String(Table1[[#This Row],[a bias]]), 6)</f>
        <v>3FAA3D</v>
      </c>
      <c r="AP35" s="2" t="str">
        <f xml:space="preserve"> LEFT(Sng2String(Table1[[#This Row],[a gain]]), 6)</f>
        <v>3F547A</v>
      </c>
      <c r="AQ35" s="2" t="str">
        <f>DEC2HEX(Table1[[#This Row],[a inv sp mx idx]], 1)</f>
        <v>3</v>
      </c>
      <c r="AR35" s="2" t="str">
        <f xml:space="preserve"> LEFT(Sng2String(Table1[[#This Row],[c bias]]), 6)</f>
        <v>3EA8F5</v>
      </c>
      <c r="AS35" s="2" t="str">
        <f xml:space="preserve"> LEFT(Sng2String(Table1[[#This Row],[c gain]]), 6)</f>
        <v>3FAA3D</v>
      </c>
      <c r="AT35" s="2" t="str">
        <f>DEC2HEX(Table1[[#This Row],[c inv sp mx idx]], 1)</f>
        <v>4</v>
      </c>
      <c r="AU35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00400643BC3EA8F53FAA3D13F547A3F2A3D23FAA3D3F547A33EA8F53FAA3D402</v>
      </c>
      <c r="AV35" s="2">
        <f>LEN(Table1[[#This Row],[DRAM data]])</f>
        <v>64</v>
      </c>
    </row>
    <row r="36" spans="1:48" x14ac:dyDescent="0.25">
      <c r="A36">
        <v>34</v>
      </c>
      <c r="B36">
        <f>Table1[[#This Row],[ZMW num]]+1</f>
        <v>35</v>
      </c>
      <c r="C36">
        <v>4</v>
      </c>
      <c r="D36">
        <f t="shared" si="0"/>
        <v>9</v>
      </c>
      <c r="E36">
        <v>69</v>
      </c>
      <c r="F36">
        <v>186</v>
      </c>
      <c r="G36">
        <v>0</v>
      </c>
      <c r="H36">
        <f>Table1[[#This Row],[ZMW num]]*0.01</f>
        <v>0.34</v>
      </c>
      <c r="I36">
        <f>1+Table1[[#This Row],[t bias]]</f>
        <v>1.34</v>
      </c>
      <c r="J36">
        <f>Table1[[#This Row],[t kinetic trace]]* String2Single(CONCATENATE(LEFT(Single2String(Table1[[#This Row],[t gain]]), 6), "00")) + String2Single(CONCATENATE(LEFT(Single2String(Table1[[#This Row],[t bias]]), 6), "00"))</f>
        <v>0.339996337890625</v>
      </c>
      <c r="K36" t="str">
        <f>Sng2String(Table1[[#This Row],[t ptrace]])</f>
        <v>3EAE1400</v>
      </c>
      <c r="L36">
        <f>MOD(Table1[[#This Row],[ZMW num]], 2^4)</f>
        <v>2</v>
      </c>
      <c r="M36">
        <v>0</v>
      </c>
      <c r="N36">
        <f>Table1[[#This Row],[t bias]]+0.5</f>
        <v>0.84000000000000008</v>
      </c>
      <c r="O36">
        <f>Table1[[#This Row],[t gain]]/2</f>
        <v>0.67</v>
      </c>
      <c r="P36">
        <f>Table1[[#This Row],[g kinetic trace]] * String2Single(CONCATENATE(LEFT(Single2String(Table1[[#This Row],[g gain]]), 6), "00")) + String2Single(CONCATENATE(LEFT(Single2String(Table1[[#This Row],[g bias]]), 6), "00"))</f>
        <v>0.839996337890625</v>
      </c>
      <c r="Q36" t="str">
        <f xml:space="preserve"> Sng2String(Table1[[#This Row],[g ptrace]])</f>
        <v>3F570A00</v>
      </c>
      <c r="R36">
        <f>MOD(Table1[[#This Row],[t inv sp mx idx]]+1, 2^4)</f>
        <v>3</v>
      </c>
      <c r="S36">
        <v>0</v>
      </c>
      <c r="T36">
        <f>Table1[[#This Row],[t bias]]+1</f>
        <v>1.34</v>
      </c>
      <c r="U36">
        <f>Table1[[#This Row],[t gain]]-0.5</f>
        <v>0.84000000000000008</v>
      </c>
      <c r="V36">
        <f>Table1[[#This Row],[a kinetic trace]] * String2Single(CONCATENATE(LEFT(Single2String(Table1[[#This Row],[a gain]]), 6), "00")) + String2Single(CONCATENATE(LEFT(Single2String(Table1[[#This Row],[a bias]]), 6), "00"))</f>
        <v>1.339996337890625</v>
      </c>
      <c r="W36" t="str">
        <f xml:space="preserve"> Sng2String(Table1[[#This Row],[a ptrace]])</f>
        <v>3FAB8500</v>
      </c>
      <c r="X36">
        <f>MOD(Table1[[#This Row],[t inv sp mx idx]]+2, 2^4)</f>
        <v>4</v>
      </c>
      <c r="Y36">
        <v>0</v>
      </c>
      <c r="Z36">
        <f>Table1[[#This Row],[t bias]]</f>
        <v>0.34</v>
      </c>
      <c r="AA36">
        <f>Table1[[#This Row],[t gain]]</f>
        <v>1.34</v>
      </c>
      <c r="AB36">
        <f>Table1[[#This Row],[c kinetic trace]]* String2Single(CONCATENATE(LEFT(Single2String(Table1[[#This Row],[c gain]]), 6), "00")) + String2Single(CONCATENATE(LEFT(Single2String(Table1[[#This Row],[c bias]]), 6), "00"))</f>
        <v>0.339996337890625</v>
      </c>
      <c r="AC36" t="str">
        <f xml:space="preserve"> Sng2String(Table1[[#This Row],[c ptrace]])</f>
        <v>3EAE1400</v>
      </c>
      <c r="AD36">
        <f>MOD(Table1[[#This Row],[t inv sp mx idx]]+3, 2^4)</f>
        <v>5</v>
      </c>
      <c r="AE36" s="4" t="str">
        <f>DEC2HEX(Table1[[#This Row],[row]], 3)</f>
        <v>004</v>
      </c>
      <c r="AF36" s="2" t="str">
        <f>DEC2HEX(Table1[[#This Row],[col]], 3)</f>
        <v>009</v>
      </c>
      <c r="AG36" s="2" t="str">
        <f>DEC2HEX(Table1[[#This Row],[grn fsp idx]], 2)</f>
        <v>45</v>
      </c>
      <c r="AH36" s="2" t="str">
        <f>DEC2HEX(Table1[[#This Row],[red fsp idx]], 2)</f>
        <v>BA</v>
      </c>
      <c r="AI36" s="2" t="str">
        <f xml:space="preserve"> LEFT(Sng2String(Table1[[#This Row],[t bias]]), 6)</f>
        <v>3EAE14</v>
      </c>
      <c r="AJ36" s="2" t="str">
        <f xml:space="preserve"> LEFT(Sng2String(Table1[[#This Row],[t gain]]), 6)</f>
        <v>3FAB85</v>
      </c>
      <c r="AK36" s="2" t="str">
        <f>DEC2HEX(Table1[[#This Row],[t inv sp mx idx]], 1)</f>
        <v>2</v>
      </c>
      <c r="AL36" s="2" t="str">
        <f xml:space="preserve"> LEFT(Sng2String(Table1[[#This Row],[g bias]]), 6)</f>
        <v>3F570A</v>
      </c>
      <c r="AM36" s="2" t="str">
        <f xml:space="preserve"> LEFT(Sng2String(Table1[[#This Row],[g gain]]), 6)</f>
        <v>3F2B85</v>
      </c>
      <c r="AN36" s="2" t="str">
        <f>DEC2HEX(Table1[[#This Row],[g inv sp mx idx]], 1)</f>
        <v>3</v>
      </c>
      <c r="AO36" s="2" t="str">
        <f xml:space="preserve"> LEFT(Sng2String(Table1[[#This Row],[a bias]]), 6)</f>
        <v>3FAB85</v>
      </c>
      <c r="AP36" s="2" t="str">
        <f xml:space="preserve"> LEFT(Sng2String(Table1[[#This Row],[a gain]]), 6)</f>
        <v>3F570A</v>
      </c>
      <c r="AQ36" s="2" t="str">
        <f>DEC2HEX(Table1[[#This Row],[a inv sp mx idx]], 1)</f>
        <v>4</v>
      </c>
      <c r="AR36" s="2" t="str">
        <f xml:space="preserve"> LEFT(Sng2String(Table1[[#This Row],[c bias]]), 6)</f>
        <v>3EAE14</v>
      </c>
      <c r="AS36" s="2" t="str">
        <f xml:space="preserve"> LEFT(Sng2String(Table1[[#This Row],[c gain]]), 6)</f>
        <v>3FAB85</v>
      </c>
      <c r="AT36" s="2" t="str">
        <f>DEC2HEX(Table1[[#This Row],[c inv sp mx idx]], 1)</f>
        <v>5</v>
      </c>
      <c r="AU36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00400945BA3EAE143FAB8523F570A3F2B8533FAB853F570A43EAE143FAB85502</v>
      </c>
      <c r="AV36" s="2">
        <f>LEN(Table1[[#This Row],[DRAM data]])</f>
        <v>64</v>
      </c>
    </row>
    <row r="37" spans="1:48" x14ac:dyDescent="0.25">
      <c r="A37">
        <v>35</v>
      </c>
      <c r="B37">
        <f>Table1[[#This Row],[ZMW num]]+1</f>
        <v>36</v>
      </c>
      <c r="C37">
        <v>4</v>
      </c>
      <c r="D37">
        <f t="shared" si="0"/>
        <v>11</v>
      </c>
      <c r="E37">
        <v>71</v>
      </c>
      <c r="F37">
        <v>184</v>
      </c>
      <c r="G37">
        <v>0</v>
      </c>
      <c r="H37">
        <f>Table1[[#This Row],[ZMW num]]*0.01</f>
        <v>0.35000000000000003</v>
      </c>
      <c r="I37">
        <f>1+Table1[[#This Row],[t bias]]</f>
        <v>1.35</v>
      </c>
      <c r="J37">
        <f>Table1[[#This Row],[t kinetic trace]]* String2Single(CONCATENATE(LEFT(Single2String(Table1[[#This Row],[t gain]]), 6), "00")) + String2Single(CONCATENATE(LEFT(Single2String(Table1[[#This Row],[t bias]]), 6), "00"))</f>
        <v>0.34999847412109375</v>
      </c>
      <c r="K37" t="str">
        <f>Sng2String(Table1[[#This Row],[t ptrace]])</f>
        <v>3EB33300</v>
      </c>
      <c r="L37">
        <f>MOD(Table1[[#This Row],[ZMW num]], 2^4)</f>
        <v>3</v>
      </c>
      <c r="M37">
        <v>0</v>
      </c>
      <c r="N37">
        <f>Table1[[#This Row],[t bias]]+0.5</f>
        <v>0.85000000000000009</v>
      </c>
      <c r="O37">
        <f>Table1[[#This Row],[t gain]]/2</f>
        <v>0.67500000000000004</v>
      </c>
      <c r="P37">
        <f>Table1[[#This Row],[g kinetic trace]] * String2Single(CONCATENATE(LEFT(Single2String(Table1[[#This Row],[g gain]]), 6), "00")) + String2Single(CONCATENATE(LEFT(Single2String(Table1[[#This Row],[g bias]]), 6), "00"))</f>
        <v>0.8499908447265625</v>
      </c>
      <c r="Q37" t="str">
        <f xml:space="preserve"> Sng2String(Table1[[#This Row],[g ptrace]])</f>
        <v>3F599900</v>
      </c>
      <c r="R37">
        <f>MOD(Table1[[#This Row],[t inv sp mx idx]]+1, 2^4)</f>
        <v>4</v>
      </c>
      <c r="S37">
        <v>0</v>
      </c>
      <c r="T37">
        <f>Table1[[#This Row],[t bias]]+1</f>
        <v>1.35</v>
      </c>
      <c r="U37">
        <f>Table1[[#This Row],[t gain]]-0.5</f>
        <v>0.85000000000000009</v>
      </c>
      <c r="V37">
        <f>Table1[[#This Row],[a kinetic trace]] * String2Single(CONCATENATE(LEFT(Single2String(Table1[[#This Row],[a gain]]), 6), "00")) + String2Single(CONCATENATE(LEFT(Single2String(Table1[[#This Row],[a bias]]), 6), "00"))</f>
        <v>1.3499755859375</v>
      </c>
      <c r="W37" t="str">
        <f xml:space="preserve"> Sng2String(Table1[[#This Row],[a ptrace]])</f>
        <v>3FACCC00</v>
      </c>
      <c r="X37">
        <f>MOD(Table1[[#This Row],[t inv sp mx idx]]+2, 2^4)</f>
        <v>5</v>
      </c>
      <c r="Y37">
        <v>0</v>
      </c>
      <c r="Z37">
        <f>Table1[[#This Row],[t bias]]</f>
        <v>0.35000000000000003</v>
      </c>
      <c r="AA37">
        <f>Table1[[#This Row],[t gain]]</f>
        <v>1.35</v>
      </c>
      <c r="AB37">
        <f>Table1[[#This Row],[c kinetic trace]]* String2Single(CONCATENATE(LEFT(Single2String(Table1[[#This Row],[c gain]]), 6), "00")) + String2Single(CONCATENATE(LEFT(Single2String(Table1[[#This Row],[c bias]]), 6), "00"))</f>
        <v>0.34999847412109375</v>
      </c>
      <c r="AC37" t="str">
        <f xml:space="preserve"> Sng2String(Table1[[#This Row],[c ptrace]])</f>
        <v>3EB33300</v>
      </c>
      <c r="AD37">
        <f>MOD(Table1[[#This Row],[t inv sp mx idx]]+3, 2^4)</f>
        <v>6</v>
      </c>
      <c r="AE37" s="4" t="str">
        <f>DEC2HEX(Table1[[#This Row],[row]], 3)</f>
        <v>004</v>
      </c>
      <c r="AF37" s="2" t="str">
        <f>DEC2HEX(Table1[[#This Row],[col]], 3)</f>
        <v>00B</v>
      </c>
      <c r="AG37" s="2" t="str">
        <f>DEC2HEX(Table1[[#This Row],[grn fsp idx]], 2)</f>
        <v>47</v>
      </c>
      <c r="AH37" s="2" t="str">
        <f>DEC2HEX(Table1[[#This Row],[red fsp idx]], 2)</f>
        <v>B8</v>
      </c>
      <c r="AI37" s="2" t="str">
        <f xml:space="preserve"> LEFT(Sng2String(Table1[[#This Row],[t bias]]), 6)</f>
        <v>3EB333</v>
      </c>
      <c r="AJ37" s="2" t="str">
        <f xml:space="preserve"> LEFT(Sng2String(Table1[[#This Row],[t gain]]), 6)</f>
        <v>3FACCC</v>
      </c>
      <c r="AK37" s="2" t="str">
        <f>DEC2HEX(Table1[[#This Row],[t inv sp mx idx]], 1)</f>
        <v>3</v>
      </c>
      <c r="AL37" s="2" t="str">
        <f xml:space="preserve"> LEFT(Sng2String(Table1[[#This Row],[g bias]]), 6)</f>
        <v>3F5999</v>
      </c>
      <c r="AM37" s="2" t="str">
        <f xml:space="preserve"> LEFT(Sng2String(Table1[[#This Row],[g gain]]), 6)</f>
        <v>3F2CCC</v>
      </c>
      <c r="AN37" s="2" t="str">
        <f>DEC2HEX(Table1[[#This Row],[g inv sp mx idx]], 1)</f>
        <v>4</v>
      </c>
      <c r="AO37" s="2" t="str">
        <f xml:space="preserve"> LEFT(Sng2String(Table1[[#This Row],[a bias]]), 6)</f>
        <v>3FACCC</v>
      </c>
      <c r="AP37" s="2" t="str">
        <f xml:space="preserve"> LEFT(Sng2String(Table1[[#This Row],[a gain]]), 6)</f>
        <v>3F5999</v>
      </c>
      <c r="AQ37" s="2" t="str">
        <f>DEC2HEX(Table1[[#This Row],[a inv sp mx idx]], 1)</f>
        <v>5</v>
      </c>
      <c r="AR37" s="2" t="str">
        <f xml:space="preserve"> LEFT(Sng2String(Table1[[#This Row],[c bias]]), 6)</f>
        <v>3EB333</v>
      </c>
      <c r="AS37" s="2" t="str">
        <f xml:space="preserve"> LEFT(Sng2String(Table1[[#This Row],[c gain]]), 6)</f>
        <v>3FACCC</v>
      </c>
      <c r="AT37" s="2" t="str">
        <f>DEC2HEX(Table1[[#This Row],[c inv sp mx idx]], 1)</f>
        <v>6</v>
      </c>
      <c r="AU37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00400B47B83EB3333FACCC33F59993F2CCC43FACCC3F599953EB3333FACCC602</v>
      </c>
      <c r="AV37" s="2">
        <f>LEN(Table1[[#This Row],[DRAM data]])</f>
        <v>64</v>
      </c>
    </row>
    <row r="38" spans="1:48" x14ac:dyDescent="0.25">
      <c r="A38">
        <v>36</v>
      </c>
      <c r="B38">
        <f>Table1[[#This Row],[ZMW num]]+1</f>
        <v>37</v>
      </c>
      <c r="C38">
        <v>4</v>
      </c>
      <c r="D38">
        <f t="shared" si="0"/>
        <v>15</v>
      </c>
      <c r="E38">
        <v>73</v>
      </c>
      <c r="F38">
        <v>182</v>
      </c>
      <c r="G38">
        <v>0</v>
      </c>
      <c r="H38">
        <f>Table1[[#This Row],[ZMW num]]*0.01</f>
        <v>0.36</v>
      </c>
      <c r="I38">
        <f>1+Table1[[#This Row],[t bias]]</f>
        <v>1.3599999999999999</v>
      </c>
      <c r="J38">
        <f>Table1[[#This Row],[t kinetic trace]]* String2Single(CONCATENATE(LEFT(Single2String(Table1[[#This Row],[t gain]]), 6), "00")) + String2Single(CONCATENATE(LEFT(Single2String(Table1[[#This Row],[t bias]]), 6), "00"))</f>
        <v>0.35999298095703125</v>
      </c>
      <c r="K38" t="str">
        <f>Sng2String(Table1[[#This Row],[t ptrace]])</f>
        <v>3EB85100</v>
      </c>
      <c r="L38">
        <f>MOD(Table1[[#This Row],[ZMW num]], 2^4)</f>
        <v>4</v>
      </c>
      <c r="M38">
        <v>0</v>
      </c>
      <c r="N38">
        <f>Table1[[#This Row],[t bias]]+0.5</f>
        <v>0.86</v>
      </c>
      <c r="O38">
        <f>Table1[[#This Row],[t gain]]/2</f>
        <v>0.67999999999999994</v>
      </c>
      <c r="P38">
        <f>Table1[[#This Row],[g kinetic trace]] * String2Single(CONCATENATE(LEFT(Single2String(Table1[[#This Row],[g gain]]), 6), "00")) + String2Single(CONCATENATE(LEFT(Single2String(Table1[[#This Row],[g bias]]), 6), "00"))</f>
        <v>0.8599853515625</v>
      </c>
      <c r="Q38" t="str">
        <f xml:space="preserve"> Sng2String(Table1[[#This Row],[g ptrace]])</f>
        <v>3F5C2800</v>
      </c>
      <c r="R38">
        <f>MOD(Table1[[#This Row],[t inv sp mx idx]]+1, 2^4)</f>
        <v>5</v>
      </c>
      <c r="S38">
        <v>0</v>
      </c>
      <c r="T38">
        <f>Table1[[#This Row],[t bias]]+1</f>
        <v>1.3599999999999999</v>
      </c>
      <c r="U38">
        <f>Table1[[#This Row],[t gain]]-0.5</f>
        <v>0.85999999999999988</v>
      </c>
      <c r="V38">
        <f>Table1[[#This Row],[a kinetic trace]] * String2Single(CONCATENATE(LEFT(Single2String(Table1[[#This Row],[a gain]]), 6), "00")) + String2Single(CONCATENATE(LEFT(Single2String(Table1[[#This Row],[a bias]]), 6), "00"))</f>
        <v>1.3599853515625</v>
      </c>
      <c r="W38" t="str">
        <f xml:space="preserve"> Sng2String(Table1[[#This Row],[a ptrace]])</f>
        <v>3FAE1400</v>
      </c>
      <c r="X38">
        <f>MOD(Table1[[#This Row],[t inv sp mx idx]]+2, 2^4)</f>
        <v>6</v>
      </c>
      <c r="Y38">
        <v>0</v>
      </c>
      <c r="Z38">
        <f>Table1[[#This Row],[t bias]]</f>
        <v>0.36</v>
      </c>
      <c r="AA38">
        <f>Table1[[#This Row],[t gain]]</f>
        <v>1.3599999999999999</v>
      </c>
      <c r="AB38">
        <f>Table1[[#This Row],[c kinetic trace]]* String2Single(CONCATENATE(LEFT(Single2String(Table1[[#This Row],[c gain]]), 6), "00")) + String2Single(CONCATENATE(LEFT(Single2String(Table1[[#This Row],[c bias]]), 6), "00"))</f>
        <v>0.35999298095703125</v>
      </c>
      <c r="AC38" t="str">
        <f xml:space="preserve"> Sng2String(Table1[[#This Row],[c ptrace]])</f>
        <v>3EB85100</v>
      </c>
      <c r="AD38">
        <f>MOD(Table1[[#This Row],[t inv sp mx idx]]+3, 2^4)</f>
        <v>7</v>
      </c>
      <c r="AE38" s="4" t="str">
        <f>DEC2HEX(Table1[[#This Row],[row]], 3)</f>
        <v>004</v>
      </c>
      <c r="AF38" s="2" t="str">
        <f>DEC2HEX(Table1[[#This Row],[col]], 3)</f>
        <v>00F</v>
      </c>
      <c r="AG38" s="2" t="str">
        <f>DEC2HEX(Table1[[#This Row],[grn fsp idx]], 2)</f>
        <v>49</v>
      </c>
      <c r="AH38" s="2" t="str">
        <f>DEC2HEX(Table1[[#This Row],[red fsp idx]], 2)</f>
        <v>B6</v>
      </c>
      <c r="AI38" s="2" t="str">
        <f xml:space="preserve"> LEFT(Sng2String(Table1[[#This Row],[t bias]]), 6)</f>
        <v>3EB851</v>
      </c>
      <c r="AJ38" s="2" t="str">
        <f xml:space="preserve"> LEFT(Sng2String(Table1[[#This Row],[t gain]]), 6)</f>
        <v>3FAE14</v>
      </c>
      <c r="AK38" s="2" t="str">
        <f>DEC2HEX(Table1[[#This Row],[t inv sp mx idx]], 1)</f>
        <v>4</v>
      </c>
      <c r="AL38" s="2" t="str">
        <f xml:space="preserve"> LEFT(Sng2String(Table1[[#This Row],[g bias]]), 6)</f>
        <v>3F5C28</v>
      </c>
      <c r="AM38" s="2" t="str">
        <f xml:space="preserve"> LEFT(Sng2String(Table1[[#This Row],[g gain]]), 6)</f>
        <v>3F2E14</v>
      </c>
      <c r="AN38" s="2" t="str">
        <f>DEC2HEX(Table1[[#This Row],[g inv sp mx idx]], 1)</f>
        <v>5</v>
      </c>
      <c r="AO38" s="2" t="str">
        <f xml:space="preserve"> LEFT(Sng2String(Table1[[#This Row],[a bias]]), 6)</f>
        <v>3FAE14</v>
      </c>
      <c r="AP38" s="2" t="str">
        <f xml:space="preserve"> LEFT(Sng2String(Table1[[#This Row],[a gain]]), 6)</f>
        <v>3F5C28</v>
      </c>
      <c r="AQ38" s="2" t="str">
        <f>DEC2HEX(Table1[[#This Row],[a inv sp mx idx]], 1)</f>
        <v>6</v>
      </c>
      <c r="AR38" s="2" t="str">
        <f xml:space="preserve"> LEFT(Sng2String(Table1[[#This Row],[c bias]]), 6)</f>
        <v>3EB851</v>
      </c>
      <c r="AS38" s="2" t="str">
        <f xml:space="preserve"> LEFT(Sng2String(Table1[[#This Row],[c gain]]), 6)</f>
        <v>3FAE14</v>
      </c>
      <c r="AT38" s="2" t="str">
        <f>DEC2HEX(Table1[[#This Row],[c inv sp mx idx]], 1)</f>
        <v>7</v>
      </c>
      <c r="AU38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00400F49B63EB8513FAE1443F5C283F2E1453FAE143F5C2863EB8513FAE14702</v>
      </c>
      <c r="AV38" s="2">
        <f>LEN(Table1[[#This Row],[DRAM data]])</f>
        <v>64</v>
      </c>
    </row>
    <row r="39" spans="1:48" x14ac:dyDescent="0.25">
      <c r="A39">
        <v>37</v>
      </c>
      <c r="B39">
        <f>Table1[[#This Row],[ZMW num]]+1</f>
        <v>38</v>
      </c>
      <c r="C39">
        <v>4</v>
      </c>
      <c r="D39">
        <f t="shared" si="0"/>
        <v>16</v>
      </c>
      <c r="E39">
        <v>75</v>
      </c>
      <c r="F39">
        <v>180</v>
      </c>
      <c r="G39">
        <v>0</v>
      </c>
      <c r="H39">
        <f>Table1[[#This Row],[ZMW num]]*0.01</f>
        <v>0.37</v>
      </c>
      <c r="I39">
        <f>1+Table1[[#This Row],[t bias]]</f>
        <v>1.37</v>
      </c>
      <c r="J39">
        <f>Table1[[#This Row],[t kinetic trace]]* String2Single(CONCATENATE(LEFT(Single2String(Table1[[#This Row],[t gain]]), 6), "00")) + String2Single(CONCATENATE(LEFT(Single2String(Table1[[#This Row],[t bias]]), 6), "00"))</f>
        <v>0.3699951171875</v>
      </c>
      <c r="K39" t="str">
        <f>Sng2String(Table1[[#This Row],[t ptrace]])</f>
        <v>3EBD7000</v>
      </c>
      <c r="L39">
        <f>MOD(Table1[[#This Row],[ZMW num]], 2^4)</f>
        <v>5</v>
      </c>
      <c r="M39">
        <v>0</v>
      </c>
      <c r="N39">
        <f>Table1[[#This Row],[t bias]]+0.5</f>
        <v>0.87</v>
      </c>
      <c r="O39">
        <f>Table1[[#This Row],[t gain]]/2</f>
        <v>0.68500000000000005</v>
      </c>
      <c r="P39">
        <f>Table1[[#This Row],[g kinetic trace]] * String2Single(CONCATENATE(LEFT(Single2String(Table1[[#This Row],[g gain]]), 6), "00")) + String2Single(CONCATENATE(LEFT(Single2String(Table1[[#This Row],[g bias]]), 6), "00"))</f>
        <v>0.8699951171875</v>
      </c>
      <c r="Q39" t="str">
        <f xml:space="preserve"> Sng2String(Table1[[#This Row],[g ptrace]])</f>
        <v>3F5EB800</v>
      </c>
      <c r="R39">
        <f>MOD(Table1[[#This Row],[t inv sp mx idx]]+1, 2^4)</f>
        <v>6</v>
      </c>
      <c r="S39">
        <v>0</v>
      </c>
      <c r="T39">
        <f>Table1[[#This Row],[t bias]]+1</f>
        <v>1.37</v>
      </c>
      <c r="U39">
        <f>Table1[[#This Row],[t gain]]-0.5</f>
        <v>0.87000000000000011</v>
      </c>
      <c r="V39">
        <f>Table1[[#This Row],[a kinetic trace]] * String2Single(CONCATENATE(LEFT(Single2String(Table1[[#This Row],[a gain]]), 6), "00")) + String2Single(CONCATENATE(LEFT(Single2String(Table1[[#This Row],[a bias]]), 6), "00"))</f>
        <v>1.3699951171875</v>
      </c>
      <c r="W39" t="str">
        <f xml:space="preserve"> Sng2String(Table1[[#This Row],[a ptrace]])</f>
        <v>3FAF5C00</v>
      </c>
      <c r="X39">
        <f>MOD(Table1[[#This Row],[t inv sp mx idx]]+2, 2^4)</f>
        <v>7</v>
      </c>
      <c r="Y39">
        <v>0</v>
      </c>
      <c r="Z39">
        <f>Table1[[#This Row],[t bias]]</f>
        <v>0.37</v>
      </c>
      <c r="AA39">
        <f>Table1[[#This Row],[t gain]]</f>
        <v>1.37</v>
      </c>
      <c r="AB39">
        <f>Table1[[#This Row],[c kinetic trace]]* String2Single(CONCATENATE(LEFT(Single2String(Table1[[#This Row],[c gain]]), 6), "00")) + String2Single(CONCATENATE(LEFT(Single2String(Table1[[#This Row],[c bias]]), 6), "00"))</f>
        <v>0.3699951171875</v>
      </c>
      <c r="AC39" t="str">
        <f xml:space="preserve"> Sng2String(Table1[[#This Row],[c ptrace]])</f>
        <v>3EBD7000</v>
      </c>
      <c r="AD39">
        <f>MOD(Table1[[#This Row],[t inv sp mx idx]]+3, 2^4)</f>
        <v>8</v>
      </c>
      <c r="AE39" s="4" t="str">
        <f>DEC2HEX(Table1[[#This Row],[row]], 3)</f>
        <v>004</v>
      </c>
      <c r="AF39" s="2" t="str">
        <f>DEC2HEX(Table1[[#This Row],[col]], 3)</f>
        <v>010</v>
      </c>
      <c r="AG39" s="2" t="str">
        <f>DEC2HEX(Table1[[#This Row],[grn fsp idx]], 2)</f>
        <v>4B</v>
      </c>
      <c r="AH39" s="2" t="str">
        <f>DEC2HEX(Table1[[#This Row],[red fsp idx]], 2)</f>
        <v>B4</v>
      </c>
      <c r="AI39" s="2" t="str">
        <f xml:space="preserve"> LEFT(Sng2String(Table1[[#This Row],[t bias]]), 6)</f>
        <v>3EBD70</v>
      </c>
      <c r="AJ39" s="2" t="str">
        <f xml:space="preserve"> LEFT(Sng2String(Table1[[#This Row],[t gain]]), 6)</f>
        <v>3FAF5C</v>
      </c>
      <c r="AK39" s="2" t="str">
        <f>DEC2HEX(Table1[[#This Row],[t inv sp mx idx]], 1)</f>
        <v>5</v>
      </c>
      <c r="AL39" s="2" t="str">
        <f xml:space="preserve"> LEFT(Sng2String(Table1[[#This Row],[g bias]]), 6)</f>
        <v>3F5EB8</v>
      </c>
      <c r="AM39" s="2" t="str">
        <f xml:space="preserve"> LEFT(Sng2String(Table1[[#This Row],[g gain]]), 6)</f>
        <v>3F2F5C</v>
      </c>
      <c r="AN39" s="2" t="str">
        <f>DEC2HEX(Table1[[#This Row],[g inv sp mx idx]], 1)</f>
        <v>6</v>
      </c>
      <c r="AO39" s="2" t="str">
        <f xml:space="preserve"> LEFT(Sng2String(Table1[[#This Row],[a bias]]), 6)</f>
        <v>3FAF5C</v>
      </c>
      <c r="AP39" s="2" t="str">
        <f xml:space="preserve"> LEFT(Sng2String(Table1[[#This Row],[a gain]]), 6)</f>
        <v>3F5EB8</v>
      </c>
      <c r="AQ39" s="2" t="str">
        <f>DEC2HEX(Table1[[#This Row],[a inv sp mx idx]], 1)</f>
        <v>7</v>
      </c>
      <c r="AR39" s="2" t="str">
        <f xml:space="preserve"> LEFT(Sng2String(Table1[[#This Row],[c bias]]), 6)</f>
        <v>3EBD70</v>
      </c>
      <c r="AS39" s="2" t="str">
        <f xml:space="preserve"> LEFT(Sng2String(Table1[[#This Row],[c gain]]), 6)</f>
        <v>3FAF5C</v>
      </c>
      <c r="AT39" s="2" t="str">
        <f>DEC2HEX(Table1[[#This Row],[c inv sp mx idx]], 1)</f>
        <v>8</v>
      </c>
      <c r="AU39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0040104BB43EBD703FAF5C53F5EB83F2F5C63FAF5C3F5EB873EBD703FAF5C802</v>
      </c>
      <c r="AV39" s="2">
        <f>LEN(Table1[[#This Row],[DRAM data]])</f>
        <v>64</v>
      </c>
    </row>
    <row r="40" spans="1:48" x14ac:dyDescent="0.25">
      <c r="A40">
        <v>38</v>
      </c>
      <c r="B40">
        <f>Table1[[#This Row],[ZMW num]]+1</f>
        <v>39</v>
      </c>
      <c r="C40">
        <v>4</v>
      </c>
      <c r="D40">
        <f t="shared" si="0"/>
        <v>19</v>
      </c>
      <c r="E40">
        <v>77</v>
      </c>
      <c r="F40">
        <v>178</v>
      </c>
      <c r="G40">
        <v>0</v>
      </c>
      <c r="H40">
        <f>Table1[[#This Row],[ZMW num]]*0.01</f>
        <v>0.38</v>
      </c>
      <c r="I40">
        <f>1+Table1[[#This Row],[t bias]]</f>
        <v>1.38</v>
      </c>
      <c r="J40">
        <f>Table1[[#This Row],[t kinetic trace]]* String2Single(CONCATENATE(LEFT(Single2String(Table1[[#This Row],[t gain]]), 6), "00")) + String2Single(CONCATENATE(LEFT(Single2String(Table1[[#This Row],[t bias]]), 6), "00"))</f>
        <v>0.37999725341796875</v>
      </c>
      <c r="K40" t="str">
        <f>Sng2String(Table1[[#This Row],[t ptrace]])</f>
        <v>3EC28F00</v>
      </c>
      <c r="L40">
        <f>MOD(Table1[[#This Row],[ZMW num]], 2^4)</f>
        <v>6</v>
      </c>
      <c r="M40">
        <v>0</v>
      </c>
      <c r="N40">
        <f>Table1[[#This Row],[t bias]]+0.5</f>
        <v>0.88</v>
      </c>
      <c r="O40">
        <f>Table1[[#This Row],[t gain]]/2</f>
        <v>0.69</v>
      </c>
      <c r="P40">
        <f>Table1[[#This Row],[g kinetic trace]] * String2Single(CONCATENATE(LEFT(Single2String(Table1[[#This Row],[g gain]]), 6), "00")) + String2Single(CONCATENATE(LEFT(Single2String(Table1[[#This Row],[g bias]]), 6), "00"))</f>
        <v>0.8799896240234375</v>
      </c>
      <c r="Q40" t="str">
        <f xml:space="preserve"> Sng2String(Table1[[#This Row],[g ptrace]])</f>
        <v>3F614700</v>
      </c>
      <c r="R40">
        <f>MOD(Table1[[#This Row],[t inv sp mx idx]]+1, 2^4)</f>
        <v>7</v>
      </c>
      <c r="S40">
        <v>0</v>
      </c>
      <c r="T40">
        <f>Table1[[#This Row],[t bias]]+1</f>
        <v>1.38</v>
      </c>
      <c r="U40">
        <f>Table1[[#This Row],[t gain]]-0.5</f>
        <v>0.87999999999999989</v>
      </c>
      <c r="V40">
        <f>Table1[[#This Row],[a kinetic trace]] * String2Single(CONCATENATE(LEFT(Single2String(Table1[[#This Row],[a gain]]), 6), "00")) + String2Single(CONCATENATE(LEFT(Single2String(Table1[[#This Row],[a bias]]), 6), "00"))</f>
        <v>1.379974365234375</v>
      </c>
      <c r="W40" t="str">
        <f xml:space="preserve"> Sng2String(Table1[[#This Row],[a ptrace]])</f>
        <v>3FB0A300</v>
      </c>
      <c r="X40">
        <f>MOD(Table1[[#This Row],[t inv sp mx idx]]+2, 2^4)</f>
        <v>8</v>
      </c>
      <c r="Y40">
        <v>0</v>
      </c>
      <c r="Z40">
        <f>Table1[[#This Row],[t bias]]</f>
        <v>0.38</v>
      </c>
      <c r="AA40">
        <f>Table1[[#This Row],[t gain]]</f>
        <v>1.38</v>
      </c>
      <c r="AB40">
        <f>Table1[[#This Row],[c kinetic trace]]* String2Single(CONCATENATE(LEFT(Single2String(Table1[[#This Row],[c gain]]), 6), "00")) + String2Single(CONCATENATE(LEFT(Single2String(Table1[[#This Row],[c bias]]), 6), "00"))</f>
        <v>0.37999725341796875</v>
      </c>
      <c r="AC40" t="str">
        <f xml:space="preserve"> Sng2String(Table1[[#This Row],[c ptrace]])</f>
        <v>3EC28F00</v>
      </c>
      <c r="AD40">
        <f>MOD(Table1[[#This Row],[t inv sp mx idx]]+3, 2^4)</f>
        <v>9</v>
      </c>
      <c r="AE40" s="4" t="str">
        <f>DEC2HEX(Table1[[#This Row],[row]], 3)</f>
        <v>004</v>
      </c>
      <c r="AF40" s="2" t="str">
        <f>DEC2HEX(Table1[[#This Row],[col]], 3)</f>
        <v>013</v>
      </c>
      <c r="AG40" s="2" t="str">
        <f>DEC2HEX(Table1[[#This Row],[grn fsp idx]], 2)</f>
        <v>4D</v>
      </c>
      <c r="AH40" s="2" t="str">
        <f>DEC2HEX(Table1[[#This Row],[red fsp idx]], 2)</f>
        <v>B2</v>
      </c>
      <c r="AI40" s="2" t="str">
        <f xml:space="preserve"> LEFT(Sng2String(Table1[[#This Row],[t bias]]), 6)</f>
        <v>3EC28F</v>
      </c>
      <c r="AJ40" s="2" t="str">
        <f xml:space="preserve"> LEFT(Sng2String(Table1[[#This Row],[t gain]]), 6)</f>
        <v>3FB0A3</v>
      </c>
      <c r="AK40" s="2" t="str">
        <f>DEC2HEX(Table1[[#This Row],[t inv sp mx idx]], 1)</f>
        <v>6</v>
      </c>
      <c r="AL40" s="2" t="str">
        <f xml:space="preserve"> LEFT(Sng2String(Table1[[#This Row],[g bias]]), 6)</f>
        <v>3F6147</v>
      </c>
      <c r="AM40" s="2" t="str">
        <f xml:space="preserve"> LEFT(Sng2String(Table1[[#This Row],[g gain]]), 6)</f>
        <v>3F30A3</v>
      </c>
      <c r="AN40" s="2" t="str">
        <f>DEC2HEX(Table1[[#This Row],[g inv sp mx idx]], 1)</f>
        <v>7</v>
      </c>
      <c r="AO40" s="2" t="str">
        <f xml:space="preserve"> LEFT(Sng2String(Table1[[#This Row],[a bias]]), 6)</f>
        <v>3FB0A3</v>
      </c>
      <c r="AP40" s="2" t="str">
        <f xml:space="preserve"> LEFT(Sng2String(Table1[[#This Row],[a gain]]), 6)</f>
        <v>3F6147</v>
      </c>
      <c r="AQ40" s="2" t="str">
        <f>DEC2HEX(Table1[[#This Row],[a inv sp mx idx]], 1)</f>
        <v>8</v>
      </c>
      <c r="AR40" s="2" t="str">
        <f xml:space="preserve"> LEFT(Sng2String(Table1[[#This Row],[c bias]]), 6)</f>
        <v>3EC28F</v>
      </c>
      <c r="AS40" s="2" t="str">
        <f xml:space="preserve"> LEFT(Sng2String(Table1[[#This Row],[c gain]]), 6)</f>
        <v>3FB0A3</v>
      </c>
      <c r="AT40" s="2" t="str">
        <f>DEC2HEX(Table1[[#This Row],[c inv sp mx idx]], 1)</f>
        <v>9</v>
      </c>
      <c r="AU40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0040134DB23EC28F3FB0A363F61473F30A373FB0A33F614783EC28F3FB0A3902</v>
      </c>
      <c r="AV40" s="2">
        <f>LEN(Table1[[#This Row],[DRAM data]])</f>
        <v>64</v>
      </c>
    </row>
    <row r="41" spans="1:48" x14ac:dyDescent="0.25">
      <c r="A41">
        <v>39</v>
      </c>
      <c r="B41">
        <f>Table1[[#This Row],[ZMW num]]+1</f>
        <v>40</v>
      </c>
      <c r="C41">
        <v>4</v>
      </c>
      <c r="D41">
        <f t="shared" si="0"/>
        <v>22</v>
      </c>
      <c r="E41">
        <v>79</v>
      </c>
      <c r="F41">
        <v>176</v>
      </c>
      <c r="G41">
        <v>0</v>
      </c>
      <c r="H41">
        <f>Table1[[#This Row],[ZMW num]]*0.01</f>
        <v>0.39</v>
      </c>
      <c r="I41">
        <f>1+Table1[[#This Row],[t bias]]</f>
        <v>1.3900000000000001</v>
      </c>
      <c r="J41">
        <f>Table1[[#This Row],[t kinetic trace]]* String2Single(CONCATENATE(LEFT(Single2String(Table1[[#This Row],[t gain]]), 6), "00")) + String2Single(CONCATENATE(LEFT(Single2String(Table1[[#This Row],[t bias]]), 6), "00"))</f>
        <v>0.3899993896484375</v>
      </c>
      <c r="K41" t="str">
        <f>Sng2String(Table1[[#This Row],[t ptrace]])</f>
        <v>3EC7AE00</v>
      </c>
      <c r="L41">
        <f>MOD(Table1[[#This Row],[ZMW num]], 2^4)</f>
        <v>7</v>
      </c>
      <c r="M41">
        <v>0</v>
      </c>
      <c r="N41">
        <f>Table1[[#This Row],[t bias]]+0.5</f>
        <v>0.89</v>
      </c>
      <c r="O41">
        <f>Table1[[#This Row],[t gain]]/2</f>
        <v>0.69500000000000006</v>
      </c>
      <c r="P41">
        <f>Table1[[#This Row],[g kinetic trace]] * String2Single(CONCATENATE(LEFT(Single2String(Table1[[#This Row],[g gain]]), 6), "00")) + String2Single(CONCATENATE(LEFT(Single2String(Table1[[#This Row],[g bias]]), 6), "00"))</f>
        <v>0.8899993896484375</v>
      </c>
      <c r="Q41" t="str">
        <f xml:space="preserve"> Sng2String(Table1[[#This Row],[g ptrace]])</f>
        <v>3F63D700</v>
      </c>
      <c r="R41">
        <f>MOD(Table1[[#This Row],[t inv sp mx idx]]+1, 2^4)</f>
        <v>8</v>
      </c>
      <c r="S41">
        <v>0</v>
      </c>
      <c r="T41">
        <f>Table1[[#This Row],[t bias]]+1</f>
        <v>1.3900000000000001</v>
      </c>
      <c r="U41">
        <f>Table1[[#This Row],[t gain]]-0.5</f>
        <v>0.89000000000000012</v>
      </c>
      <c r="V41">
        <f>Table1[[#This Row],[a kinetic trace]] * String2Single(CONCATENATE(LEFT(Single2String(Table1[[#This Row],[a gain]]), 6), "00")) + String2Single(CONCATENATE(LEFT(Single2String(Table1[[#This Row],[a bias]]), 6), "00"))</f>
        <v>1.389984130859375</v>
      </c>
      <c r="W41" t="str">
        <f xml:space="preserve"> Sng2String(Table1[[#This Row],[a ptrace]])</f>
        <v>3FB1EB00</v>
      </c>
      <c r="X41">
        <f>MOD(Table1[[#This Row],[t inv sp mx idx]]+2, 2^4)</f>
        <v>9</v>
      </c>
      <c r="Y41">
        <v>0</v>
      </c>
      <c r="Z41">
        <f>Table1[[#This Row],[t bias]]</f>
        <v>0.39</v>
      </c>
      <c r="AA41">
        <f>Table1[[#This Row],[t gain]]</f>
        <v>1.3900000000000001</v>
      </c>
      <c r="AB41">
        <f>Table1[[#This Row],[c kinetic trace]]* String2Single(CONCATENATE(LEFT(Single2String(Table1[[#This Row],[c gain]]), 6), "00")) + String2Single(CONCATENATE(LEFT(Single2String(Table1[[#This Row],[c bias]]), 6), "00"))</f>
        <v>0.3899993896484375</v>
      </c>
      <c r="AC41" t="str">
        <f xml:space="preserve"> Sng2String(Table1[[#This Row],[c ptrace]])</f>
        <v>3EC7AE00</v>
      </c>
      <c r="AD41">
        <f>MOD(Table1[[#This Row],[t inv sp mx idx]]+3, 2^4)</f>
        <v>10</v>
      </c>
      <c r="AE41" s="4" t="str">
        <f>DEC2HEX(Table1[[#This Row],[row]], 3)</f>
        <v>004</v>
      </c>
      <c r="AF41" s="2" t="str">
        <f>DEC2HEX(Table1[[#This Row],[col]], 3)</f>
        <v>016</v>
      </c>
      <c r="AG41" s="2" t="str">
        <f>DEC2HEX(Table1[[#This Row],[grn fsp idx]], 2)</f>
        <v>4F</v>
      </c>
      <c r="AH41" s="2" t="str">
        <f>DEC2HEX(Table1[[#This Row],[red fsp idx]], 2)</f>
        <v>B0</v>
      </c>
      <c r="AI41" s="2" t="str">
        <f xml:space="preserve"> LEFT(Sng2String(Table1[[#This Row],[t bias]]), 6)</f>
        <v>3EC7AE</v>
      </c>
      <c r="AJ41" s="2" t="str">
        <f xml:space="preserve"> LEFT(Sng2String(Table1[[#This Row],[t gain]]), 6)</f>
        <v>3FB1EB</v>
      </c>
      <c r="AK41" s="2" t="str">
        <f>DEC2HEX(Table1[[#This Row],[t inv sp mx idx]], 1)</f>
        <v>7</v>
      </c>
      <c r="AL41" s="2" t="str">
        <f xml:space="preserve"> LEFT(Sng2String(Table1[[#This Row],[g bias]]), 6)</f>
        <v>3F63D7</v>
      </c>
      <c r="AM41" s="2" t="str">
        <f xml:space="preserve"> LEFT(Sng2String(Table1[[#This Row],[g gain]]), 6)</f>
        <v>3F31EB</v>
      </c>
      <c r="AN41" s="2" t="str">
        <f>DEC2HEX(Table1[[#This Row],[g inv sp mx idx]], 1)</f>
        <v>8</v>
      </c>
      <c r="AO41" s="2" t="str">
        <f xml:space="preserve"> LEFT(Sng2String(Table1[[#This Row],[a bias]]), 6)</f>
        <v>3FB1EB</v>
      </c>
      <c r="AP41" s="2" t="str">
        <f xml:space="preserve"> LEFT(Sng2String(Table1[[#This Row],[a gain]]), 6)</f>
        <v>3F63D7</v>
      </c>
      <c r="AQ41" s="2" t="str">
        <f>DEC2HEX(Table1[[#This Row],[a inv sp mx idx]], 1)</f>
        <v>9</v>
      </c>
      <c r="AR41" s="2" t="str">
        <f xml:space="preserve"> LEFT(Sng2String(Table1[[#This Row],[c bias]]), 6)</f>
        <v>3EC7AE</v>
      </c>
      <c r="AS41" s="2" t="str">
        <f xml:space="preserve"> LEFT(Sng2String(Table1[[#This Row],[c gain]]), 6)</f>
        <v>3FB1EB</v>
      </c>
      <c r="AT41" s="2" t="str">
        <f>DEC2HEX(Table1[[#This Row],[c inv sp mx idx]], 1)</f>
        <v>A</v>
      </c>
      <c r="AU41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0040164FB03EC7AE3FB1EB73F63D73F31EB83FB1EB3F63D793EC7AE3FB1EBA02</v>
      </c>
      <c r="AV41" s="2">
        <f>LEN(Table1[[#This Row],[DRAM data]])</f>
        <v>64</v>
      </c>
    </row>
    <row r="42" spans="1:48" x14ac:dyDescent="0.25">
      <c r="A42">
        <v>40</v>
      </c>
      <c r="B42">
        <f>Table1[[#This Row],[ZMW num]]+1</f>
        <v>41</v>
      </c>
      <c r="C42">
        <v>4</v>
      </c>
      <c r="D42">
        <f t="shared" si="0"/>
        <v>25</v>
      </c>
      <c r="E42">
        <v>81</v>
      </c>
      <c r="F42">
        <v>174</v>
      </c>
      <c r="G42">
        <v>0</v>
      </c>
      <c r="H42">
        <f>Table1[[#This Row],[ZMW num]]*0.01</f>
        <v>0.4</v>
      </c>
      <c r="I42">
        <f>1+Table1[[#This Row],[t bias]]</f>
        <v>1.4</v>
      </c>
      <c r="J42">
        <f>Table1[[#This Row],[t kinetic trace]]* String2Single(CONCATENATE(LEFT(Single2String(Table1[[#This Row],[t gain]]), 6), "00")) + String2Single(CONCATENATE(LEFT(Single2String(Table1[[#This Row],[t bias]]), 6), "00"))</f>
        <v>0.399993896484375</v>
      </c>
      <c r="K42" t="str">
        <f>Sng2String(Table1[[#This Row],[t ptrace]])</f>
        <v>3ECCCC00</v>
      </c>
      <c r="L42">
        <f>MOD(Table1[[#This Row],[ZMW num]], 2^4)</f>
        <v>8</v>
      </c>
      <c r="M42">
        <v>0</v>
      </c>
      <c r="N42">
        <f>Table1[[#This Row],[t bias]]+0.5</f>
        <v>0.9</v>
      </c>
      <c r="O42">
        <f>Table1[[#This Row],[t gain]]/2</f>
        <v>0.7</v>
      </c>
      <c r="P42">
        <f>Table1[[#This Row],[g kinetic trace]] * String2Single(CONCATENATE(LEFT(Single2String(Table1[[#This Row],[g gain]]), 6), "00")) + String2Single(CONCATENATE(LEFT(Single2String(Table1[[#This Row],[g bias]]), 6), "00"))</f>
        <v>0.899993896484375</v>
      </c>
      <c r="Q42" t="str">
        <f xml:space="preserve"> Sng2String(Table1[[#This Row],[g ptrace]])</f>
        <v>3F666600</v>
      </c>
      <c r="R42">
        <f>MOD(Table1[[#This Row],[t inv sp mx idx]]+1, 2^4)</f>
        <v>9</v>
      </c>
      <c r="S42">
        <v>0</v>
      </c>
      <c r="T42">
        <f>Table1[[#This Row],[t bias]]+1</f>
        <v>1.4</v>
      </c>
      <c r="U42">
        <f>Table1[[#This Row],[t gain]]-0.5</f>
        <v>0.89999999999999991</v>
      </c>
      <c r="V42">
        <f>Table1[[#This Row],[a kinetic trace]] * String2Single(CONCATENATE(LEFT(Single2String(Table1[[#This Row],[a gain]]), 6), "00")) + String2Single(CONCATENATE(LEFT(Single2String(Table1[[#This Row],[a bias]]), 6), "00"))</f>
        <v>1.399993896484375</v>
      </c>
      <c r="W42" t="str">
        <f xml:space="preserve"> Sng2String(Table1[[#This Row],[a ptrace]])</f>
        <v>3FB33300</v>
      </c>
      <c r="X42">
        <f>MOD(Table1[[#This Row],[t inv sp mx idx]]+2, 2^4)</f>
        <v>10</v>
      </c>
      <c r="Y42">
        <v>0</v>
      </c>
      <c r="Z42">
        <f>Table1[[#This Row],[t bias]]</f>
        <v>0.4</v>
      </c>
      <c r="AA42">
        <f>Table1[[#This Row],[t gain]]</f>
        <v>1.4</v>
      </c>
      <c r="AB42">
        <f>Table1[[#This Row],[c kinetic trace]]* String2Single(CONCATENATE(LEFT(Single2String(Table1[[#This Row],[c gain]]), 6), "00")) + String2Single(CONCATENATE(LEFT(Single2String(Table1[[#This Row],[c bias]]), 6), "00"))</f>
        <v>0.399993896484375</v>
      </c>
      <c r="AC42" t="str">
        <f xml:space="preserve"> Sng2String(Table1[[#This Row],[c ptrace]])</f>
        <v>3ECCCC00</v>
      </c>
      <c r="AD42">
        <f>MOD(Table1[[#This Row],[t inv sp mx idx]]+3, 2^4)</f>
        <v>11</v>
      </c>
      <c r="AE42" s="4" t="str">
        <f>DEC2HEX(Table1[[#This Row],[row]], 3)</f>
        <v>004</v>
      </c>
      <c r="AF42" s="2" t="str">
        <f>DEC2HEX(Table1[[#This Row],[col]], 3)</f>
        <v>019</v>
      </c>
      <c r="AG42" s="2" t="str">
        <f>DEC2HEX(Table1[[#This Row],[grn fsp idx]], 2)</f>
        <v>51</v>
      </c>
      <c r="AH42" s="2" t="str">
        <f>DEC2HEX(Table1[[#This Row],[red fsp idx]], 2)</f>
        <v>AE</v>
      </c>
      <c r="AI42" s="2" t="str">
        <f xml:space="preserve"> LEFT(Sng2String(Table1[[#This Row],[t bias]]), 6)</f>
        <v>3ECCCC</v>
      </c>
      <c r="AJ42" s="2" t="str">
        <f xml:space="preserve"> LEFT(Sng2String(Table1[[#This Row],[t gain]]), 6)</f>
        <v>3FB333</v>
      </c>
      <c r="AK42" s="2" t="str">
        <f>DEC2HEX(Table1[[#This Row],[t inv sp mx idx]], 1)</f>
        <v>8</v>
      </c>
      <c r="AL42" s="2" t="str">
        <f xml:space="preserve"> LEFT(Sng2String(Table1[[#This Row],[g bias]]), 6)</f>
        <v>3F6666</v>
      </c>
      <c r="AM42" s="2" t="str">
        <f xml:space="preserve"> LEFT(Sng2String(Table1[[#This Row],[g gain]]), 6)</f>
        <v>3F3333</v>
      </c>
      <c r="AN42" s="2" t="str">
        <f>DEC2HEX(Table1[[#This Row],[g inv sp mx idx]], 1)</f>
        <v>9</v>
      </c>
      <c r="AO42" s="2" t="str">
        <f xml:space="preserve"> LEFT(Sng2String(Table1[[#This Row],[a bias]]), 6)</f>
        <v>3FB333</v>
      </c>
      <c r="AP42" s="2" t="str">
        <f xml:space="preserve"> LEFT(Sng2String(Table1[[#This Row],[a gain]]), 6)</f>
        <v>3F6666</v>
      </c>
      <c r="AQ42" s="2" t="str">
        <f>DEC2HEX(Table1[[#This Row],[a inv sp mx idx]], 1)</f>
        <v>A</v>
      </c>
      <c r="AR42" s="2" t="str">
        <f xml:space="preserve"> LEFT(Sng2String(Table1[[#This Row],[c bias]]), 6)</f>
        <v>3ECCCC</v>
      </c>
      <c r="AS42" s="2" t="str">
        <f xml:space="preserve"> LEFT(Sng2String(Table1[[#This Row],[c gain]]), 6)</f>
        <v>3FB333</v>
      </c>
      <c r="AT42" s="2" t="str">
        <f>DEC2HEX(Table1[[#This Row],[c inv sp mx idx]], 1)</f>
        <v>B</v>
      </c>
      <c r="AU42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00401951AE3ECCCC3FB33383F66663F333393FB3333F6666A3ECCCC3FB333B02</v>
      </c>
      <c r="AV42" s="2">
        <f>LEN(Table1[[#This Row],[DRAM data]])</f>
        <v>64</v>
      </c>
    </row>
    <row r="43" spans="1:48" x14ac:dyDescent="0.25">
      <c r="A43">
        <v>41</v>
      </c>
      <c r="B43">
        <f>Table1[[#This Row],[ZMW num]]+1</f>
        <v>42</v>
      </c>
      <c r="C43">
        <v>4</v>
      </c>
      <c r="D43">
        <f t="shared" si="0"/>
        <v>29</v>
      </c>
      <c r="E43">
        <v>83</v>
      </c>
      <c r="F43">
        <v>172</v>
      </c>
      <c r="G43">
        <v>0</v>
      </c>
      <c r="H43">
        <f>Table1[[#This Row],[ZMW num]]*0.01</f>
        <v>0.41000000000000003</v>
      </c>
      <c r="I43">
        <f>1+Table1[[#This Row],[t bias]]</f>
        <v>1.4100000000000001</v>
      </c>
      <c r="J43">
        <f>Table1[[#This Row],[t kinetic trace]]* String2Single(CONCATENATE(LEFT(Single2String(Table1[[#This Row],[t gain]]), 6), "00")) + String2Single(CONCATENATE(LEFT(Single2String(Table1[[#This Row],[t bias]]), 6), "00"))</f>
        <v>0.40999603271484375</v>
      </c>
      <c r="K43" t="str">
        <f>Sng2String(Table1[[#This Row],[t ptrace]])</f>
        <v>3ED1EB00</v>
      </c>
      <c r="L43">
        <f>MOD(Table1[[#This Row],[ZMW num]], 2^4)</f>
        <v>9</v>
      </c>
      <c r="M43">
        <v>0</v>
      </c>
      <c r="N43">
        <f>Table1[[#This Row],[t bias]]+0.5</f>
        <v>0.91</v>
      </c>
      <c r="O43">
        <f>Table1[[#This Row],[t gain]]/2</f>
        <v>0.70500000000000007</v>
      </c>
      <c r="P43">
        <f>Table1[[#This Row],[g kinetic trace]] * String2Single(CONCATENATE(LEFT(Single2String(Table1[[#This Row],[g gain]]), 6), "00")) + String2Single(CONCATENATE(LEFT(Single2String(Table1[[#This Row],[g bias]]), 6), "00"))</f>
        <v>0.9099884033203125</v>
      </c>
      <c r="Q43" t="str">
        <f xml:space="preserve"> Sng2String(Table1[[#This Row],[g ptrace]])</f>
        <v>3F68F500</v>
      </c>
      <c r="R43">
        <f>MOD(Table1[[#This Row],[t inv sp mx idx]]+1, 2^4)</f>
        <v>10</v>
      </c>
      <c r="S43">
        <v>0</v>
      </c>
      <c r="T43">
        <f>Table1[[#This Row],[t bias]]+1</f>
        <v>1.4100000000000001</v>
      </c>
      <c r="U43">
        <f>Table1[[#This Row],[t gain]]-0.5</f>
        <v>0.91000000000000014</v>
      </c>
      <c r="V43">
        <f>Table1[[#This Row],[a kinetic trace]] * String2Single(CONCATENATE(LEFT(Single2String(Table1[[#This Row],[a gain]]), 6), "00")) + String2Single(CONCATENATE(LEFT(Single2String(Table1[[#This Row],[a bias]]), 6), "00"))</f>
        <v>1.40997314453125</v>
      </c>
      <c r="W43" t="str">
        <f xml:space="preserve"> Sng2String(Table1[[#This Row],[a ptrace]])</f>
        <v>3FB47A00</v>
      </c>
      <c r="X43">
        <f>MOD(Table1[[#This Row],[t inv sp mx idx]]+2, 2^4)</f>
        <v>11</v>
      </c>
      <c r="Y43">
        <v>0</v>
      </c>
      <c r="Z43">
        <f>Table1[[#This Row],[t bias]]</f>
        <v>0.41000000000000003</v>
      </c>
      <c r="AA43">
        <f>Table1[[#This Row],[t gain]]</f>
        <v>1.4100000000000001</v>
      </c>
      <c r="AB43">
        <f>Table1[[#This Row],[c kinetic trace]]* String2Single(CONCATENATE(LEFT(Single2String(Table1[[#This Row],[c gain]]), 6), "00")) + String2Single(CONCATENATE(LEFT(Single2String(Table1[[#This Row],[c bias]]), 6), "00"))</f>
        <v>0.40999603271484375</v>
      </c>
      <c r="AC43" t="str">
        <f xml:space="preserve"> Sng2String(Table1[[#This Row],[c ptrace]])</f>
        <v>3ED1EB00</v>
      </c>
      <c r="AD43">
        <f>MOD(Table1[[#This Row],[t inv sp mx idx]]+3, 2^4)</f>
        <v>12</v>
      </c>
      <c r="AE43" s="4" t="str">
        <f>DEC2HEX(Table1[[#This Row],[row]], 3)</f>
        <v>004</v>
      </c>
      <c r="AF43" s="2" t="str">
        <f>DEC2HEX(Table1[[#This Row],[col]], 3)</f>
        <v>01D</v>
      </c>
      <c r="AG43" s="2" t="str">
        <f>DEC2HEX(Table1[[#This Row],[grn fsp idx]], 2)</f>
        <v>53</v>
      </c>
      <c r="AH43" s="2" t="str">
        <f>DEC2HEX(Table1[[#This Row],[red fsp idx]], 2)</f>
        <v>AC</v>
      </c>
      <c r="AI43" s="2" t="str">
        <f xml:space="preserve"> LEFT(Sng2String(Table1[[#This Row],[t bias]]), 6)</f>
        <v>3ED1EB</v>
      </c>
      <c r="AJ43" s="2" t="str">
        <f xml:space="preserve"> LEFT(Sng2String(Table1[[#This Row],[t gain]]), 6)</f>
        <v>3FB47A</v>
      </c>
      <c r="AK43" s="2" t="str">
        <f>DEC2HEX(Table1[[#This Row],[t inv sp mx idx]], 1)</f>
        <v>9</v>
      </c>
      <c r="AL43" s="2" t="str">
        <f xml:space="preserve"> LEFT(Sng2String(Table1[[#This Row],[g bias]]), 6)</f>
        <v>3F68F5</v>
      </c>
      <c r="AM43" s="2" t="str">
        <f xml:space="preserve"> LEFT(Sng2String(Table1[[#This Row],[g gain]]), 6)</f>
        <v>3F347A</v>
      </c>
      <c r="AN43" s="2" t="str">
        <f>DEC2HEX(Table1[[#This Row],[g inv sp mx idx]], 1)</f>
        <v>A</v>
      </c>
      <c r="AO43" s="2" t="str">
        <f xml:space="preserve"> LEFT(Sng2String(Table1[[#This Row],[a bias]]), 6)</f>
        <v>3FB47A</v>
      </c>
      <c r="AP43" s="2" t="str">
        <f xml:space="preserve"> LEFT(Sng2String(Table1[[#This Row],[a gain]]), 6)</f>
        <v>3F68F5</v>
      </c>
      <c r="AQ43" s="2" t="str">
        <f>DEC2HEX(Table1[[#This Row],[a inv sp mx idx]], 1)</f>
        <v>B</v>
      </c>
      <c r="AR43" s="2" t="str">
        <f xml:space="preserve"> LEFT(Sng2String(Table1[[#This Row],[c bias]]), 6)</f>
        <v>3ED1EB</v>
      </c>
      <c r="AS43" s="2" t="str">
        <f xml:space="preserve"> LEFT(Sng2String(Table1[[#This Row],[c gain]]), 6)</f>
        <v>3FB47A</v>
      </c>
      <c r="AT43" s="2" t="str">
        <f>DEC2HEX(Table1[[#This Row],[c inv sp mx idx]], 1)</f>
        <v>C</v>
      </c>
      <c r="AU43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00401D53AC3ED1EB3FB47A93F68F53F347AA3FB47A3F68F5B3ED1EB3FB47AC02</v>
      </c>
      <c r="AV43" s="2">
        <f>LEN(Table1[[#This Row],[DRAM data]])</f>
        <v>64</v>
      </c>
    </row>
    <row r="44" spans="1:48" x14ac:dyDescent="0.25">
      <c r="A44">
        <v>42</v>
      </c>
      <c r="B44">
        <f>Table1[[#This Row],[ZMW num]]+1</f>
        <v>43</v>
      </c>
      <c r="C44">
        <v>4</v>
      </c>
      <c r="D44">
        <f t="shared" si="0"/>
        <v>33</v>
      </c>
      <c r="E44">
        <v>85</v>
      </c>
      <c r="F44">
        <v>170</v>
      </c>
      <c r="G44">
        <v>0</v>
      </c>
      <c r="H44">
        <f>Table1[[#This Row],[ZMW num]]*0.01</f>
        <v>0.42</v>
      </c>
      <c r="I44">
        <f>1+Table1[[#This Row],[t bias]]</f>
        <v>1.42</v>
      </c>
      <c r="J44">
        <f>Table1[[#This Row],[t kinetic trace]]* String2Single(CONCATENATE(LEFT(Single2String(Table1[[#This Row],[t gain]]), 6), "00")) + String2Single(CONCATENATE(LEFT(Single2String(Table1[[#This Row],[t bias]]), 6), "00"))</f>
        <v>0.4199981689453125</v>
      </c>
      <c r="K44" t="str">
        <f>Sng2String(Table1[[#This Row],[t ptrace]])</f>
        <v>3ED70A00</v>
      </c>
      <c r="L44">
        <f>MOD(Table1[[#This Row],[ZMW num]], 2^4)</f>
        <v>10</v>
      </c>
      <c r="M44">
        <v>0</v>
      </c>
      <c r="N44">
        <f>Table1[[#This Row],[t bias]]+0.5</f>
        <v>0.91999999999999993</v>
      </c>
      <c r="O44">
        <f>Table1[[#This Row],[t gain]]/2</f>
        <v>0.71</v>
      </c>
      <c r="P44">
        <f>Table1[[#This Row],[g kinetic trace]] * String2Single(CONCATENATE(LEFT(Single2String(Table1[[#This Row],[g gain]]), 6), "00")) + String2Single(CONCATENATE(LEFT(Single2String(Table1[[#This Row],[g bias]]), 6), "00"))</f>
        <v>0.9199981689453125</v>
      </c>
      <c r="Q44" t="str">
        <f xml:space="preserve"> Sng2String(Table1[[#This Row],[g ptrace]])</f>
        <v>3F6B8500</v>
      </c>
      <c r="R44">
        <f>MOD(Table1[[#This Row],[t inv sp mx idx]]+1, 2^4)</f>
        <v>11</v>
      </c>
      <c r="S44">
        <v>0</v>
      </c>
      <c r="T44">
        <f>Table1[[#This Row],[t bias]]+1</f>
        <v>1.42</v>
      </c>
      <c r="U44">
        <f>Table1[[#This Row],[t gain]]-0.5</f>
        <v>0.91999999999999993</v>
      </c>
      <c r="V44">
        <f>Table1[[#This Row],[a kinetic trace]] * String2Single(CONCATENATE(LEFT(Single2String(Table1[[#This Row],[a gain]]), 6), "00")) + String2Single(CONCATENATE(LEFT(Single2String(Table1[[#This Row],[a bias]]), 6), "00"))</f>
        <v>1.41998291015625</v>
      </c>
      <c r="W44" t="str">
        <f xml:space="preserve"> Sng2String(Table1[[#This Row],[a ptrace]])</f>
        <v>3FB5C200</v>
      </c>
      <c r="X44">
        <f>MOD(Table1[[#This Row],[t inv sp mx idx]]+2, 2^4)</f>
        <v>12</v>
      </c>
      <c r="Y44">
        <v>0</v>
      </c>
      <c r="Z44">
        <f>Table1[[#This Row],[t bias]]</f>
        <v>0.42</v>
      </c>
      <c r="AA44">
        <f>Table1[[#This Row],[t gain]]</f>
        <v>1.42</v>
      </c>
      <c r="AB44">
        <f>Table1[[#This Row],[c kinetic trace]]* String2Single(CONCATENATE(LEFT(Single2String(Table1[[#This Row],[c gain]]), 6), "00")) + String2Single(CONCATENATE(LEFT(Single2String(Table1[[#This Row],[c bias]]), 6), "00"))</f>
        <v>0.4199981689453125</v>
      </c>
      <c r="AC44" t="str">
        <f xml:space="preserve"> Sng2String(Table1[[#This Row],[c ptrace]])</f>
        <v>3ED70A00</v>
      </c>
      <c r="AD44">
        <f>MOD(Table1[[#This Row],[t inv sp mx idx]]+3, 2^4)</f>
        <v>13</v>
      </c>
      <c r="AE44" s="4" t="str">
        <f>DEC2HEX(Table1[[#This Row],[row]], 3)</f>
        <v>004</v>
      </c>
      <c r="AF44" s="2" t="str">
        <f>DEC2HEX(Table1[[#This Row],[col]], 3)</f>
        <v>021</v>
      </c>
      <c r="AG44" s="2" t="str">
        <f>DEC2HEX(Table1[[#This Row],[grn fsp idx]], 2)</f>
        <v>55</v>
      </c>
      <c r="AH44" s="2" t="str">
        <f>DEC2HEX(Table1[[#This Row],[red fsp idx]], 2)</f>
        <v>AA</v>
      </c>
      <c r="AI44" s="2" t="str">
        <f xml:space="preserve"> LEFT(Sng2String(Table1[[#This Row],[t bias]]), 6)</f>
        <v>3ED70A</v>
      </c>
      <c r="AJ44" s="2" t="str">
        <f xml:space="preserve"> LEFT(Sng2String(Table1[[#This Row],[t gain]]), 6)</f>
        <v>3FB5C2</v>
      </c>
      <c r="AK44" s="2" t="str">
        <f>DEC2HEX(Table1[[#This Row],[t inv sp mx idx]], 1)</f>
        <v>A</v>
      </c>
      <c r="AL44" s="2" t="str">
        <f xml:space="preserve"> LEFT(Sng2String(Table1[[#This Row],[g bias]]), 6)</f>
        <v>3F6B85</v>
      </c>
      <c r="AM44" s="2" t="str">
        <f xml:space="preserve"> LEFT(Sng2String(Table1[[#This Row],[g gain]]), 6)</f>
        <v>3F35C2</v>
      </c>
      <c r="AN44" s="2" t="str">
        <f>DEC2HEX(Table1[[#This Row],[g inv sp mx idx]], 1)</f>
        <v>B</v>
      </c>
      <c r="AO44" s="2" t="str">
        <f xml:space="preserve"> LEFT(Sng2String(Table1[[#This Row],[a bias]]), 6)</f>
        <v>3FB5C2</v>
      </c>
      <c r="AP44" s="2" t="str">
        <f xml:space="preserve"> LEFT(Sng2String(Table1[[#This Row],[a gain]]), 6)</f>
        <v>3F6B85</v>
      </c>
      <c r="AQ44" s="2" t="str">
        <f>DEC2HEX(Table1[[#This Row],[a inv sp mx idx]], 1)</f>
        <v>C</v>
      </c>
      <c r="AR44" s="2" t="str">
        <f xml:space="preserve"> LEFT(Sng2String(Table1[[#This Row],[c bias]]), 6)</f>
        <v>3ED70A</v>
      </c>
      <c r="AS44" s="2" t="str">
        <f xml:space="preserve"> LEFT(Sng2String(Table1[[#This Row],[c gain]]), 6)</f>
        <v>3FB5C2</v>
      </c>
      <c r="AT44" s="2" t="str">
        <f>DEC2HEX(Table1[[#This Row],[c inv sp mx idx]], 1)</f>
        <v>D</v>
      </c>
      <c r="AU44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00402155AA3ED70A3FB5C2A3F6B853F35C2B3FB5C23F6B85C3ED70A3FB5C2D02</v>
      </c>
      <c r="AV44" s="2">
        <f>LEN(Table1[[#This Row],[DRAM data]])</f>
        <v>64</v>
      </c>
    </row>
    <row r="45" spans="1:48" x14ac:dyDescent="0.25">
      <c r="A45">
        <v>43</v>
      </c>
      <c r="B45">
        <f>Table1[[#This Row],[ZMW num]]+1</f>
        <v>44</v>
      </c>
      <c r="C45">
        <v>4</v>
      </c>
      <c r="D45">
        <f t="shared" si="0"/>
        <v>36</v>
      </c>
      <c r="E45">
        <v>87</v>
      </c>
      <c r="F45">
        <v>168</v>
      </c>
      <c r="G45">
        <v>0</v>
      </c>
      <c r="H45">
        <f>Table1[[#This Row],[ZMW num]]*0.01</f>
        <v>0.43</v>
      </c>
      <c r="I45">
        <f>1+Table1[[#This Row],[t bias]]</f>
        <v>1.43</v>
      </c>
      <c r="J45">
        <f>Table1[[#This Row],[t kinetic trace]]* String2Single(CONCATENATE(LEFT(Single2String(Table1[[#This Row],[t gain]]), 6), "00")) + String2Single(CONCATENATE(LEFT(Single2String(Table1[[#This Row],[t bias]]), 6), "00"))</f>
        <v>0.42999267578125</v>
      </c>
      <c r="K45" t="str">
        <f>Sng2String(Table1[[#This Row],[t ptrace]])</f>
        <v>3EDC2800</v>
      </c>
      <c r="L45">
        <f>MOD(Table1[[#This Row],[ZMW num]], 2^4)</f>
        <v>11</v>
      </c>
      <c r="M45">
        <v>0</v>
      </c>
      <c r="N45">
        <f>Table1[[#This Row],[t bias]]+0.5</f>
        <v>0.92999999999999994</v>
      </c>
      <c r="O45">
        <f>Table1[[#This Row],[t gain]]/2</f>
        <v>0.71499999999999997</v>
      </c>
      <c r="P45">
        <f>Table1[[#This Row],[g kinetic trace]] * String2Single(CONCATENATE(LEFT(Single2String(Table1[[#This Row],[g gain]]), 6), "00")) + String2Single(CONCATENATE(LEFT(Single2String(Table1[[#This Row],[g bias]]), 6), "00"))</f>
        <v>0.92999267578125</v>
      </c>
      <c r="Q45" t="str">
        <f xml:space="preserve"> Sng2String(Table1[[#This Row],[g ptrace]])</f>
        <v>3F6E1400</v>
      </c>
      <c r="R45">
        <f>MOD(Table1[[#This Row],[t inv sp mx idx]]+1, 2^4)</f>
        <v>12</v>
      </c>
      <c r="S45">
        <v>0</v>
      </c>
      <c r="T45">
        <f>Table1[[#This Row],[t bias]]+1</f>
        <v>1.43</v>
      </c>
      <c r="U45">
        <f>Table1[[#This Row],[t gain]]-0.5</f>
        <v>0.92999999999999994</v>
      </c>
      <c r="V45">
        <f>Table1[[#This Row],[a kinetic trace]] * String2Single(CONCATENATE(LEFT(Single2String(Table1[[#This Row],[a gain]]), 6), "00")) + String2Single(CONCATENATE(LEFT(Single2String(Table1[[#This Row],[a bias]]), 6), "00"))</f>
        <v>1.42999267578125</v>
      </c>
      <c r="W45" t="str">
        <f xml:space="preserve"> Sng2String(Table1[[#This Row],[a ptrace]])</f>
        <v>3FB70A00</v>
      </c>
      <c r="X45">
        <f>MOD(Table1[[#This Row],[t inv sp mx idx]]+2, 2^4)</f>
        <v>13</v>
      </c>
      <c r="Y45">
        <v>0</v>
      </c>
      <c r="Z45">
        <f>Table1[[#This Row],[t bias]]</f>
        <v>0.43</v>
      </c>
      <c r="AA45">
        <f>Table1[[#This Row],[t gain]]</f>
        <v>1.43</v>
      </c>
      <c r="AB45">
        <f>Table1[[#This Row],[c kinetic trace]]* String2Single(CONCATENATE(LEFT(Single2String(Table1[[#This Row],[c gain]]), 6), "00")) + String2Single(CONCATENATE(LEFT(Single2String(Table1[[#This Row],[c bias]]), 6), "00"))</f>
        <v>0.42999267578125</v>
      </c>
      <c r="AC45" t="str">
        <f xml:space="preserve"> Sng2String(Table1[[#This Row],[c ptrace]])</f>
        <v>3EDC2800</v>
      </c>
      <c r="AD45">
        <f>MOD(Table1[[#This Row],[t inv sp mx idx]]+3, 2^4)</f>
        <v>14</v>
      </c>
      <c r="AE45" s="4" t="str">
        <f>DEC2HEX(Table1[[#This Row],[row]], 3)</f>
        <v>004</v>
      </c>
      <c r="AF45" s="2" t="str">
        <f>DEC2HEX(Table1[[#This Row],[col]], 3)</f>
        <v>024</v>
      </c>
      <c r="AG45" s="2" t="str">
        <f>DEC2HEX(Table1[[#This Row],[grn fsp idx]], 2)</f>
        <v>57</v>
      </c>
      <c r="AH45" s="2" t="str">
        <f>DEC2HEX(Table1[[#This Row],[red fsp idx]], 2)</f>
        <v>A8</v>
      </c>
      <c r="AI45" s="2" t="str">
        <f xml:space="preserve"> LEFT(Sng2String(Table1[[#This Row],[t bias]]), 6)</f>
        <v>3EDC28</v>
      </c>
      <c r="AJ45" s="2" t="str">
        <f xml:space="preserve"> LEFT(Sng2String(Table1[[#This Row],[t gain]]), 6)</f>
        <v>3FB70A</v>
      </c>
      <c r="AK45" s="2" t="str">
        <f>DEC2HEX(Table1[[#This Row],[t inv sp mx idx]], 1)</f>
        <v>B</v>
      </c>
      <c r="AL45" s="2" t="str">
        <f xml:space="preserve"> LEFT(Sng2String(Table1[[#This Row],[g bias]]), 6)</f>
        <v>3F6E14</v>
      </c>
      <c r="AM45" s="2" t="str">
        <f xml:space="preserve"> LEFT(Sng2String(Table1[[#This Row],[g gain]]), 6)</f>
        <v>3F370A</v>
      </c>
      <c r="AN45" s="2" t="str">
        <f>DEC2HEX(Table1[[#This Row],[g inv sp mx idx]], 1)</f>
        <v>C</v>
      </c>
      <c r="AO45" s="2" t="str">
        <f xml:space="preserve"> LEFT(Sng2String(Table1[[#This Row],[a bias]]), 6)</f>
        <v>3FB70A</v>
      </c>
      <c r="AP45" s="2" t="str">
        <f xml:space="preserve"> LEFT(Sng2String(Table1[[#This Row],[a gain]]), 6)</f>
        <v>3F6E14</v>
      </c>
      <c r="AQ45" s="2" t="str">
        <f>DEC2HEX(Table1[[#This Row],[a inv sp mx idx]], 1)</f>
        <v>D</v>
      </c>
      <c r="AR45" s="2" t="str">
        <f xml:space="preserve"> LEFT(Sng2String(Table1[[#This Row],[c bias]]), 6)</f>
        <v>3EDC28</v>
      </c>
      <c r="AS45" s="2" t="str">
        <f xml:space="preserve"> LEFT(Sng2String(Table1[[#This Row],[c gain]]), 6)</f>
        <v>3FB70A</v>
      </c>
      <c r="AT45" s="2" t="str">
        <f>DEC2HEX(Table1[[#This Row],[c inv sp mx idx]], 1)</f>
        <v>E</v>
      </c>
      <c r="AU45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00402457A83EDC283FB70AB3F6E143F370AC3FB70A3F6E14D3EDC283FB70AE02</v>
      </c>
      <c r="AV45" s="2">
        <f>LEN(Table1[[#This Row],[DRAM data]])</f>
        <v>64</v>
      </c>
    </row>
    <row r="46" spans="1:48" x14ac:dyDescent="0.25">
      <c r="A46">
        <v>44</v>
      </c>
      <c r="B46">
        <f>Table1[[#This Row],[ZMW num]]+1</f>
        <v>45</v>
      </c>
      <c r="C46">
        <v>4</v>
      </c>
      <c r="D46">
        <f t="shared" si="0"/>
        <v>41</v>
      </c>
      <c r="E46">
        <v>89</v>
      </c>
      <c r="F46">
        <v>166</v>
      </c>
      <c r="G46">
        <v>0</v>
      </c>
      <c r="H46">
        <f>Table1[[#This Row],[ZMW num]]*0.01</f>
        <v>0.44</v>
      </c>
      <c r="I46">
        <f>1+Table1[[#This Row],[t bias]]</f>
        <v>1.44</v>
      </c>
      <c r="J46">
        <f>Table1[[#This Row],[t kinetic trace]]* String2Single(CONCATENATE(LEFT(Single2String(Table1[[#This Row],[t gain]]), 6), "00")) + String2Single(CONCATENATE(LEFT(Single2String(Table1[[#This Row],[t bias]]), 6), "00"))</f>
        <v>0.43999481201171875</v>
      </c>
      <c r="K46" t="str">
        <f>Sng2String(Table1[[#This Row],[t ptrace]])</f>
        <v>3EE14700</v>
      </c>
      <c r="L46">
        <f>MOD(Table1[[#This Row],[ZMW num]], 2^4)</f>
        <v>12</v>
      </c>
      <c r="M46">
        <v>0</v>
      </c>
      <c r="N46">
        <f>Table1[[#This Row],[t bias]]+0.5</f>
        <v>0.94</v>
      </c>
      <c r="O46">
        <f>Table1[[#This Row],[t gain]]/2</f>
        <v>0.72</v>
      </c>
      <c r="P46">
        <f>Table1[[#This Row],[g kinetic trace]] * String2Single(CONCATENATE(LEFT(Single2String(Table1[[#This Row],[g gain]]), 6), "00")) + String2Single(CONCATENATE(LEFT(Single2String(Table1[[#This Row],[g bias]]), 6), "00"))</f>
        <v>0.9399871826171875</v>
      </c>
      <c r="Q46" t="str">
        <f xml:space="preserve"> Sng2String(Table1[[#This Row],[g ptrace]])</f>
        <v>3F70A300</v>
      </c>
      <c r="R46">
        <f>MOD(Table1[[#This Row],[t inv sp mx idx]]+1, 2^4)</f>
        <v>13</v>
      </c>
      <c r="S46">
        <v>0</v>
      </c>
      <c r="T46">
        <f>Table1[[#This Row],[t bias]]+1</f>
        <v>1.44</v>
      </c>
      <c r="U46">
        <f>Table1[[#This Row],[t gain]]-0.5</f>
        <v>0.94</v>
      </c>
      <c r="V46">
        <f>Table1[[#This Row],[a kinetic trace]] * String2Single(CONCATENATE(LEFT(Single2String(Table1[[#This Row],[a gain]]), 6), "00")) + String2Single(CONCATENATE(LEFT(Single2String(Table1[[#This Row],[a bias]]), 6), "00"))</f>
        <v>1.439971923828125</v>
      </c>
      <c r="W46" t="str">
        <f xml:space="preserve"> Sng2String(Table1[[#This Row],[a ptrace]])</f>
        <v>3FB85100</v>
      </c>
      <c r="X46">
        <f>MOD(Table1[[#This Row],[t inv sp mx idx]]+2, 2^4)</f>
        <v>14</v>
      </c>
      <c r="Y46">
        <v>0</v>
      </c>
      <c r="Z46">
        <f>Table1[[#This Row],[t bias]]</f>
        <v>0.44</v>
      </c>
      <c r="AA46">
        <f>Table1[[#This Row],[t gain]]</f>
        <v>1.44</v>
      </c>
      <c r="AB46">
        <f>Table1[[#This Row],[c kinetic trace]]* String2Single(CONCATENATE(LEFT(Single2String(Table1[[#This Row],[c gain]]), 6), "00")) + String2Single(CONCATENATE(LEFT(Single2String(Table1[[#This Row],[c bias]]), 6), "00"))</f>
        <v>0.43999481201171875</v>
      </c>
      <c r="AC46" t="str">
        <f xml:space="preserve"> Sng2String(Table1[[#This Row],[c ptrace]])</f>
        <v>3EE14700</v>
      </c>
      <c r="AD46">
        <f>MOD(Table1[[#This Row],[t inv sp mx idx]]+3, 2^4)</f>
        <v>15</v>
      </c>
      <c r="AE46" s="4" t="str">
        <f>DEC2HEX(Table1[[#This Row],[row]], 3)</f>
        <v>004</v>
      </c>
      <c r="AF46" s="2" t="str">
        <f>DEC2HEX(Table1[[#This Row],[col]], 3)</f>
        <v>029</v>
      </c>
      <c r="AG46" s="2" t="str">
        <f>DEC2HEX(Table1[[#This Row],[grn fsp idx]], 2)</f>
        <v>59</v>
      </c>
      <c r="AH46" s="2" t="str">
        <f>DEC2HEX(Table1[[#This Row],[red fsp idx]], 2)</f>
        <v>A6</v>
      </c>
      <c r="AI46" s="2" t="str">
        <f xml:space="preserve"> LEFT(Sng2String(Table1[[#This Row],[t bias]]), 6)</f>
        <v>3EE147</v>
      </c>
      <c r="AJ46" s="2" t="str">
        <f xml:space="preserve"> LEFT(Sng2String(Table1[[#This Row],[t gain]]), 6)</f>
        <v>3FB851</v>
      </c>
      <c r="AK46" s="2" t="str">
        <f>DEC2HEX(Table1[[#This Row],[t inv sp mx idx]], 1)</f>
        <v>C</v>
      </c>
      <c r="AL46" s="2" t="str">
        <f xml:space="preserve"> LEFT(Sng2String(Table1[[#This Row],[g bias]]), 6)</f>
        <v>3F70A3</v>
      </c>
      <c r="AM46" s="2" t="str">
        <f xml:space="preserve"> LEFT(Sng2String(Table1[[#This Row],[g gain]]), 6)</f>
        <v>3F3851</v>
      </c>
      <c r="AN46" s="2" t="str">
        <f>DEC2HEX(Table1[[#This Row],[g inv sp mx idx]], 1)</f>
        <v>D</v>
      </c>
      <c r="AO46" s="2" t="str">
        <f xml:space="preserve"> LEFT(Sng2String(Table1[[#This Row],[a bias]]), 6)</f>
        <v>3FB851</v>
      </c>
      <c r="AP46" s="2" t="str">
        <f xml:space="preserve"> LEFT(Sng2String(Table1[[#This Row],[a gain]]), 6)</f>
        <v>3F70A3</v>
      </c>
      <c r="AQ46" s="2" t="str">
        <f>DEC2HEX(Table1[[#This Row],[a inv sp mx idx]], 1)</f>
        <v>E</v>
      </c>
      <c r="AR46" s="2" t="str">
        <f xml:space="preserve"> LEFT(Sng2String(Table1[[#This Row],[c bias]]), 6)</f>
        <v>3EE147</v>
      </c>
      <c r="AS46" s="2" t="str">
        <f xml:space="preserve"> LEFT(Sng2String(Table1[[#This Row],[c gain]]), 6)</f>
        <v>3FB851</v>
      </c>
      <c r="AT46" s="2" t="str">
        <f>DEC2HEX(Table1[[#This Row],[c inv sp mx idx]], 1)</f>
        <v>F</v>
      </c>
      <c r="AU46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00402959A63EE1473FB851C3F70A33F3851D3FB8513F70A3E3EE1473FB851F02</v>
      </c>
      <c r="AV46" s="2">
        <f>LEN(Table1[[#This Row],[DRAM data]])</f>
        <v>64</v>
      </c>
    </row>
    <row r="47" spans="1:48" x14ac:dyDescent="0.25">
      <c r="A47">
        <v>45</v>
      </c>
      <c r="B47">
        <f>Table1[[#This Row],[ZMW num]]+1</f>
        <v>46</v>
      </c>
      <c r="C47">
        <v>4</v>
      </c>
      <c r="D47">
        <f t="shared" si="0"/>
        <v>45</v>
      </c>
      <c r="E47">
        <v>91</v>
      </c>
      <c r="F47">
        <v>164</v>
      </c>
      <c r="G47">
        <v>0</v>
      </c>
      <c r="H47">
        <f>Table1[[#This Row],[ZMW num]]*0.01</f>
        <v>0.45</v>
      </c>
      <c r="I47">
        <f>1+Table1[[#This Row],[t bias]]</f>
        <v>1.45</v>
      </c>
      <c r="J47">
        <f>Table1[[#This Row],[t kinetic trace]]* String2Single(CONCATENATE(LEFT(Single2String(Table1[[#This Row],[t gain]]), 6), "00")) + String2Single(CONCATENATE(LEFT(Single2String(Table1[[#This Row],[t bias]]), 6), "00"))</f>
        <v>0.4499969482421875</v>
      </c>
      <c r="K47" t="str">
        <f>Sng2String(Table1[[#This Row],[t ptrace]])</f>
        <v>3EE66600</v>
      </c>
      <c r="L47">
        <f>MOD(Table1[[#This Row],[ZMW num]], 2^4)</f>
        <v>13</v>
      </c>
      <c r="M47">
        <v>0</v>
      </c>
      <c r="N47">
        <f>Table1[[#This Row],[t bias]]+0.5</f>
        <v>0.95</v>
      </c>
      <c r="O47">
        <f>Table1[[#This Row],[t gain]]/2</f>
        <v>0.72499999999999998</v>
      </c>
      <c r="P47">
        <f>Table1[[#This Row],[g kinetic trace]] * String2Single(CONCATENATE(LEFT(Single2String(Table1[[#This Row],[g gain]]), 6), "00")) + String2Single(CONCATENATE(LEFT(Single2String(Table1[[#This Row],[g bias]]), 6), "00"))</f>
        <v>0.9499969482421875</v>
      </c>
      <c r="Q47" t="str">
        <f xml:space="preserve"> Sng2String(Table1[[#This Row],[g ptrace]])</f>
        <v>3F733300</v>
      </c>
      <c r="R47">
        <f>MOD(Table1[[#This Row],[t inv sp mx idx]]+1, 2^4)</f>
        <v>14</v>
      </c>
      <c r="S47">
        <v>0</v>
      </c>
      <c r="T47">
        <f>Table1[[#This Row],[t bias]]+1</f>
        <v>1.45</v>
      </c>
      <c r="U47">
        <f>Table1[[#This Row],[t gain]]-0.5</f>
        <v>0.95</v>
      </c>
      <c r="V47">
        <f>Table1[[#This Row],[a kinetic trace]] * String2Single(CONCATENATE(LEFT(Single2String(Table1[[#This Row],[a gain]]), 6), "00")) + String2Single(CONCATENATE(LEFT(Single2String(Table1[[#This Row],[a bias]]), 6), "00"))</f>
        <v>1.449981689453125</v>
      </c>
      <c r="W47" t="str">
        <f xml:space="preserve"> Sng2String(Table1[[#This Row],[a ptrace]])</f>
        <v>3FB99900</v>
      </c>
      <c r="X47">
        <f>MOD(Table1[[#This Row],[t inv sp mx idx]]+2, 2^4)</f>
        <v>15</v>
      </c>
      <c r="Y47">
        <v>0</v>
      </c>
      <c r="Z47">
        <f>Table1[[#This Row],[t bias]]</f>
        <v>0.45</v>
      </c>
      <c r="AA47">
        <f>Table1[[#This Row],[t gain]]</f>
        <v>1.45</v>
      </c>
      <c r="AB47">
        <f>Table1[[#This Row],[c kinetic trace]]* String2Single(CONCATENATE(LEFT(Single2String(Table1[[#This Row],[c gain]]), 6), "00")) + String2Single(CONCATENATE(LEFT(Single2String(Table1[[#This Row],[c bias]]), 6), "00"))</f>
        <v>0.4499969482421875</v>
      </c>
      <c r="AC47" t="str">
        <f xml:space="preserve"> Sng2String(Table1[[#This Row],[c ptrace]])</f>
        <v>3EE66600</v>
      </c>
      <c r="AD47">
        <f>MOD(Table1[[#This Row],[t inv sp mx idx]]+3, 2^4)</f>
        <v>0</v>
      </c>
      <c r="AE47" s="4" t="str">
        <f>DEC2HEX(Table1[[#This Row],[row]], 3)</f>
        <v>004</v>
      </c>
      <c r="AF47" s="2" t="str">
        <f>DEC2HEX(Table1[[#This Row],[col]], 3)</f>
        <v>02D</v>
      </c>
      <c r="AG47" s="2" t="str">
        <f>DEC2HEX(Table1[[#This Row],[grn fsp idx]], 2)</f>
        <v>5B</v>
      </c>
      <c r="AH47" s="2" t="str">
        <f>DEC2HEX(Table1[[#This Row],[red fsp idx]], 2)</f>
        <v>A4</v>
      </c>
      <c r="AI47" s="2" t="str">
        <f xml:space="preserve"> LEFT(Sng2String(Table1[[#This Row],[t bias]]), 6)</f>
        <v>3EE666</v>
      </c>
      <c r="AJ47" s="2" t="str">
        <f xml:space="preserve"> LEFT(Sng2String(Table1[[#This Row],[t gain]]), 6)</f>
        <v>3FB999</v>
      </c>
      <c r="AK47" s="2" t="str">
        <f>DEC2HEX(Table1[[#This Row],[t inv sp mx idx]], 1)</f>
        <v>D</v>
      </c>
      <c r="AL47" s="2" t="str">
        <f xml:space="preserve"> LEFT(Sng2String(Table1[[#This Row],[g bias]]), 6)</f>
        <v>3F7333</v>
      </c>
      <c r="AM47" s="2" t="str">
        <f xml:space="preserve"> LEFT(Sng2String(Table1[[#This Row],[g gain]]), 6)</f>
        <v>3F3999</v>
      </c>
      <c r="AN47" s="2" t="str">
        <f>DEC2HEX(Table1[[#This Row],[g inv sp mx idx]], 1)</f>
        <v>E</v>
      </c>
      <c r="AO47" s="2" t="str">
        <f xml:space="preserve"> LEFT(Sng2String(Table1[[#This Row],[a bias]]), 6)</f>
        <v>3FB999</v>
      </c>
      <c r="AP47" s="2" t="str">
        <f xml:space="preserve"> LEFT(Sng2String(Table1[[#This Row],[a gain]]), 6)</f>
        <v>3F7333</v>
      </c>
      <c r="AQ47" s="2" t="str">
        <f>DEC2HEX(Table1[[#This Row],[a inv sp mx idx]], 1)</f>
        <v>F</v>
      </c>
      <c r="AR47" s="2" t="str">
        <f xml:space="preserve"> LEFT(Sng2String(Table1[[#This Row],[c bias]]), 6)</f>
        <v>3EE666</v>
      </c>
      <c r="AS47" s="2" t="str">
        <f xml:space="preserve"> LEFT(Sng2String(Table1[[#This Row],[c gain]]), 6)</f>
        <v>3FB999</v>
      </c>
      <c r="AT47" s="2" t="str">
        <f>DEC2HEX(Table1[[#This Row],[c inv sp mx idx]], 1)</f>
        <v>0</v>
      </c>
      <c r="AU47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00402D5BA43EE6663FB999D3F73333F3999E3FB9993F7333F3EE6663FB999002</v>
      </c>
      <c r="AV47" s="2">
        <f>LEN(Table1[[#This Row],[DRAM data]])</f>
        <v>64</v>
      </c>
    </row>
    <row r="48" spans="1:48" x14ac:dyDescent="0.25">
      <c r="A48">
        <v>46</v>
      </c>
      <c r="B48">
        <f>Table1[[#This Row],[ZMW num]]+1</f>
        <v>47</v>
      </c>
      <c r="C48">
        <v>4</v>
      </c>
      <c r="D48">
        <f t="shared" si="0"/>
        <v>46</v>
      </c>
      <c r="E48">
        <v>93</v>
      </c>
      <c r="F48">
        <v>162</v>
      </c>
      <c r="G48">
        <v>0</v>
      </c>
      <c r="H48">
        <f>Table1[[#This Row],[ZMW num]]*0.01</f>
        <v>0.46</v>
      </c>
      <c r="I48">
        <f>1+Table1[[#This Row],[t bias]]</f>
        <v>1.46</v>
      </c>
      <c r="J48">
        <f>Table1[[#This Row],[t kinetic trace]]* String2Single(CONCATENATE(LEFT(Single2String(Table1[[#This Row],[t gain]]), 6), "00")) + String2Single(CONCATENATE(LEFT(Single2String(Table1[[#This Row],[t bias]]), 6), "00"))</f>
        <v>0.45999908447265625</v>
      </c>
      <c r="K48" t="str">
        <f>Sng2String(Table1[[#This Row],[t ptrace]])</f>
        <v>3EEB8500</v>
      </c>
      <c r="L48">
        <f>MOD(Table1[[#This Row],[ZMW num]], 2^4)</f>
        <v>14</v>
      </c>
      <c r="M48">
        <v>0</v>
      </c>
      <c r="N48">
        <f>Table1[[#This Row],[t bias]]+0.5</f>
        <v>0.96</v>
      </c>
      <c r="O48">
        <f>Table1[[#This Row],[t gain]]/2</f>
        <v>0.73</v>
      </c>
      <c r="P48">
        <f>Table1[[#This Row],[g kinetic trace]] * String2Single(CONCATENATE(LEFT(Single2String(Table1[[#This Row],[g gain]]), 6), "00")) + String2Single(CONCATENATE(LEFT(Single2String(Table1[[#This Row],[g bias]]), 6), "00"))</f>
        <v>0.959991455078125</v>
      </c>
      <c r="Q48" t="str">
        <f xml:space="preserve"> Sng2String(Table1[[#This Row],[g ptrace]])</f>
        <v>3F75C200</v>
      </c>
      <c r="R48">
        <f>MOD(Table1[[#This Row],[t inv sp mx idx]]+1, 2^4)</f>
        <v>15</v>
      </c>
      <c r="S48">
        <v>0</v>
      </c>
      <c r="T48">
        <f>Table1[[#This Row],[t bias]]+1</f>
        <v>1.46</v>
      </c>
      <c r="U48">
        <f>Table1[[#This Row],[t gain]]-0.5</f>
        <v>0.96</v>
      </c>
      <c r="V48">
        <f>Table1[[#This Row],[a kinetic trace]] * String2Single(CONCATENATE(LEFT(Single2String(Table1[[#This Row],[a gain]]), 6), "00")) + String2Single(CONCATENATE(LEFT(Single2String(Table1[[#This Row],[a bias]]), 6), "00"))</f>
        <v>1.459991455078125</v>
      </c>
      <c r="W48" t="str">
        <f xml:space="preserve"> Sng2String(Table1[[#This Row],[a ptrace]])</f>
        <v>3FBAE100</v>
      </c>
      <c r="X48">
        <f>MOD(Table1[[#This Row],[t inv sp mx idx]]+2, 2^4)</f>
        <v>0</v>
      </c>
      <c r="Y48">
        <v>0</v>
      </c>
      <c r="Z48">
        <f>Table1[[#This Row],[t bias]]</f>
        <v>0.46</v>
      </c>
      <c r="AA48">
        <f>Table1[[#This Row],[t gain]]</f>
        <v>1.46</v>
      </c>
      <c r="AB48">
        <f>Table1[[#This Row],[c kinetic trace]]* String2Single(CONCATENATE(LEFT(Single2String(Table1[[#This Row],[c gain]]), 6), "00")) + String2Single(CONCATENATE(LEFT(Single2String(Table1[[#This Row],[c bias]]), 6), "00"))</f>
        <v>0.45999908447265625</v>
      </c>
      <c r="AC48" t="str">
        <f xml:space="preserve"> Sng2String(Table1[[#This Row],[c ptrace]])</f>
        <v>3EEB8500</v>
      </c>
      <c r="AD48">
        <f>MOD(Table1[[#This Row],[t inv sp mx idx]]+3, 2^4)</f>
        <v>1</v>
      </c>
      <c r="AE48" s="4" t="str">
        <f>DEC2HEX(Table1[[#This Row],[row]], 3)</f>
        <v>004</v>
      </c>
      <c r="AF48" s="2" t="str">
        <f>DEC2HEX(Table1[[#This Row],[col]], 3)</f>
        <v>02E</v>
      </c>
      <c r="AG48" s="2" t="str">
        <f>DEC2HEX(Table1[[#This Row],[grn fsp idx]], 2)</f>
        <v>5D</v>
      </c>
      <c r="AH48" s="2" t="str">
        <f>DEC2HEX(Table1[[#This Row],[red fsp idx]], 2)</f>
        <v>A2</v>
      </c>
      <c r="AI48" s="2" t="str">
        <f xml:space="preserve"> LEFT(Sng2String(Table1[[#This Row],[t bias]]), 6)</f>
        <v>3EEB85</v>
      </c>
      <c r="AJ48" s="2" t="str">
        <f xml:space="preserve"> LEFT(Sng2String(Table1[[#This Row],[t gain]]), 6)</f>
        <v>3FBAE1</v>
      </c>
      <c r="AK48" s="2" t="str">
        <f>DEC2HEX(Table1[[#This Row],[t inv sp mx idx]], 1)</f>
        <v>E</v>
      </c>
      <c r="AL48" s="2" t="str">
        <f xml:space="preserve"> LEFT(Sng2String(Table1[[#This Row],[g bias]]), 6)</f>
        <v>3F75C2</v>
      </c>
      <c r="AM48" s="2" t="str">
        <f xml:space="preserve"> LEFT(Sng2String(Table1[[#This Row],[g gain]]), 6)</f>
        <v>3F3AE1</v>
      </c>
      <c r="AN48" s="2" t="str">
        <f>DEC2HEX(Table1[[#This Row],[g inv sp mx idx]], 1)</f>
        <v>F</v>
      </c>
      <c r="AO48" s="2" t="str">
        <f xml:space="preserve"> LEFT(Sng2String(Table1[[#This Row],[a bias]]), 6)</f>
        <v>3FBAE1</v>
      </c>
      <c r="AP48" s="2" t="str">
        <f xml:space="preserve"> LEFT(Sng2String(Table1[[#This Row],[a gain]]), 6)</f>
        <v>3F75C2</v>
      </c>
      <c r="AQ48" s="2" t="str">
        <f>DEC2HEX(Table1[[#This Row],[a inv sp mx idx]], 1)</f>
        <v>0</v>
      </c>
      <c r="AR48" s="2" t="str">
        <f xml:space="preserve"> LEFT(Sng2String(Table1[[#This Row],[c bias]]), 6)</f>
        <v>3EEB85</v>
      </c>
      <c r="AS48" s="2" t="str">
        <f xml:space="preserve"> LEFT(Sng2String(Table1[[#This Row],[c gain]]), 6)</f>
        <v>3FBAE1</v>
      </c>
      <c r="AT48" s="2" t="str">
        <f>DEC2HEX(Table1[[#This Row],[c inv sp mx idx]], 1)</f>
        <v>1</v>
      </c>
      <c r="AU48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00402E5DA23EEB853FBAE1E3F75C23F3AE1F3FBAE13F75C203EEB853FBAE1102</v>
      </c>
      <c r="AV48" s="2">
        <f>LEN(Table1[[#This Row],[DRAM data]])</f>
        <v>64</v>
      </c>
    </row>
    <row r="49" spans="1:48" x14ac:dyDescent="0.25">
      <c r="A49">
        <v>47</v>
      </c>
      <c r="B49">
        <f>Table1[[#This Row],[ZMW num]]+1</f>
        <v>48</v>
      </c>
      <c r="C49">
        <v>4</v>
      </c>
      <c r="D49">
        <f t="shared" si="0"/>
        <v>51</v>
      </c>
      <c r="E49">
        <v>95</v>
      </c>
      <c r="F49">
        <v>160</v>
      </c>
      <c r="G49">
        <v>0</v>
      </c>
      <c r="H49">
        <f>Table1[[#This Row],[ZMW num]]*0.01</f>
        <v>0.47000000000000003</v>
      </c>
      <c r="I49">
        <f>1+Table1[[#This Row],[t bias]]</f>
        <v>1.47</v>
      </c>
      <c r="J49">
        <f>Table1[[#This Row],[t kinetic trace]]* String2Single(CONCATENATE(LEFT(Single2String(Table1[[#This Row],[t gain]]), 6), "00")) + String2Single(CONCATENATE(LEFT(Single2String(Table1[[#This Row],[t bias]]), 6), "00"))</f>
        <v>0.46999359130859375</v>
      </c>
      <c r="K49" t="str">
        <f>Sng2String(Table1[[#This Row],[t ptrace]])</f>
        <v>3EF0A300</v>
      </c>
      <c r="L49">
        <f>MOD(Table1[[#This Row],[ZMW num]], 2^4)</f>
        <v>15</v>
      </c>
      <c r="M49">
        <v>0</v>
      </c>
      <c r="N49">
        <f>Table1[[#This Row],[t bias]]+0.5</f>
        <v>0.97</v>
      </c>
      <c r="O49">
        <f>Table1[[#This Row],[t gain]]/2</f>
        <v>0.73499999999999999</v>
      </c>
      <c r="P49">
        <f>Table1[[#This Row],[g kinetic trace]] * String2Single(CONCATENATE(LEFT(Single2String(Table1[[#This Row],[g gain]]), 6), "00")) + String2Single(CONCATENATE(LEFT(Single2String(Table1[[#This Row],[g bias]]), 6), "00"))</f>
        <v>0.9699859619140625</v>
      </c>
      <c r="Q49" t="str">
        <f xml:space="preserve"> Sng2String(Table1[[#This Row],[g ptrace]])</f>
        <v>3F785100</v>
      </c>
      <c r="R49">
        <f>MOD(Table1[[#This Row],[t inv sp mx idx]]+1, 2^4)</f>
        <v>0</v>
      </c>
      <c r="S49">
        <v>0</v>
      </c>
      <c r="T49">
        <f>Table1[[#This Row],[t bias]]+1</f>
        <v>1.47</v>
      </c>
      <c r="U49">
        <f>Table1[[#This Row],[t gain]]-0.5</f>
        <v>0.97</v>
      </c>
      <c r="V49">
        <f>Table1[[#This Row],[a kinetic trace]] * String2Single(CONCATENATE(LEFT(Single2String(Table1[[#This Row],[a gain]]), 6), "00")) + String2Single(CONCATENATE(LEFT(Single2String(Table1[[#This Row],[a bias]]), 6), "00"))</f>
        <v>1.469970703125</v>
      </c>
      <c r="W49" t="str">
        <f xml:space="preserve"> Sng2String(Table1[[#This Row],[a ptrace]])</f>
        <v>3FBC2800</v>
      </c>
      <c r="X49">
        <f>MOD(Table1[[#This Row],[t inv sp mx idx]]+2, 2^4)</f>
        <v>1</v>
      </c>
      <c r="Y49">
        <v>0</v>
      </c>
      <c r="Z49">
        <f>Table1[[#This Row],[t bias]]</f>
        <v>0.47000000000000003</v>
      </c>
      <c r="AA49">
        <f>Table1[[#This Row],[t gain]]</f>
        <v>1.47</v>
      </c>
      <c r="AB49">
        <f>Table1[[#This Row],[c kinetic trace]]* String2Single(CONCATENATE(LEFT(Single2String(Table1[[#This Row],[c gain]]), 6), "00")) + String2Single(CONCATENATE(LEFT(Single2String(Table1[[#This Row],[c bias]]), 6), "00"))</f>
        <v>0.46999359130859375</v>
      </c>
      <c r="AC49" t="str">
        <f xml:space="preserve"> Sng2String(Table1[[#This Row],[c ptrace]])</f>
        <v>3EF0A300</v>
      </c>
      <c r="AD49">
        <f>MOD(Table1[[#This Row],[t inv sp mx idx]]+3, 2^4)</f>
        <v>2</v>
      </c>
      <c r="AE49" s="4" t="str">
        <f>DEC2HEX(Table1[[#This Row],[row]], 3)</f>
        <v>004</v>
      </c>
      <c r="AF49" s="2" t="str">
        <f>DEC2HEX(Table1[[#This Row],[col]], 3)</f>
        <v>033</v>
      </c>
      <c r="AG49" s="2" t="str">
        <f>DEC2HEX(Table1[[#This Row],[grn fsp idx]], 2)</f>
        <v>5F</v>
      </c>
      <c r="AH49" s="2" t="str">
        <f>DEC2HEX(Table1[[#This Row],[red fsp idx]], 2)</f>
        <v>A0</v>
      </c>
      <c r="AI49" s="2" t="str">
        <f xml:space="preserve"> LEFT(Sng2String(Table1[[#This Row],[t bias]]), 6)</f>
        <v>3EF0A3</v>
      </c>
      <c r="AJ49" s="2" t="str">
        <f xml:space="preserve"> LEFT(Sng2String(Table1[[#This Row],[t gain]]), 6)</f>
        <v>3FBC28</v>
      </c>
      <c r="AK49" s="2" t="str">
        <f>DEC2HEX(Table1[[#This Row],[t inv sp mx idx]], 1)</f>
        <v>F</v>
      </c>
      <c r="AL49" s="2" t="str">
        <f xml:space="preserve"> LEFT(Sng2String(Table1[[#This Row],[g bias]]), 6)</f>
        <v>3F7851</v>
      </c>
      <c r="AM49" s="2" t="str">
        <f xml:space="preserve"> LEFT(Sng2String(Table1[[#This Row],[g gain]]), 6)</f>
        <v>3F3C28</v>
      </c>
      <c r="AN49" s="2" t="str">
        <f>DEC2HEX(Table1[[#This Row],[g inv sp mx idx]], 1)</f>
        <v>0</v>
      </c>
      <c r="AO49" s="2" t="str">
        <f xml:space="preserve"> LEFT(Sng2String(Table1[[#This Row],[a bias]]), 6)</f>
        <v>3FBC28</v>
      </c>
      <c r="AP49" s="2" t="str">
        <f xml:space="preserve"> LEFT(Sng2String(Table1[[#This Row],[a gain]]), 6)</f>
        <v>3F7851</v>
      </c>
      <c r="AQ49" s="2" t="str">
        <f>DEC2HEX(Table1[[#This Row],[a inv sp mx idx]], 1)</f>
        <v>1</v>
      </c>
      <c r="AR49" s="2" t="str">
        <f xml:space="preserve"> LEFT(Sng2String(Table1[[#This Row],[c bias]]), 6)</f>
        <v>3EF0A3</v>
      </c>
      <c r="AS49" s="2" t="str">
        <f xml:space="preserve"> LEFT(Sng2String(Table1[[#This Row],[c gain]]), 6)</f>
        <v>3FBC28</v>
      </c>
      <c r="AT49" s="2" t="str">
        <f>DEC2HEX(Table1[[#This Row],[c inv sp mx idx]], 1)</f>
        <v>2</v>
      </c>
      <c r="AU49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0040335FA03EF0A33FBC28F3F78513F3C2803FBC283F785113EF0A33FBC28202</v>
      </c>
      <c r="AV49" s="2">
        <f>LEN(Table1[[#This Row],[DRAM data]])</f>
        <v>64</v>
      </c>
    </row>
    <row r="50" spans="1:48" x14ac:dyDescent="0.25">
      <c r="A50">
        <v>48</v>
      </c>
      <c r="B50">
        <f>Table1[[#This Row],[ZMW num]]+1</f>
        <v>49</v>
      </c>
      <c r="C50">
        <v>4</v>
      </c>
      <c r="D50">
        <f t="shared" si="0"/>
        <v>55</v>
      </c>
      <c r="E50">
        <v>97</v>
      </c>
      <c r="F50">
        <v>158</v>
      </c>
      <c r="G50">
        <v>0</v>
      </c>
      <c r="H50">
        <f>Table1[[#This Row],[ZMW num]]*0.01</f>
        <v>0.48</v>
      </c>
      <c r="I50">
        <f>1+Table1[[#This Row],[t bias]]</f>
        <v>1.48</v>
      </c>
      <c r="J50">
        <f>Table1[[#This Row],[t kinetic trace]]* String2Single(CONCATENATE(LEFT(Single2String(Table1[[#This Row],[t gain]]), 6), "00")) + String2Single(CONCATENATE(LEFT(Single2String(Table1[[#This Row],[t bias]]), 6), "00"))</f>
        <v>0.4799957275390625</v>
      </c>
      <c r="K50" t="str">
        <f>Sng2String(Table1[[#This Row],[t ptrace]])</f>
        <v>3EF5C200</v>
      </c>
      <c r="L50">
        <f>MOD(Table1[[#This Row],[ZMW num]], 2^4)</f>
        <v>0</v>
      </c>
      <c r="M50">
        <v>0</v>
      </c>
      <c r="N50">
        <f>Table1[[#This Row],[t bias]]+0.5</f>
        <v>0.98</v>
      </c>
      <c r="O50">
        <f>Table1[[#This Row],[t gain]]/2</f>
        <v>0.74</v>
      </c>
      <c r="P50">
        <f>Table1[[#This Row],[g kinetic trace]] * String2Single(CONCATENATE(LEFT(Single2String(Table1[[#This Row],[g gain]]), 6), "00")) + String2Single(CONCATENATE(LEFT(Single2String(Table1[[#This Row],[g bias]]), 6), "00"))</f>
        <v>0.9799957275390625</v>
      </c>
      <c r="Q50" t="str">
        <f xml:space="preserve"> Sng2String(Table1[[#This Row],[g ptrace]])</f>
        <v>3F7AE100</v>
      </c>
      <c r="R50">
        <f>MOD(Table1[[#This Row],[t inv sp mx idx]]+1, 2^4)</f>
        <v>1</v>
      </c>
      <c r="S50">
        <v>0</v>
      </c>
      <c r="T50">
        <f>Table1[[#This Row],[t bias]]+1</f>
        <v>1.48</v>
      </c>
      <c r="U50">
        <f>Table1[[#This Row],[t gain]]-0.5</f>
        <v>0.98</v>
      </c>
      <c r="V50">
        <f>Table1[[#This Row],[a kinetic trace]] * String2Single(CONCATENATE(LEFT(Single2String(Table1[[#This Row],[a gain]]), 6), "00")) + String2Single(CONCATENATE(LEFT(Single2String(Table1[[#This Row],[a bias]]), 6), "00"))</f>
        <v>1.47998046875</v>
      </c>
      <c r="W50" t="str">
        <f xml:space="preserve"> Sng2String(Table1[[#This Row],[a ptrace]])</f>
        <v>3FBD7000</v>
      </c>
      <c r="X50">
        <f>MOD(Table1[[#This Row],[t inv sp mx idx]]+2, 2^4)</f>
        <v>2</v>
      </c>
      <c r="Y50">
        <v>0</v>
      </c>
      <c r="Z50">
        <f>Table1[[#This Row],[t bias]]</f>
        <v>0.48</v>
      </c>
      <c r="AA50">
        <f>Table1[[#This Row],[t gain]]</f>
        <v>1.48</v>
      </c>
      <c r="AB50">
        <f>Table1[[#This Row],[c kinetic trace]]* String2Single(CONCATENATE(LEFT(Single2String(Table1[[#This Row],[c gain]]), 6), "00")) + String2Single(CONCATENATE(LEFT(Single2String(Table1[[#This Row],[c bias]]), 6), "00"))</f>
        <v>0.4799957275390625</v>
      </c>
      <c r="AC50" t="str">
        <f xml:space="preserve"> Sng2String(Table1[[#This Row],[c ptrace]])</f>
        <v>3EF5C200</v>
      </c>
      <c r="AD50">
        <f>MOD(Table1[[#This Row],[t inv sp mx idx]]+3, 2^4)</f>
        <v>3</v>
      </c>
      <c r="AE50" s="4" t="str">
        <f>DEC2HEX(Table1[[#This Row],[row]], 3)</f>
        <v>004</v>
      </c>
      <c r="AF50" s="2" t="str">
        <f>DEC2HEX(Table1[[#This Row],[col]], 3)</f>
        <v>037</v>
      </c>
      <c r="AG50" s="2" t="str">
        <f>DEC2HEX(Table1[[#This Row],[grn fsp idx]], 2)</f>
        <v>61</v>
      </c>
      <c r="AH50" s="2" t="str">
        <f>DEC2HEX(Table1[[#This Row],[red fsp idx]], 2)</f>
        <v>9E</v>
      </c>
      <c r="AI50" s="2" t="str">
        <f xml:space="preserve"> LEFT(Sng2String(Table1[[#This Row],[t bias]]), 6)</f>
        <v>3EF5C2</v>
      </c>
      <c r="AJ50" s="2" t="str">
        <f xml:space="preserve"> LEFT(Sng2String(Table1[[#This Row],[t gain]]), 6)</f>
        <v>3FBD70</v>
      </c>
      <c r="AK50" s="2" t="str">
        <f>DEC2HEX(Table1[[#This Row],[t inv sp mx idx]], 1)</f>
        <v>0</v>
      </c>
      <c r="AL50" s="2" t="str">
        <f xml:space="preserve"> LEFT(Sng2String(Table1[[#This Row],[g bias]]), 6)</f>
        <v>3F7AE1</v>
      </c>
      <c r="AM50" s="2" t="str">
        <f xml:space="preserve"> LEFT(Sng2String(Table1[[#This Row],[g gain]]), 6)</f>
        <v>3F3D70</v>
      </c>
      <c r="AN50" s="2" t="str">
        <f>DEC2HEX(Table1[[#This Row],[g inv sp mx idx]], 1)</f>
        <v>1</v>
      </c>
      <c r="AO50" s="2" t="str">
        <f xml:space="preserve"> LEFT(Sng2String(Table1[[#This Row],[a bias]]), 6)</f>
        <v>3FBD70</v>
      </c>
      <c r="AP50" s="2" t="str">
        <f xml:space="preserve"> LEFT(Sng2String(Table1[[#This Row],[a gain]]), 6)</f>
        <v>3F7AE1</v>
      </c>
      <c r="AQ50" s="2" t="str">
        <f>DEC2HEX(Table1[[#This Row],[a inv sp mx idx]], 1)</f>
        <v>2</v>
      </c>
      <c r="AR50" s="2" t="str">
        <f xml:space="preserve"> LEFT(Sng2String(Table1[[#This Row],[c bias]]), 6)</f>
        <v>3EF5C2</v>
      </c>
      <c r="AS50" s="2" t="str">
        <f xml:space="preserve"> LEFT(Sng2String(Table1[[#This Row],[c gain]]), 6)</f>
        <v>3FBD70</v>
      </c>
      <c r="AT50" s="2" t="str">
        <f>DEC2HEX(Table1[[#This Row],[c inv sp mx idx]], 1)</f>
        <v>3</v>
      </c>
      <c r="AU50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004037619E3EF5C23FBD7003F7AE13F3D7013FBD703F7AE123EF5C23FBD70302</v>
      </c>
      <c r="AV50" s="2">
        <f>LEN(Table1[[#This Row],[DRAM data]])</f>
        <v>64</v>
      </c>
    </row>
    <row r="51" spans="1:48" x14ac:dyDescent="0.25">
      <c r="A51">
        <v>49</v>
      </c>
      <c r="B51">
        <f>Table1[[#This Row],[ZMW num]]+1</f>
        <v>50</v>
      </c>
      <c r="C51">
        <v>4</v>
      </c>
      <c r="D51">
        <f t="shared" si="0"/>
        <v>58</v>
      </c>
      <c r="E51">
        <v>99</v>
      </c>
      <c r="F51">
        <v>156</v>
      </c>
      <c r="G51">
        <v>0</v>
      </c>
      <c r="H51">
        <f>Table1[[#This Row],[ZMW num]]*0.01</f>
        <v>0.49</v>
      </c>
      <c r="I51">
        <f>1+Table1[[#This Row],[t bias]]</f>
        <v>1.49</v>
      </c>
      <c r="J51">
        <f>Table1[[#This Row],[t kinetic trace]]* String2Single(CONCATENATE(LEFT(Single2String(Table1[[#This Row],[t gain]]), 6), "00")) + String2Single(CONCATENATE(LEFT(Single2String(Table1[[#This Row],[t bias]]), 6), "00"))</f>
        <v>0.48999786376953125</v>
      </c>
      <c r="K51" t="str">
        <f>Sng2String(Table1[[#This Row],[t ptrace]])</f>
        <v>3EFAE100</v>
      </c>
      <c r="L51">
        <f>MOD(Table1[[#This Row],[ZMW num]], 2^4)</f>
        <v>1</v>
      </c>
      <c r="M51">
        <v>0</v>
      </c>
      <c r="N51">
        <f>Table1[[#This Row],[t bias]]+0.5</f>
        <v>0.99</v>
      </c>
      <c r="O51">
        <f>Table1[[#This Row],[t gain]]/2</f>
        <v>0.745</v>
      </c>
      <c r="P51">
        <f>Table1[[#This Row],[g kinetic trace]] * String2Single(CONCATENATE(LEFT(Single2String(Table1[[#This Row],[g gain]]), 6), "00")) + String2Single(CONCATENATE(LEFT(Single2String(Table1[[#This Row],[g bias]]), 6), "00"))</f>
        <v>0.989990234375</v>
      </c>
      <c r="Q51" t="str">
        <f xml:space="preserve"> Sng2String(Table1[[#This Row],[g ptrace]])</f>
        <v>3F7D7000</v>
      </c>
      <c r="R51">
        <f>MOD(Table1[[#This Row],[t inv sp mx idx]]+1, 2^4)</f>
        <v>2</v>
      </c>
      <c r="S51">
        <v>0</v>
      </c>
      <c r="T51">
        <f>Table1[[#This Row],[t bias]]+1</f>
        <v>1.49</v>
      </c>
      <c r="U51">
        <f>Table1[[#This Row],[t gain]]-0.5</f>
        <v>0.99</v>
      </c>
      <c r="V51">
        <f>Table1[[#This Row],[a kinetic trace]] * String2Single(CONCATENATE(LEFT(Single2String(Table1[[#This Row],[a gain]]), 6), "00")) + String2Single(CONCATENATE(LEFT(Single2String(Table1[[#This Row],[a bias]]), 6), "00"))</f>
        <v>1.489990234375</v>
      </c>
      <c r="W51" t="str">
        <f xml:space="preserve"> Sng2String(Table1[[#This Row],[a ptrace]])</f>
        <v>3FBEB800</v>
      </c>
      <c r="X51">
        <f>MOD(Table1[[#This Row],[t inv sp mx idx]]+2, 2^4)</f>
        <v>3</v>
      </c>
      <c r="Y51">
        <v>0</v>
      </c>
      <c r="Z51">
        <f>Table1[[#This Row],[t bias]]</f>
        <v>0.49</v>
      </c>
      <c r="AA51">
        <f>Table1[[#This Row],[t gain]]</f>
        <v>1.49</v>
      </c>
      <c r="AB51">
        <f>Table1[[#This Row],[c kinetic trace]]* String2Single(CONCATENATE(LEFT(Single2String(Table1[[#This Row],[c gain]]), 6), "00")) + String2Single(CONCATENATE(LEFT(Single2String(Table1[[#This Row],[c bias]]), 6), "00"))</f>
        <v>0.48999786376953125</v>
      </c>
      <c r="AC51" t="str">
        <f xml:space="preserve"> Sng2String(Table1[[#This Row],[c ptrace]])</f>
        <v>3EFAE100</v>
      </c>
      <c r="AD51">
        <f>MOD(Table1[[#This Row],[t inv sp mx idx]]+3, 2^4)</f>
        <v>4</v>
      </c>
      <c r="AE51" s="4" t="str">
        <f>DEC2HEX(Table1[[#This Row],[row]], 3)</f>
        <v>004</v>
      </c>
      <c r="AF51" s="2" t="str">
        <f>DEC2HEX(Table1[[#This Row],[col]], 3)</f>
        <v>03A</v>
      </c>
      <c r="AG51" s="2" t="str">
        <f>DEC2HEX(Table1[[#This Row],[grn fsp idx]], 2)</f>
        <v>63</v>
      </c>
      <c r="AH51" s="2" t="str">
        <f>DEC2HEX(Table1[[#This Row],[red fsp idx]], 2)</f>
        <v>9C</v>
      </c>
      <c r="AI51" s="2" t="str">
        <f xml:space="preserve"> LEFT(Sng2String(Table1[[#This Row],[t bias]]), 6)</f>
        <v>3EFAE1</v>
      </c>
      <c r="AJ51" s="2" t="str">
        <f xml:space="preserve"> LEFT(Sng2String(Table1[[#This Row],[t gain]]), 6)</f>
        <v>3FBEB8</v>
      </c>
      <c r="AK51" s="2" t="str">
        <f>DEC2HEX(Table1[[#This Row],[t inv sp mx idx]], 1)</f>
        <v>1</v>
      </c>
      <c r="AL51" s="2" t="str">
        <f xml:space="preserve"> LEFT(Sng2String(Table1[[#This Row],[g bias]]), 6)</f>
        <v>3F7D70</v>
      </c>
      <c r="AM51" s="2" t="str">
        <f xml:space="preserve"> LEFT(Sng2String(Table1[[#This Row],[g gain]]), 6)</f>
        <v>3F3EB8</v>
      </c>
      <c r="AN51" s="2" t="str">
        <f>DEC2HEX(Table1[[#This Row],[g inv sp mx idx]], 1)</f>
        <v>2</v>
      </c>
      <c r="AO51" s="2" t="str">
        <f xml:space="preserve"> LEFT(Sng2String(Table1[[#This Row],[a bias]]), 6)</f>
        <v>3FBEB8</v>
      </c>
      <c r="AP51" s="2" t="str">
        <f xml:space="preserve"> LEFT(Sng2String(Table1[[#This Row],[a gain]]), 6)</f>
        <v>3F7D70</v>
      </c>
      <c r="AQ51" s="2" t="str">
        <f>DEC2HEX(Table1[[#This Row],[a inv sp mx idx]], 1)</f>
        <v>3</v>
      </c>
      <c r="AR51" s="2" t="str">
        <f xml:space="preserve"> LEFT(Sng2String(Table1[[#This Row],[c bias]]), 6)</f>
        <v>3EFAE1</v>
      </c>
      <c r="AS51" s="2" t="str">
        <f xml:space="preserve"> LEFT(Sng2String(Table1[[#This Row],[c gain]]), 6)</f>
        <v>3FBEB8</v>
      </c>
      <c r="AT51" s="2" t="str">
        <f>DEC2HEX(Table1[[#This Row],[c inv sp mx idx]], 1)</f>
        <v>4</v>
      </c>
      <c r="AU51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00403A639C3EFAE13FBEB813F7D703F3EB823FBEB83F7D7033EFAE13FBEB8402</v>
      </c>
      <c r="AV51" s="2">
        <f>LEN(Table1[[#This Row],[DRAM data]])</f>
        <v>64</v>
      </c>
    </row>
    <row r="52" spans="1:48" x14ac:dyDescent="0.25">
      <c r="A52">
        <v>50</v>
      </c>
      <c r="B52">
        <f>Table1[[#This Row],[ZMW num]]+1</f>
        <v>51</v>
      </c>
      <c r="C52">
        <v>4</v>
      </c>
      <c r="D52">
        <f t="shared" si="0"/>
        <v>61</v>
      </c>
      <c r="E52">
        <v>101</v>
      </c>
      <c r="F52">
        <v>154</v>
      </c>
      <c r="G52">
        <v>0</v>
      </c>
      <c r="H52">
        <f>Table1[[#This Row],[ZMW num]]*0.01</f>
        <v>0.5</v>
      </c>
      <c r="I52">
        <f>1+Table1[[#This Row],[t bias]]</f>
        <v>1.5</v>
      </c>
      <c r="J52">
        <f>Table1[[#This Row],[t kinetic trace]]* String2Single(CONCATENATE(LEFT(Single2String(Table1[[#This Row],[t gain]]), 6), "00")) + String2Single(CONCATENATE(LEFT(Single2String(Table1[[#This Row],[t bias]]), 6), "00"))</f>
        <v>0.5</v>
      </c>
      <c r="K52" t="str">
        <f>Sng2String(Table1[[#This Row],[t ptrace]])</f>
        <v>3F000000</v>
      </c>
      <c r="L52">
        <f>MOD(Table1[[#This Row],[ZMW num]], 2^4)</f>
        <v>2</v>
      </c>
      <c r="M52">
        <v>0</v>
      </c>
      <c r="N52">
        <f>Table1[[#This Row],[t bias]]+0.5</f>
        <v>1</v>
      </c>
      <c r="O52">
        <f>Table1[[#This Row],[t gain]]/2</f>
        <v>0.75</v>
      </c>
      <c r="P52">
        <f>Table1[[#This Row],[g kinetic trace]] * String2Single(CONCATENATE(LEFT(Single2String(Table1[[#This Row],[g gain]]), 6), "00")) + String2Single(CONCATENATE(LEFT(Single2String(Table1[[#This Row],[g bias]]), 6), "00"))</f>
        <v>1</v>
      </c>
      <c r="Q52" t="str">
        <f xml:space="preserve"> Sng2String(Table1[[#This Row],[g ptrace]])</f>
        <v>3F800000</v>
      </c>
      <c r="R52">
        <f>MOD(Table1[[#This Row],[t inv sp mx idx]]+1, 2^4)</f>
        <v>3</v>
      </c>
      <c r="S52">
        <v>0</v>
      </c>
      <c r="T52">
        <f>Table1[[#This Row],[t bias]]+1</f>
        <v>1.5</v>
      </c>
      <c r="U52">
        <f>Table1[[#This Row],[t gain]]-0.5</f>
        <v>1</v>
      </c>
      <c r="V52">
        <f>Table1[[#This Row],[a kinetic trace]] * String2Single(CONCATENATE(LEFT(Single2String(Table1[[#This Row],[a gain]]), 6), "00")) + String2Single(CONCATENATE(LEFT(Single2String(Table1[[#This Row],[a bias]]), 6), "00"))</f>
        <v>1.5</v>
      </c>
      <c r="W52" t="str">
        <f xml:space="preserve"> Sng2String(Table1[[#This Row],[a ptrace]])</f>
        <v>3FC00000</v>
      </c>
      <c r="X52">
        <f>MOD(Table1[[#This Row],[t inv sp mx idx]]+2, 2^4)</f>
        <v>4</v>
      </c>
      <c r="Y52">
        <v>0</v>
      </c>
      <c r="Z52">
        <f>Table1[[#This Row],[t bias]]</f>
        <v>0.5</v>
      </c>
      <c r="AA52">
        <f>Table1[[#This Row],[t gain]]</f>
        <v>1.5</v>
      </c>
      <c r="AB52">
        <f>Table1[[#This Row],[c kinetic trace]]* String2Single(CONCATENATE(LEFT(Single2String(Table1[[#This Row],[c gain]]), 6), "00")) + String2Single(CONCATENATE(LEFT(Single2String(Table1[[#This Row],[c bias]]), 6), "00"))</f>
        <v>0.5</v>
      </c>
      <c r="AC52" t="str">
        <f xml:space="preserve"> Sng2String(Table1[[#This Row],[c ptrace]])</f>
        <v>3F000000</v>
      </c>
      <c r="AD52">
        <f>MOD(Table1[[#This Row],[t inv sp mx idx]]+3, 2^4)</f>
        <v>5</v>
      </c>
      <c r="AE52" s="4" t="str">
        <f>DEC2HEX(Table1[[#This Row],[row]], 3)</f>
        <v>004</v>
      </c>
      <c r="AF52" s="2" t="str">
        <f>DEC2HEX(Table1[[#This Row],[col]], 3)</f>
        <v>03D</v>
      </c>
      <c r="AG52" s="2" t="str">
        <f>DEC2HEX(Table1[[#This Row],[grn fsp idx]], 2)</f>
        <v>65</v>
      </c>
      <c r="AH52" s="2" t="str">
        <f>DEC2HEX(Table1[[#This Row],[red fsp idx]], 2)</f>
        <v>9A</v>
      </c>
      <c r="AI52" s="2" t="str">
        <f xml:space="preserve"> LEFT(Sng2String(Table1[[#This Row],[t bias]]), 6)</f>
        <v>3F0000</v>
      </c>
      <c r="AJ52" s="2" t="str">
        <f xml:space="preserve"> LEFT(Sng2String(Table1[[#This Row],[t gain]]), 6)</f>
        <v>3FC000</v>
      </c>
      <c r="AK52" s="2" t="str">
        <f>DEC2HEX(Table1[[#This Row],[t inv sp mx idx]], 1)</f>
        <v>2</v>
      </c>
      <c r="AL52" s="2" t="str">
        <f xml:space="preserve"> LEFT(Sng2String(Table1[[#This Row],[g bias]]), 6)</f>
        <v>3F8000</v>
      </c>
      <c r="AM52" s="2" t="str">
        <f xml:space="preserve"> LEFT(Sng2String(Table1[[#This Row],[g gain]]), 6)</f>
        <v>3F4000</v>
      </c>
      <c r="AN52" s="2" t="str">
        <f>DEC2HEX(Table1[[#This Row],[g inv sp mx idx]], 1)</f>
        <v>3</v>
      </c>
      <c r="AO52" s="2" t="str">
        <f xml:space="preserve"> LEFT(Sng2String(Table1[[#This Row],[a bias]]), 6)</f>
        <v>3FC000</v>
      </c>
      <c r="AP52" s="2" t="str">
        <f xml:space="preserve"> LEFT(Sng2String(Table1[[#This Row],[a gain]]), 6)</f>
        <v>3F8000</v>
      </c>
      <c r="AQ52" s="2" t="str">
        <f>DEC2HEX(Table1[[#This Row],[a inv sp mx idx]], 1)</f>
        <v>4</v>
      </c>
      <c r="AR52" s="2" t="str">
        <f xml:space="preserve"> LEFT(Sng2String(Table1[[#This Row],[c bias]]), 6)</f>
        <v>3F0000</v>
      </c>
      <c r="AS52" s="2" t="str">
        <f xml:space="preserve"> LEFT(Sng2String(Table1[[#This Row],[c gain]]), 6)</f>
        <v>3FC000</v>
      </c>
      <c r="AT52" s="2" t="str">
        <f>DEC2HEX(Table1[[#This Row],[c inv sp mx idx]], 1)</f>
        <v>5</v>
      </c>
      <c r="AU52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00403D659A3F00003FC00023F80003F400033FC0003F800043F00003FC000502</v>
      </c>
      <c r="AV52" s="2">
        <f>LEN(Table1[[#This Row],[DRAM data]])</f>
        <v>64</v>
      </c>
    </row>
    <row r="53" spans="1:48" x14ac:dyDescent="0.25">
      <c r="A53">
        <v>51</v>
      </c>
      <c r="B53">
        <f>Table1[[#This Row],[ZMW num]]+1</f>
        <v>52</v>
      </c>
      <c r="C53">
        <v>4</v>
      </c>
      <c r="D53">
        <f t="shared" si="0"/>
        <v>65</v>
      </c>
      <c r="E53">
        <v>103</v>
      </c>
      <c r="F53">
        <v>152</v>
      </c>
      <c r="G53">
        <v>0</v>
      </c>
      <c r="H53">
        <f>Table1[[#This Row],[ZMW num]]*0.01</f>
        <v>0.51</v>
      </c>
      <c r="I53">
        <f>1+Table1[[#This Row],[t bias]]</f>
        <v>1.51</v>
      </c>
      <c r="J53">
        <f>Table1[[#This Row],[t kinetic trace]]* String2Single(CONCATENATE(LEFT(Single2String(Table1[[#This Row],[t gain]]), 6), "00")) + String2Single(CONCATENATE(LEFT(Single2String(Table1[[#This Row],[t bias]]), 6), "00"))</f>
        <v>0.5099945068359375</v>
      </c>
      <c r="K53" t="str">
        <f>Sng2String(Table1[[#This Row],[t ptrace]])</f>
        <v>3F028F00</v>
      </c>
      <c r="L53">
        <f>MOD(Table1[[#This Row],[ZMW num]], 2^4)</f>
        <v>3</v>
      </c>
      <c r="M53">
        <v>0</v>
      </c>
      <c r="N53">
        <f>Table1[[#This Row],[t bias]]+0.5</f>
        <v>1.01</v>
      </c>
      <c r="O53">
        <f>Table1[[#This Row],[t gain]]/2</f>
        <v>0.755</v>
      </c>
      <c r="P53">
        <f>Table1[[#This Row],[g kinetic trace]] * String2Single(CONCATENATE(LEFT(Single2String(Table1[[#This Row],[g gain]]), 6), "00")) + String2Single(CONCATENATE(LEFT(Single2String(Table1[[#This Row],[g bias]]), 6), "00"))</f>
        <v>1.009979248046875</v>
      </c>
      <c r="Q53" t="str">
        <f xml:space="preserve"> Sng2String(Table1[[#This Row],[g ptrace]])</f>
        <v>3F814700</v>
      </c>
      <c r="R53">
        <f>MOD(Table1[[#This Row],[t inv sp mx idx]]+1, 2^4)</f>
        <v>4</v>
      </c>
      <c r="S53">
        <v>0</v>
      </c>
      <c r="T53">
        <f>Table1[[#This Row],[t bias]]+1</f>
        <v>1.51</v>
      </c>
      <c r="U53">
        <f>Table1[[#This Row],[t gain]]-0.5</f>
        <v>1.01</v>
      </c>
      <c r="V53">
        <f>Table1[[#This Row],[a kinetic trace]] * String2Single(CONCATENATE(LEFT(Single2String(Table1[[#This Row],[a gain]]), 6), "00")) + String2Single(CONCATENATE(LEFT(Single2String(Table1[[#This Row],[a bias]]), 6), "00"))</f>
        <v>1.509979248046875</v>
      </c>
      <c r="W53" t="str">
        <f xml:space="preserve"> Sng2String(Table1[[#This Row],[a ptrace]])</f>
        <v>3FC14700</v>
      </c>
      <c r="X53">
        <f>MOD(Table1[[#This Row],[t inv sp mx idx]]+2, 2^4)</f>
        <v>5</v>
      </c>
      <c r="Y53">
        <v>0</v>
      </c>
      <c r="Z53">
        <f>Table1[[#This Row],[t bias]]</f>
        <v>0.51</v>
      </c>
      <c r="AA53">
        <f>Table1[[#This Row],[t gain]]</f>
        <v>1.51</v>
      </c>
      <c r="AB53">
        <f>Table1[[#This Row],[c kinetic trace]]* String2Single(CONCATENATE(LEFT(Single2String(Table1[[#This Row],[c gain]]), 6), "00")) + String2Single(CONCATENATE(LEFT(Single2String(Table1[[#This Row],[c bias]]), 6), "00"))</f>
        <v>0.5099945068359375</v>
      </c>
      <c r="AC53" t="str">
        <f xml:space="preserve"> Sng2String(Table1[[#This Row],[c ptrace]])</f>
        <v>3F028F00</v>
      </c>
      <c r="AD53">
        <f>MOD(Table1[[#This Row],[t inv sp mx idx]]+3, 2^4)</f>
        <v>6</v>
      </c>
      <c r="AE53" s="4" t="str">
        <f>DEC2HEX(Table1[[#This Row],[row]], 3)</f>
        <v>004</v>
      </c>
      <c r="AF53" s="2" t="str">
        <f>DEC2HEX(Table1[[#This Row],[col]], 3)</f>
        <v>041</v>
      </c>
      <c r="AG53" s="2" t="str">
        <f>DEC2HEX(Table1[[#This Row],[grn fsp idx]], 2)</f>
        <v>67</v>
      </c>
      <c r="AH53" s="2" t="str">
        <f>DEC2HEX(Table1[[#This Row],[red fsp idx]], 2)</f>
        <v>98</v>
      </c>
      <c r="AI53" s="2" t="str">
        <f xml:space="preserve"> LEFT(Sng2String(Table1[[#This Row],[t bias]]), 6)</f>
        <v>3F028F</v>
      </c>
      <c r="AJ53" s="2" t="str">
        <f xml:space="preserve"> LEFT(Sng2String(Table1[[#This Row],[t gain]]), 6)</f>
        <v>3FC147</v>
      </c>
      <c r="AK53" s="2" t="str">
        <f>DEC2HEX(Table1[[#This Row],[t inv sp mx idx]], 1)</f>
        <v>3</v>
      </c>
      <c r="AL53" s="2" t="str">
        <f xml:space="preserve"> LEFT(Sng2String(Table1[[#This Row],[g bias]]), 6)</f>
        <v>3F8147</v>
      </c>
      <c r="AM53" s="2" t="str">
        <f xml:space="preserve"> LEFT(Sng2String(Table1[[#This Row],[g gain]]), 6)</f>
        <v>3F4147</v>
      </c>
      <c r="AN53" s="2" t="str">
        <f>DEC2HEX(Table1[[#This Row],[g inv sp mx idx]], 1)</f>
        <v>4</v>
      </c>
      <c r="AO53" s="2" t="str">
        <f xml:space="preserve"> LEFT(Sng2String(Table1[[#This Row],[a bias]]), 6)</f>
        <v>3FC147</v>
      </c>
      <c r="AP53" s="2" t="str">
        <f xml:space="preserve"> LEFT(Sng2String(Table1[[#This Row],[a gain]]), 6)</f>
        <v>3F8147</v>
      </c>
      <c r="AQ53" s="2" t="str">
        <f>DEC2HEX(Table1[[#This Row],[a inv sp mx idx]], 1)</f>
        <v>5</v>
      </c>
      <c r="AR53" s="2" t="str">
        <f xml:space="preserve"> LEFT(Sng2String(Table1[[#This Row],[c bias]]), 6)</f>
        <v>3F028F</v>
      </c>
      <c r="AS53" s="2" t="str">
        <f xml:space="preserve"> LEFT(Sng2String(Table1[[#This Row],[c gain]]), 6)</f>
        <v>3FC147</v>
      </c>
      <c r="AT53" s="2" t="str">
        <f>DEC2HEX(Table1[[#This Row],[c inv sp mx idx]], 1)</f>
        <v>6</v>
      </c>
      <c r="AU53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00404167983F028F3FC14733F81473F414743FC1473F814753F028F3FC147602</v>
      </c>
      <c r="AV53" s="2">
        <f>LEN(Table1[[#This Row],[DRAM data]])</f>
        <v>64</v>
      </c>
    </row>
    <row r="54" spans="1:48" x14ac:dyDescent="0.25">
      <c r="A54">
        <v>52</v>
      </c>
      <c r="B54">
        <f>Table1[[#This Row],[ZMW num]]+1</f>
        <v>53</v>
      </c>
      <c r="C54">
        <v>4</v>
      </c>
      <c r="D54">
        <f t="shared" si="0"/>
        <v>67</v>
      </c>
      <c r="E54">
        <v>105</v>
      </c>
      <c r="F54">
        <v>150</v>
      </c>
      <c r="G54">
        <v>0</v>
      </c>
      <c r="H54">
        <f>Table1[[#This Row],[ZMW num]]*0.01</f>
        <v>0.52</v>
      </c>
      <c r="I54">
        <f>1+Table1[[#This Row],[t bias]]</f>
        <v>1.52</v>
      </c>
      <c r="J54">
        <f>Table1[[#This Row],[t kinetic trace]]* String2Single(CONCATENATE(LEFT(Single2String(Table1[[#This Row],[t gain]]), 6), "00")) + String2Single(CONCATENATE(LEFT(Single2String(Table1[[#This Row],[t bias]]), 6), "00"))</f>
        <v>0.519989013671875</v>
      </c>
      <c r="K54" t="str">
        <f>Sng2String(Table1[[#This Row],[t ptrace]])</f>
        <v>3F051E00</v>
      </c>
      <c r="L54">
        <f>MOD(Table1[[#This Row],[ZMW num]], 2^4)</f>
        <v>4</v>
      </c>
      <c r="M54">
        <v>0</v>
      </c>
      <c r="N54">
        <f>Table1[[#This Row],[t bias]]+0.5</f>
        <v>1.02</v>
      </c>
      <c r="O54">
        <f>Table1[[#This Row],[t gain]]/2</f>
        <v>0.76</v>
      </c>
      <c r="P54">
        <f>Table1[[#This Row],[g kinetic trace]] * String2Single(CONCATENATE(LEFT(Single2String(Table1[[#This Row],[g gain]]), 6), "00")) + String2Single(CONCATENATE(LEFT(Single2String(Table1[[#This Row],[g bias]]), 6), "00"))</f>
        <v>1.019989013671875</v>
      </c>
      <c r="Q54" t="str">
        <f xml:space="preserve"> Sng2String(Table1[[#This Row],[g ptrace]])</f>
        <v>3F828F00</v>
      </c>
      <c r="R54">
        <f>MOD(Table1[[#This Row],[t inv sp mx idx]]+1, 2^4)</f>
        <v>5</v>
      </c>
      <c r="S54">
        <v>0</v>
      </c>
      <c r="T54">
        <f>Table1[[#This Row],[t bias]]+1</f>
        <v>1.52</v>
      </c>
      <c r="U54">
        <f>Table1[[#This Row],[t gain]]-0.5</f>
        <v>1.02</v>
      </c>
      <c r="V54">
        <f>Table1[[#This Row],[a kinetic trace]] * String2Single(CONCATENATE(LEFT(Single2String(Table1[[#This Row],[a gain]]), 6), "00")) + String2Single(CONCATENATE(LEFT(Single2String(Table1[[#This Row],[a bias]]), 6), "00"))</f>
        <v>1.519989013671875</v>
      </c>
      <c r="W54" t="str">
        <f xml:space="preserve"> Sng2String(Table1[[#This Row],[a ptrace]])</f>
        <v>3FC28F00</v>
      </c>
      <c r="X54">
        <f>MOD(Table1[[#This Row],[t inv sp mx idx]]+2, 2^4)</f>
        <v>6</v>
      </c>
      <c r="Y54">
        <v>0</v>
      </c>
      <c r="Z54">
        <f>Table1[[#This Row],[t bias]]</f>
        <v>0.52</v>
      </c>
      <c r="AA54">
        <f>Table1[[#This Row],[t gain]]</f>
        <v>1.52</v>
      </c>
      <c r="AB54">
        <f>Table1[[#This Row],[c kinetic trace]]* String2Single(CONCATENATE(LEFT(Single2String(Table1[[#This Row],[c gain]]), 6), "00")) + String2Single(CONCATENATE(LEFT(Single2String(Table1[[#This Row],[c bias]]), 6), "00"))</f>
        <v>0.519989013671875</v>
      </c>
      <c r="AC54" t="str">
        <f xml:space="preserve"> Sng2String(Table1[[#This Row],[c ptrace]])</f>
        <v>3F051E00</v>
      </c>
      <c r="AD54">
        <f>MOD(Table1[[#This Row],[t inv sp mx idx]]+3, 2^4)</f>
        <v>7</v>
      </c>
      <c r="AE54" s="4" t="str">
        <f>DEC2HEX(Table1[[#This Row],[row]], 3)</f>
        <v>004</v>
      </c>
      <c r="AF54" s="2" t="str">
        <f>DEC2HEX(Table1[[#This Row],[col]], 3)</f>
        <v>043</v>
      </c>
      <c r="AG54" s="2" t="str">
        <f>DEC2HEX(Table1[[#This Row],[grn fsp idx]], 2)</f>
        <v>69</v>
      </c>
      <c r="AH54" s="2" t="str">
        <f>DEC2HEX(Table1[[#This Row],[red fsp idx]], 2)</f>
        <v>96</v>
      </c>
      <c r="AI54" s="2" t="str">
        <f xml:space="preserve"> LEFT(Sng2String(Table1[[#This Row],[t bias]]), 6)</f>
        <v>3F051E</v>
      </c>
      <c r="AJ54" s="2" t="str">
        <f xml:space="preserve"> LEFT(Sng2String(Table1[[#This Row],[t gain]]), 6)</f>
        <v>3FC28F</v>
      </c>
      <c r="AK54" s="2" t="str">
        <f>DEC2HEX(Table1[[#This Row],[t inv sp mx idx]], 1)</f>
        <v>4</v>
      </c>
      <c r="AL54" s="2" t="str">
        <f xml:space="preserve"> LEFT(Sng2String(Table1[[#This Row],[g bias]]), 6)</f>
        <v>3F828F</v>
      </c>
      <c r="AM54" s="2" t="str">
        <f xml:space="preserve"> LEFT(Sng2String(Table1[[#This Row],[g gain]]), 6)</f>
        <v>3F428F</v>
      </c>
      <c r="AN54" s="2" t="str">
        <f>DEC2HEX(Table1[[#This Row],[g inv sp mx idx]], 1)</f>
        <v>5</v>
      </c>
      <c r="AO54" s="2" t="str">
        <f xml:space="preserve"> LEFT(Sng2String(Table1[[#This Row],[a bias]]), 6)</f>
        <v>3FC28F</v>
      </c>
      <c r="AP54" s="2" t="str">
        <f xml:space="preserve"> LEFT(Sng2String(Table1[[#This Row],[a gain]]), 6)</f>
        <v>3F828F</v>
      </c>
      <c r="AQ54" s="2" t="str">
        <f>DEC2HEX(Table1[[#This Row],[a inv sp mx idx]], 1)</f>
        <v>6</v>
      </c>
      <c r="AR54" s="2" t="str">
        <f xml:space="preserve"> LEFT(Sng2String(Table1[[#This Row],[c bias]]), 6)</f>
        <v>3F051E</v>
      </c>
      <c r="AS54" s="2" t="str">
        <f xml:space="preserve"> LEFT(Sng2String(Table1[[#This Row],[c gain]]), 6)</f>
        <v>3FC28F</v>
      </c>
      <c r="AT54" s="2" t="str">
        <f>DEC2HEX(Table1[[#This Row],[c inv sp mx idx]], 1)</f>
        <v>7</v>
      </c>
      <c r="AU54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00404369963F051E3FC28F43F828F3F428F53FC28F3F828F63F051E3FC28F702</v>
      </c>
      <c r="AV54" s="2">
        <f>LEN(Table1[[#This Row],[DRAM data]])</f>
        <v>64</v>
      </c>
    </row>
    <row r="55" spans="1:48" x14ac:dyDescent="0.25">
      <c r="A55">
        <v>53</v>
      </c>
      <c r="B55">
        <f>Table1[[#This Row],[ZMW num]]+1</f>
        <v>54</v>
      </c>
      <c r="C55">
        <v>4</v>
      </c>
      <c r="D55">
        <f t="shared" si="0"/>
        <v>70</v>
      </c>
      <c r="E55">
        <v>107</v>
      </c>
      <c r="F55">
        <v>148</v>
      </c>
      <c r="G55">
        <v>0</v>
      </c>
      <c r="H55">
        <f>Table1[[#This Row],[ZMW num]]*0.01</f>
        <v>0.53</v>
      </c>
      <c r="I55">
        <f>1+Table1[[#This Row],[t bias]]</f>
        <v>1.53</v>
      </c>
      <c r="J55">
        <f>Table1[[#This Row],[t kinetic trace]]* String2Single(CONCATENATE(LEFT(Single2String(Table1[[#This Row],[t gain]]), 6), "00")) + String2Single(CONCATENATE(LEFT(Single2String(Table1[[#This Row],[t bias]]), 6), "00"))</f>
        <v>0.529998779296875</v>
      </c>
      <c r="K55" t="str">
        <f>Sng2String(Table1[[#This Row],[t ptrace]])</f>
        <v>3F07AE00</v>
      </c>
      <c r="L55">
        <f>MOD(Table1[[#This Row],[ZMW num]], 2^4)</f>
        <v>5</v>
      </c>
      <c r="M55">
        <v>0</v>
      </c>
      <c r="N55">
        <f>Table1[[#This Row],[t bias]]+0.5</f>
        <v>1.03</v>
      </c>
      <c r="O55">
        <f>Table1[[#This Row],[t gain]]/2</f>
        <v>0.76500000000000001</v>
      </c>
      <c r="P55">
        <f>Table1[[#This Row],[g kinetic trace]] * String2Single(CONCATENATE(LEFT(Single2String(Table1[[#This Row],[g gain]]), 6), "00")) + String2Single(CONCATENATE(LEFT(Single2String(Table1[[#This Row],[g bias]]), 6), "00"))</f>
        <v>1.029998779296875</v>
      </c>
      <c r="Q55" t="str">
        <f xml:space="preserve"> Sng2String(Table1[[#This Row],[g ptrace]])</f>
        <v>3F83D700</v>
      </c>
      <c r="R55">
        <f>MOD(Table1[[#This Row],[t inv sp mx idx]]+1, 2^4)</f>
        <v>6</v>
      </c>
      <c r="S55">
        <v>0</v>
      </c>
      <c r="T55">
        <f>Table1[[#This Row],[t bias]]+1</f>
        <v>1.53</v>
      </c>
      <c r="U55">
        <f>Table1[[#This Row],[t gain]]-0.5</f>
        <v>1.03</v>
      </c>
      <c r="V55">
        <f>Table1[[#This Row],[a kinetic trace]] * String2Single(CONCATENATE(LEFT(Single2String(Table1[[#This Row],[a gain]]), 6), "00")) + String2Single(CONCATENATE(LEFT(Single2String(Table1[[#This Row],[a bias]]), 6), "00"))</f>
        <v>1.529998779296875</v>
      </c>
      <c r="W55" t="str">
        <f xml:space="preserve"> Sng2String(Table1[[#This Row],[a ptrace]])</f>
        <v>3FC3D700</v>
      </c>
      <c r="X55">
        <f>MOD(Table1[[#This Row],[t inv sp mx idx]]+2, 2^4)</f>
        <v>7</v>
      </c>
      <c r="Y55">
        <v>0</v>
      </c>
      <c r="Z55">
        <f>Table1[[#This Row],[t bias]]</f>
        <v>0.53</v>
      </c>
      <c r="AA55">
        <f>Table1[[#This Row],[t gain]]</f>
        <v>1.53</v>
      </c>
      <c r="AB55">
        <f>Table1[[#This Row],[c kinetic trace]]* String2Single(CONCATENATE(LEFT(Single2String(Table1[[#This Row],[c gain]]), 6), "00")) + String2Single(CONCATENATE(LEFT(Single2String(Table1[[#This Row],[c bias]]), 6), "00"))</f>
        <v>0.529998779296875</v>
      </c>
      <c r="AC55" t="str">
        <f xml:space="preserve"> Sng2String(Table1[[#This Row],[c ptrace]])</f>
        <v>3F07AE00</v>
      </c>
      <c r="AD55">
        <f>MOD(Table1[[#This Row],[t inv sp mx idx]]+3, 2^4)</f>
        <v>8</v>
      </c>
      <c r="AE55" s="4" t="str">
        <f>DEC2HEX(Table1[[#This Row],[row]], 3)</f>
        <v>004</v>
      </c>
      <c r="AF55" s="2" t="str">
        <f>DEC2HEX(Table1[[#This Row],[col]], 3)</f>
        <v>046</v>
      </c>
      <c r="AG55" s="2" t="str">
        <f>DEC2HEX(Table1[[#This Row],[grn fsp idx]], 2)</f>
        <v>6B</v>
      </c>
      <c r="AH55" s="2" t="str">
        <f>DEC2HEX(Table1[[#This Row],[red fsp idx]], 2)</f>
        <v>94</v>
      </c>
      <c r="AI55" s="2" t="str">
        <f xml:space="preserve"> LEFT(Sng2String(Table1[[#This Row],[t bias]]), 6)</f>
        <v>3F07AE</v>
      </c>
      <c r="AJ55" s="2" t="str">
        <f xml:space="preserve"> LEFT(Sng2String(Table1[[#This Row],[t gain]]), 6)</f>
        <v>3FC3D7</v>
      </c>
      <c r="AK55" s="2" t="str">
        <f>DEC2HEX(Table1[[#This Row],[t inv sp mx idx]], 1)</f>
        <v>5</v>
      </c>
      <c r="AL55" s="2" t="str">
        <f xml:space="preserve"> LEFT(Sng2String(Table1[[#This Row],[g bias]]), 6)</f>
        <v>3F83D7</v>
      </c>
      <c r="AM55" s="2" t="str">
        <f xml:space="preserve"> LEFT(Sng2String(Table1[[#This Row],[g gain]]), 6)</f>
        <v>3F43D7</v>
      </c>
      <c r="AN55" s="2" t="str">
        <f>DEC2HEX(Table1[[#This Row],[g inv sp mx idx]], 1)</f>
        <v>6</v>
      </c>
      <c r="AO55" s="2" t="str">
        <f xml:space="preserve"> LEFT(Sng2String(Table1[[#This Row],[a bias]]), 6)</f>
        <v>3FC3D7</v>
      </c>
      <c r="AP55" s="2" t="str">
        <f xml:space="preserve"> LEFT(Sng2String(Table1[[#This Row],[a gain]]), 6)</f>
        <v>3F83D7</v>
      </c>
      <c r="AQ55" s="2" t="str">
        <f>DEC2HEX(Table1[[#This Row],[a inv sp mx idx]], 1)</f>
        <v>7</v>
      </c>
      <c r="AR55" s="2" t="str">
        <f xml:space="preserve"> LEFT(Sng2String(Table1[[#This Row],[c bias]]), 6)</f>
        <v>3F07AE</v>
      </c>
      <c r="AS55" s="2" t="str">
        <f xml:space="preserve"> LEFT(Sng2String(Table1[[#This Row],[c gain]]), 6)</f>
        <v>3FC3D7</v>
      </c>
      <c r="AT55" s="2" t="str">
        <f>DEC2HEX(Table1[[#This Row],[c inv sp mx idx]], 1)</f>
        <v>8</v>
      </c>
      <c r="AU55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0040466B943F07AE3FC3D753F83D73F43D763FC3D73F83D773F07AE3FC3D7802</v>
      </c>
      <c r="AV55" s="2">
        <f>LEN(Table1[[#This Row],[DRAM data]])</f>
        <v>64</v>
      </c>
    </row>
    <row r="56" spans="1:48" x14ac:dyDescent="0.25">
      <c r="A56">
        <v>54</v>
      </c>
      <c r="B56">
        <f>Table1[[#This Row],[ZMW num]]+1</f>
        <v>55</v>
      </c>
      <c r="C56">
        <v>4</v>
      </c>
      <c r="D56">
        <f t="shared" si="0"/>
        <v>73</v>
      </c>
      <c r="E56">
        <v>109</v>
      </c>
      <c r="F56">
        <v>146</v>
      </c>
      <c r="G56">
        <v>0</v>
      </c>
      <c r="H56">
        <f>Table1[[#This Row],[ZMW num]]*0.01</f>
        <v>0.54</v>
      </c>
      <c r="I56">
        <f>1+Table1[[#This Row],[t bias]]</f>
        <v>1.54</v>
      </c>
      <c r="J56">
        <f>Table1[[#This Row],[t kinetic trace]]* String2Single(CONCATENATE(LEFT(Single2String(Table1[[#This Row],[t gain]]), 6), "00")) + String2Single(CONCATENATE(LEFT(Single2String(Table1[[#This Row],[t bias]]), 6), "00"))</f>
        <v>0.5399932861328125</v>
      </c>
      <c r="K56" t="str">
        <f>Sng2String(Table1[[#This Row],[t ptrace]])</f>
        <v>3F0A3D00</v>
      </c>
      <c r="L56">
        <f>MOD(Table1[[#This Row],[ZMW num]], 2^4)</f>
        <v>6</v>
      </c>
      <c r="M56">
        <v>0</v>
      </c>
      <c r="N56">
        <f>Table1[[#This Row],[t bias]]+0.5</f>
        <v>1.04</v>
      </c>
      <c r="O56">
        <f>Table1[[#This Row],[t gain]]/2</f>
        <v>0.77</v>
      </c>
      <c r="P56">
        <f>Table1[[#This Row],[g kinetic trace]] * String2Single(CONCATENATE(LEFT(Single2String(Table1[[#This Row],[g gain]]), 6), "00")) + String2Single(CONCATENATE(LEFT(Single2String(Table1[[#This Row],[g bias]]), 6), "00"))</f>
        <v>1.03997802734375</v>
      </c>
      <c r="Q56" t="str">
        <f xml:space="preserve"> Sng2String(Table1[[#This Row],[g ptrace]])</f>
        <v>3F851E00</v>
      </c>
      <c r="R56">
        <f>MOD(Table1[[#This Row],[t inv sp mx idx]]+1, 2^4)</f>
        <v>7</v>
      </c>
      <c r="S56">
        <v>0</v>
      </c>
      <c r="T56">
        <f>Table1[[#This Row],[t bias]]+1</f>
        <v>1.54</v>
      </c>
      <c r="U56">
        <f>Table1[[#This Row],[t gain]]-0.5</f>
        <v>1.04</v>
      </c>
      <c r="V56">
        <f>Table1[[#This Row],[a kinetic trace]] * String2Single(CONCATENATE(LEFT(Single2String(Table1[[#This Row],[a gain]]), 6), "00")) + String2Single(CONCATENATE(LEFT(Single2String(Table1[[#This Row],[a bias]]), 6), "00"))</f>
        <v>1.53997802734375</v>
      </c>
      <c r="W56" t="str">
        <f xml:space="preserve"> Sng2String(Table1[[#This Row],[a ptrace]])</f>
        <v>3FC51E00</v>
      </c>
      <c r="X56">
        <f>MOD(Table1[[#This Row],[t inv sp mx idx]]+2, 2^4)</f>
        <v>8</v>
      </c>
      <c r="Y56">
        <v>0</v>
      </c>
      <c r="Z56">
        <f>Table1[[#This Row],[t bias]]</f>
        <v>0.54</v>
      </c>
      <c r="AA56">
        <f>Table1[[#This Row],[t gain]]</f>
        <v>1.54</v>
      </c>
      <c r="AB56">
        <f>Table1[[#This Row],[c kinetic trace]]* String2Single(CONCATENATE(LEFT(Single2String(Table1[[#This Row],[c gain]]), 6), "00")) + String2Single(CONCATENATE(LEFT(Single2String(Table1[[#This Row],[c bias]]), 6), "00"))</f>
        <v>0.5399932861328125</v>
      </c>
      <c r="AC56" t="str">
        <f xml:space="preserve"> Sng2String(Table1[[#This Row],[c ptrace]])</f>
        <v>3F0A3D00</v>
      </c>
      <c r="AD56">
        <f>MOD(Table1[[#This Row],[t inv sp mx idx]]+3, 2^4)</f>
        <v>9</v>
      </c>
      <c r="AE56" s="4" t="str">
        <f>DEC2HEX(Table1[[#This Row],[row]], 3)</f>
        <v>004</v>
      </c>
      <c r="AF56" s="2" t="str">
        <f>DEC2HEX(Table1[[#This Row],[col]], 3)</f>
        <v>049</v>
      </c>
      <c r="AG56" s="2" t="str">
        <f>DEC2HEX(Table1[[#This Row],[grn fsp idx]], 2)</f>
        <v>6D</v>
      </c>
      <c r="AH56" s="2" t="str">
        <f>DEC2HEX(Table1[[#This Row],[red fsp idx]], 2)</f>
        <v>92</v>
      </c>
      <c r="AI56" s="2" t="str">
        <f xml:space="preserve"> LEFT(Sng2String(Table1[[#This Row],[t bias]]), 6)</f>
        <v>3F0A3D</v>
      </c>
      <c r="AJ56" s="2" t="str">
        <f xml:space="preserve"> LEFT(Sng2String(Table1[[#This Row],[t gain]]), 6)</f>
        <v>3FC51E</v>
      </c>
      <c r="AK56" s="2" t="str">
        <f>DEC2HEX(Table1[[#This Row],[t inv sp mx idx]], 1)</f>
        <v>6</v>
      </c>
      <c r="AL56" s="2" t="str">
        <f xml:space="preserve"> LEFT(Sng2String(Table1[[#This Row],[g bias]]), 6)</f>
        <v>3F851E</v>
      </c>
      <c r="AM56" s="2" t="str">
        <f xml:space="preserve"> LEFT(Sng2String(Table1[[#This Row],[g gain]]), 6)</f>
        <v>3F451E</v>
      </c>
      <c r="AN56" s="2" t="str">
        <f>DEC2HEX(Table1[[#This Row],[g inv sp mx idx]], 1)</f>
        <v>7</v>
      </c>
      <c r="AO56" s="2" t="str">
        <f xml:space="preserve"> LEFT(Sng2String(Table1[[#This Row],[a bias]]), 6)</f>
        <v>3FC51E</v>
      </c>
      <c r="AP56" s="2" t="str">
        <f xml:space="preserve"> LEFT(Sng2String(Table1[[#This Row],[a gain]]), 6)</f>
        <v>3F851E</v>
      </c>
      <c r="AQ56" s="2" t="str">
        <f>DEC2HEX(Table1[[#This Row],[a inv sp mx idx]], 1)</f>
        <v>8</v>
      </c>
      <c r="AR56" s="2" t="str">
        <f xml:space="preserve"> LEFT(Sng2String(Table1[[#This Row],[c bias]]), 6)</f>
        <v>3F0A3D</v>
      </c>
      <c r="AS56" s="2" t="str">
        <f xml:space="preserve"> LEFT(Sng2String(Table1[[#This Row],[c gain]]), 6)</f>
        <v>3FC51E</v>
      </c>
      <c r="AT56" s="2" t="str">
        <f>DEC2HEX(Table1[[#This Row],[c inv sp mx idx]], 1)</f>
        <v>9</v>
      </c>
      <c r="AU56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0040496D923F0A3D3FC51E63F851E3F451E73FC51E3F851E83F0A3D3FC51E902</v>
      </c>
      <c r="AV56" s="2">
        <f>LEN(Table1[[#This Row],[DRAM data]])</f>
        <v>64</v>
      </c>
    </row>
    <row r="57" spans="1:48" x14ac:dyDescent="0.25">
      <c r="A57">
        <v>55</v>
      </c>
      <c r="B57">
        <f>Table1[[#This Row],[ZMW num]]+1</f>
        <v>56</v>
      </c>
      <c r="C57">
        <v>4</v>
      </c>
      <c r="D57">
        <f t="shared" si="0"/>
        <v>76</v>
      </c>
      <c r="E57">
        <v>111</v>
      </c>
      <c r="F57">
        <v>144</v>
      </c>
      <c r="G57">
        <v>0</v>
      </c>
      <c r="H57">
        <f>Table1[[#This Row],[ZMW num]]*0.01</f>
        <v>0.55000000000000004</v>
      </c>
      <c r="I57">
        <f>1+Table1[[#This Row],[t bias]]</f>
        <v>1.55</v>
      </c>
      <c r="J57">
        <f>Table1[[#This Row],[t kinetic trace]]* String2Single(CONCATENATE(LEFT(Single2String(Table1[[#This Row],[t gain]]), 6), "00")) + String2Single(CONCATENATE(LEFT(Single2String(Table1[[#This Row],[t bias]]), 6), "00"))</f>
        <v>0.54998779296875</v>
      </c>
      <c r="K57" t="str">
        <f>Sng2String(Table1[[#This Row],[t ptrace]])</f>
        <v>3F0CCC00</v>
      </c>
      <c r="L57">
        <f>MOD(Table1[[#This Row],[ZMW num]], 2^4)</f>
        <v>7</v>
      </c>
      <c r="M57">
        <v>0</v>
      </c>
      <c r="N57">
        <f>Table1[[#This Row],[t bias]]+0.5</f>
        <v>1.05</v>
      </c>
      <c r="O57">
        <f>Table1[[#This Row],[t gain]]/2</f>
        <v>0.77500000000000002</v>
      </c>
      <c r="P57">
        <f>Table1[[#This Row],[g kinetic trace]] * String2Single(CONCATENATE(LEFT(Single2String(Table1[[#This Row],[g gain]]), 6), "00")) + String2Single(CONCATENATE(LEFT(Single2String(Table1[[#This Row],[g bias]]), 6), "00"))</f>
        <v>1.04998779296875</v>
      </c>
      <c r="Q57" t="str">
        <f xml:space="preserve"> Sng2String(Table1[[#This Row],[g ptrace]])</f>
        <v>3F866600</v>
      </c>
      <c r="R57">
        <f>MOD(Table1[[#This Row],[t inv sp mx idx]]+1, 2^4)</f>
        <v>8</v>
      </c>
      <c r="S57">
        <v>0</v>
      </c>
      <c r="T57">
        <f>Table1[[#This Row],[t bias]]+1</f>
        <v>1.55</v>
      </c>
      <c r="U57">
        <f>Table1[[#This Row],[t gain]]-0.5</f>
        <v>1.05</v>
      </c>
      <c r="V57">
        <f>Table1[[#This Row],[a kinetic trace]] * String2Single(CONCATENATE(LEFT(Single2String(Table1[[#This Row],[a gain]]), 6), "00")) + String2Single(CONCATENATE(LEFT(Single2String(Table1[[#This Row],[a bias]]), 6), "00"))</f>
        <v>1.54998779296875</v>
      </c>
      <c r="W57" t="str">
        <f xml:space="preserve"> Sng2String(Table1[[#This Row],[a ptrace]])</f>
        <v>3FC66600</v>
      </c>
      <c r="X57">
        <f>MOD(Table1[[#This Row],[t inv sp mx idx]]+2, 2^4)</f>
        <v>9</v>
      </c>
      <c r="Y57">
        <v>0</v>
      </c>
      <c r="Z57">
        <f>Table1[[#This Row],[t bias]]</f>
        <v>0.55000000000000004</v>
      </c>
      <c r="AA57">
        <f>Table1[[#This Row],[t gain]]</f>
        <v>1.55</v>
      </c>
      <c r="AB57">
        <f>Table1[[#This Row],[c kinetic trace]]* String2Single(CONCATENATE(LEFT(Single2String(Table1[[#This Row],[c gain]]), 6), "00")) + String2Single(CONCATENATE(LEFT(Single2String(Table1[[#This Row],[c bias]]), 6), "00"))</f>
        <v>0.54998779296875</v>
      </c>
      <c r="AC57" t="str">
        <f xml:space="preserve"> Sng2String(Table1[[#This Row],[c ptrace]])</f>
        <v>3F0CCC00</v>
      </c>
      <c r="AD57">
        <f>MOD(Table1[[#This Row],[t inv sp mx idx]]+3, 2^4)</f>
        <v>10</v>
      </c>
      <c r="AE57" s="4" t="str">
        <f>DEC2HEX(Table1[[#This Row],[row]], 3)</f>
        <v>004</v>
      </c>
      <c r="AF57" s="2" t="str">
        <f>DEC2HEX(Table1[[#This Row],[col]], 3)</f>
        <v>04C</v>
      </c>
      <c r="AG57" s="2" t="str">
        <f>DEC2HEX(Table1[[#This Row],[grn fsp idx]], 2)</f>
        <v>6F</v>
      </c>
      <c r="AH57" s="2" t="str">
        <f>DEC2HEX(Table1[[#This Row],[red fsp idx]], 2)</f>
        <v>90</v>
      </c>
      <c r="AI57" s="2" t="str">
        <f xml:space="preserve"> LEFT(Sng2String(Table1[[#This Row],[t bias]]), 6)</f>
        <v>3F0CCC</v>
      </c>
      <c r="AJ57" s="2" t="str">
        <f xml:space="preserve"> LEFT(Sng2String(Table1[[#This Row],[t gain]]), 6)</f>
        <v>3FC666</v>
      </c>
      <c r="AK57" s="2" t="str">
        <f>DEC2HEX(Table1[[#This Row],[t inv sp mx idx]], 1)</f>
        <v>7</v>
      </c>
      <c r="AL57" s="2" t="str">
        <f xml:space="preserve"> LEFT(Sng2String(Table1[[#This Row],[g bias]]), 6)</f>
        <v>3F8666</v>
      </c>
      <c r="AM57" s="2" t="str">
        <f xml:space="preserve"> LEFT(Sng2String(Table1[[#This Row],[g gain]]), 6)</f>
        <v>3F4666</v>
      </c>
      <c r="AN57" s="2" t="str">
        <f>DEC2HEX(Table1[[#This Row],[g inv sp mx idx]], 1)</f>
        <v>8</v>
      </c>
      <c r="AO57" s="2" t="str">
        <f xml:space="preserve"> LEFT(Sng2String(Table1[[#This Row],[a bias]]), 6)</f>
        <v>3FC666</v>
      </c>
      <c r="AP57" s="2" t="str">
        <f xml:space="preserve"> LEFT(Sng2String(Table1[[#This Row],[a gain]]), 6)</f>
        <v>3F8666</v>
      </c>
      <c r="AQ57" s="2" t="str">
        <f>DEC2HEX(Table1[[#This Row],[a inv sp mx idx]], 1)</f>
        <v>9</v>
      </c>
      <c r="AR57" s="2" t="str">
        <f xml:space="preserve"> LEFT(Sng2String(Table1[[#This Row],[c bias]]), 6)</f>
        <v>3F0CCC</v>
      </c>
      <c r="AS57" s="2" t="str">
        <f xml:space="preserve"> LEFT(Sng2String(Table1[[#This Row],[c gain]]), 6)</f>
        <v>3FC666</v>
      </c>
      <c r="AT57" s="2" t="str">
        <f>DEC2HEX(Table1[[#This Row],[c inv sp mx idx]], 1)</f>
        <v>A</v>
      </c>
      <c r="AU57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00404C6F903F0CCC3FC66673F86663F466683FC6663F866693F0CCC3FC666A02</v>
      </c>
      <c r="AV57" s="2">
        <f>LEN(Table1[[#This Row],[DRAM data]])</f>
        <v>64</v>
      </c>
    </row>
    <row r="58" spans="1:48" x14ac:dyDescent="0.25">
      <c r="A58">
        <v>56</v>
      </c>
      <c r="B58">
        <f>Table1[[#This Row],[ZMW num]]+1</f>
        <v>57</v>
      </c>
      <c r="C58">
        <v>4</v>
      </c>
      <c r="D58">
        <f t="shared" si="0"/>
        <v>81</v>
      </c>
      <c r="E58">
        <v>113</v>
      </c>
      <c r="F58">
        <v>142</v>
      </c>
      <c r="G58">
        <v>0</v>
      </c>
      <c r="H58">
        <f>Table1[[#This Row],[ZMW num]]*0.01</f>
        <v>0.56000000000000005</v>
      </c>
      <c r="I58">
        <f>1+Table1[[#This Row],[t bias]]</f>
        <v>1.56</v>
      </c>
      <c r="J58">
        <f>Table1[[#This Row],[t kinetic trace]]* String2Single(CONCATENATE(LEFT(Single2String(Table1[[#This Row],[t gain]]), 6), "00")) + String2Single(CONCATENATE(LEFT(Single2String(Table1[[#This Row],[t bias]]), 6), "00"))</f>
        <v>0.55999755859375</v>
      </c>
      <c r="K58" t="str">
        <f>Sng2String(Table1[[#This Row],[t ptrace]])</f>
        <v>3F0F5C00</v>
      </c>
      <c r="L58">
        <f>MOD(Table1[[#This Row],[ZMW num]], 2^4)</f>
        <v>8</v>
      </c>
      <c r="M58">
        <v>0</v>
      </c>
      <c r="N58">
        <f>Table1[[#This Row],[t bias]]+0.5</f>
        <v>1.06</v>
      </c>
      <c r="O58">
        <f>Table1[[#This Row],[t gain]]/2</f>
        <v>0.78</v>
      </c>
      <c r="P58">
        <f>Table1[[#This Row],[g kinetic trace]] * String2Single(CONCATENATE(LEFT(Single2String(Table1[[#This Row],[g gain]]), 6), "00")) + String2Single(CONCATENATE(LEFT(Single2String(Table1[[#This Row],[g bias]]), 6), "00"))</f>
        <v>1.05999755859375</v>
      </c>
      <c r="Q58" t="str">
        <f xml:space="preserve"> Sng2String(Table1[[#This Row],[g ptrace]])</f>
        <v>3F87AE00</v>
      </c>
      <c r="R58">
        <f>MOD(Table1[[#This Row],[t inv sp mx idx]]+1, 2^4)</f>
        <v>9</v>
      </c>
      <c r="S58">
        <v>0</v>
      </c>
      <c r="T58">
        <f>Table1[[#This Row],[t bias]]+1</f>
        <v>1.56</v>
      </c>
      <c r="U58">
        <f>Table1[[#This Row],[t gain]]-0.5</f>
        <v>1.06</v>
      </c>
      <c r="V58">
        <f>Table1[[#This Row],[a kinetic trace]] * String2Single(CONCATENATE(LEFT(Single2String(Table1[[#This Row],[a gain]]), 6), "00")) + String2Single(CONCATENATE(LEFT(Single2String(Table1[[#This Row],[a bias]]), 6), "00"))</f>
        <v>1.55999755859375</v>
      </c>
      <c r="W58" t="str">
        <f xml:space="preserve"> Sng2String(Table1[[#This Row],[a ptrace]])</f>
        <v>3FC7AE00</v>
      </c>
      <c r="X58">
        <f>MOD(Table1[[#This Row],[t inv sp mx idx]]+2, 2^4)</f>
        <v>10</v>
      </c>
      <c r="Y58">
        <v>0</v>
      </c>
      <c r="Z58">
        <f>Table1[[#This Row],[t bias]]</f>
        <v>0.56000000000000005</v>
      </c>
      <c r="AA58">
        <f>Table1[[#This Row],[t gain]]</f>
        <v>1.56</v>
      </c>
      <c r="AB58">
        <f>Table1[[#This Row],[c kinetic trace]]* String2Single(CONCATENATE(LEFT(Single2String(Table1[[#This Row],[c gain]]), 6), "00")) + String2Single(CONCATENATE(LEFT(Single2String(Table1[[#This Row],[c bias]]), 6), "00"))</f>
        <v>0.55999755859375</v>
      </c>
      <c r="AC58" t="str">
        <f xml:space="preserve"> Sng2String(Table1[[#This Row],[c ptrace]])</f>
        <v>3F0F5C00</v>
      </c>
      <c r="AD58">
        <f>MOD(Table1[[#This Row],[t inv sp mx idx]]+3, 2^4)</f>
        <v>11</v>
      </c>
      <c r="AE58" s="4" t="str">
        <f>DEC2HEX(Table1[[#This Row],[row]], 3)</f>
        <v>004</v>
      </c>
      <c r="AF58" s="2" t="str">
        <f>DEC2HEX(Table1[[#This Row],[col]], 3)</f>
        <v>051</v>
      </c>
      <c r="AG58" s="2" t="str">
        <f>DEC2HEX(Table1[[#This Row],[grn fsp idx]], 2)</f>
        <v>71</v>
      </c>
      <c r="AH58" s="2" t="str">
        <f>DEC2HEX(Table1[[#This Row],[red fsp idx]], 2)</f>
        <v>8E</v>
      </c>
      <c r="AI58" s="2" t="str">
        <f xml:space="preserve"> LEFT(Sng2String(Table1[[#This Row],[t bias]]), 6)</f>
        <v>3F0F5C</v>
      </c>
      <c r="AJ58" s="2" t="str">
        <f xml:space="preserve"> LEFT(Sng2String(Table1[[#This Row],[t gain]]), 6)</f>
        <v>3FC7AE</v>
      </c>
      <c r="AK58" s="2" t="str">
        <f>DEC2HEX(Table1[[#This Row],[t inv sp mx idx]], 1)</f>
        <v>8</v>
      </c>
      <c r="AL58" s="2" t="str">
        <f xml:space="preserve"> LEFT(Sng2String(Table1[[#This Row],[g bias]]), 6)</f>
        <v>3F87AE</v>
      </c>
      <c r="AM58" s="2" t="str">
        <f xml:space="preserve"> LEFT(Sng2String(Table1[[#This Row],[g gain]]), 6)</f>
        <v>3F47AE</v>
      </c>
      <c r="AN58" s="2" t="str">
        <f>DEC2HEX(Table1[[#This Row],[g inv sp mx idx]], 1)</f>
        <v>9</v>
      </c>
      <c r="AO58" s="2" t="str">
        <f xml:space="preserve"> LEFT(Sng2String(Table1[[#This Row],[a bias]]), 6)</f>
        <v>3FC7AE</v>
      </c>
      <c r="AP58" s="2" t="str">
        <f xml:space="preserve"> LEFT(Sng2String(Table1[[#This Row],[a gain]]), 6)</f>
        <v>3F87AE</v>
      </c>
      <c r="AQ58" s="2" t="str">
        <f>DEC2HEX(Table1[[#This Row],[a inv sp mx idx]], 1)</f>
        <v>A</v>
      </c>
      <c r="AR58" s="2" t="str">
        <f xml:space="preserve"> LEFT(Sng2String(Table1[[#This Row],[c bias]]), 6)</f>
        <v>3F0F5C</v>
      </c>
      <c r="AS58" s="2" t="str">
        <f xml:space="preserve"> LEFT(Sng2String(Table1[[#This Row],[c gain]]), 6)</f>
        <v>3FC7AE</v>
      </c>
      <c r="AT58" s="2" t="str">
        <f>DEC2HEX(Table1[[#This Row],[c inv sp mx idx]], 1)</f>
        <v>B</v>
      </c>
      <c r="AU58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004051718E3F0F5C3FC7AE83F87AE3F47AE93FC7AE3F87AEA3F0F5C3FC7AEB02</v>
      </c>
      <c r="AV58" s="2">
        <f>LEN(Table1[[#This Row],[DRAM data]])</f>
        <v>64</v>
      </c>
    </row>
    <row r="59" spans="1:48" x14ac:dyDescent="0.25">
      <c r="A59">
        <v>57</v>
      </c>
      <c r="B59">
        <f>Table1[[#This Row],[ZMW num]]+1</f>
        <v>58</v>
      </c>
      <c r="C59">
        <v>4</v>
      </c>
      <c r="D59">
        <f t="shared" si="0"/>
        <v>88</v>
      </c>
      <c r="E59">
        <v>115</v>
      </c>
      <c r="F59">
        <v>140</v>
      </c>
      <c r="G59">
        <v>0</v>
      </c>
      <c r="H59">
        <f>Table1[[#This Row],[ZMW num]]*0.01</f>
        <v>0.57000000000000006</v>
      </c>
      <c r="I59">
        <f>1+Table1[[#This Row],[t bias]]</f>
        <v>1.57</v>
      </c>
      <c r="J59">
        <f>Table1[[#This Row],[t kinetic trace]]* String2Single(CONCATENATE(LEFT(Single2String(Table1[[#This Row],[t gain]]), 6), "00")) + String2Single(CONCATENATE(LEFT(Single2String(Table1[[#This Row],[t bias]]), 6), "00"))</f>
        <v>0.5699920654296875</v>
      </c>
      <c r="K59" t="str">
        <f>Sng2String(Table1[[#This Row],[t ptrace]])</f>
        <v>3F11EB00</v>
      </c>
      <c r="L59">
        <f>MOD(Table1[[#This Row],[ZMW num]], 2^4)</f>
        <v>9</v>
      </c>
      <c r="M59">
        <v>0</v>
      </c>
      <c r="N59">
        <f>Table1[[#This Row],[t bias]]+0.5</f>
        <v>1.07</v>
      </c>
      <c r="O59">
        <f>Table1[[#This Row],[t gain]]/2</f>
        <v>0.78500000000000003</v>
      </c>
      <c r="P59">
        <f>Table1[[#This Row],[g kinetic trace]] * String2Single(CONCATENATE(LEFT(Single2String(Table1[[#This Row],[g gain]]), 6), "00")) + String2Single(CONCATENATE(LEFT(Single2String(Table1[[#This Row],[g bias]]), 6), "00"))</f>
        <v>1.069976806640625</v>
      </c>
      <c r="Q59" t="str">
        <f xml:space="preserve"> Sng2String(Table1[[#This Row],[g ptrace]])</f>
        <v>3F88F500</v>
      </c>
      <c r="R59">
        <f>MOD(Table1[[#This Row],[t inv sp mx idx]]+1, 2^4)</f>
        <v>10</v>
      </c>
      <c r="S59">
        <v>0</v>
      </c>
      <c r="T59">
        <f>Table1[[#This Row],[t bias]]+1</f>
        <v>1.57</v>
      </c>
      <c r="U59">
        <f>Table1[[#This Row],[t gain]]-0.5</f>
        <v>1.07</v>
      </c>
      <c r="V59">
        <f>Table1[[#This Row],[a kinetic trace]] * String2Single(CONCATENATE(LEFT(Single2String(Table1[[#This Row],[a gain]]), 6), "00")) + String2Single(CONCATENATE(LEFT(Single2String(Table1[[#This Row],[a bias]]), 6), "00"))</f>
        <v>1.569976806640625</v>
      </c>
      <c r="W59" t="str">
        <f xml:space="preserve"> Sng2String(Table1[[#This Row],[a ptrace]])</f>
        <v>3FC8F500</v>
      </c>
      <c r="X59">
        <f>MOD(Table1[[#This Row],[t inv sp mx idx]]+2, 2^4)</f>
        <v>11</v>
      </c>
      <c r="Y59">
        <v>0</v>
      </c>
      <c r="Z59">
        <f>Table1[[#This Row],[t bias]]</f>
        <v>0.57000000000000006</v>
      </c>
      <c r="AA59">
        <f>Table1[[#This Row],[t gain]]</f>
        <v>1.57</v>
      </c>
      <c r="AB59">
        <f>Table1[[#This Row],[c kinetic trace]]* String2Single(CONCATENATE(LEFT(Single2String(Table1[[#This Row],[c gain]]), 6), "00")) + String2Single(CONCATENATE(LEFT(Single2String(Table1[[#This Row],[c bias]]), 6), "00"))</f>
        <v>0.5699920654296875</v>
      </c>
      <c r="AC59" t="str">
        <f xml:space="preserve"> Sng2String(Table1[[#This Row],[c ptrace]])</f>
        <v>3F11EB00</v>
      </c>
      <c r="AD59">
        <f>MOD(Table1[[#This Row],[t inv sp mx idx]]+3, 2^4)</f>
        <v>12</v>
      </c>
      <c r="AE59" s="4" t="str">
        <f>DEC2HEX(Table1[[#This Row],[row]], 3)</f>
        <v>004</v>
      </c>
      <c r="AF59" s="2" t="str">
        <f>DEC2HEX(Table1[[#This Row],[col]], 3)</f>
        <v>058</v>
      </c>
      <c r="AG59" s="2" t="str">
        <f>DEC2HEX(Table1[[#This Row],[grn fsp idx]], 2)</f>
        <v>73</v>
      </c>
      <c r="AH59" s="2" t="str">
        <f>DEC2HEX(Table1[[#This Row],[red fsp idx]], 2)</f>
        <v>8C</v>
      </c>
      <c r="AI59" s="2" t="str">
        <f xml:space="preserve"> LEFT(Sng2String(Table1[[#This Row],[t bias]]), 6)</f>
        <v>3F11EB</v>
      </c>
      <c r="AJ59" s="2" t="str">
        <f xml:space="preserve"> LEFT(Sng2String(Table1[[#This Row],[t gain]]), 6)</f>
        <v>3FC8F5</v>
      </c>
      <c r="AK59" s="2" t="str">
        <f>DEC2HEX(Table1[[#This Row],[t inv sp mx idx]], 1)</f>
        <v>9</v>
      </c>
      <c r="AL59" s="2" t="str">
        <f xml:space="preserve"> LEFT(Sng2String(Table1[[#This Row],[g bias]]), 6)</f>
        <v>3F88F5</v>
      </c>
      <c r="AM59" s="2" t="str">
        <f xml:space="preserve"> LEFT(Sng2String(Table1[[#This Row],[g gain]]), 6)</f>
        <v>3F48F5</v>
      </c>
      <c r="AN59" s="2" t="str">
        <f>DEC2HEX(Table1[[#This Row],[g inv sp mx idx]], 1)</f>
        <v>A</v>
      </c>
      <c r="AO59" s="2" t="str">
        <f xml:space="preserve"> LEFT(Sng2String(Table1[[#This Row],[a bias]]), 6)</f>
        <v>3FC8F5</v>
      </c>
      <c r="AP59" s="2" t="str">
        <f xml:space="preserve"> LEFT(Sng2String(Table1[[#This Row],[a gain]]), 6)</f>
        <v>3F88F5</v>
      </c>
      <c r="AQ59" s="2" t="str">
        <f>DEC2HEX(Table1[[#This Row],[a inv sp mx idx]], 1)</f>
        <v>B</v>
      </c>
      <c r="AR59" s="2" t="str">
        <f xml:space="preserve"> LEFT(Sng2String(Table1[[#This Row],[c bias]]), 6)</f>
        <v>3F11EB</v>
      </c>
      <c r="AS59" s="2" t="str">
        <f xml:space="preserve"> LEFT(Sng2String(Table1[[#This Row],[c gain]]), 6)</f>
        <v>3FC8F5</v>
      </c>
      <c r="AT59" s="2" t="str">
        <f>DEC2HEX(Table1[[#This Row],[c inv sp mx idx]], 1)</f>
        <v>C</v>
      </c>
      <c r="AU59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004058738C3F11EB3FC8F593F88F53F48F5A3FC8F53F88F5B3F11EB3FC8F5C02</v>
      </c>
      <c r="AV59" s="2">
        <f>LEN(Table1[[#This Row],[DRAM data]])</f>
        <v>64</v>
      </c>
    </row>
    <row r="60" spans="1:48" x14ac:dyDescent="0.25">
      <c r="A60">
        <v>58</v>
      </c>
      <c r="B60">
        <f>Table1[[#This Row],[ZMW num]]+1</f>
        <v>59</v>
      </c>
      <c r="C60">
        <v>4</v>
      </c>
      <c r="D60">
        <f t="shared" si="0"/>
        <v>94</v>
      </c>
      <c r="E60">
        <v>117</v>
      </c>
      <c r="F60">
        <v>138</v>
      </c>
      <c r="G60">
        <v>0</v>
      </c>
      <c r="H60">
        <f>Table1[[#This Row],[ZMW num]]*0.01</f>
        <v>0.57999999999999996</v>
      </c>
      <c r="I60">
        <f>1+Table1[[#This Row],[t bias]]</f>
        <v>1.58</v>
      </c>
      <c r="J60">
        <f>Table1[[#This Row],[t kinetic trace]]* String2Single(CONCATENATE(LEFT(Single2String(Table1[[#This Row],[t gain]]), 6), "00")) + String2Single(CONCATENATE(LEFT(Single2String(Table1[[#This Row],[t bias]]), 6), "00"))</f>
        <v>0.579986572265625</v>
      </c>
      <c r="K60" t="str">
        <f>Sng2String(Table1[[#This Row],[t ptrace]])</f>
        <v>3F147A00</v>
      </c>
      <c r="L60">
        <f>MOD(Table1[[#This Row],[ZMW num]], 2^4)</f>
        <v>10</v>
      </c>
      <c r="M60">
        <v>0</v>
      </c>
      <c r="N60">
        <f>Table1[[#This Row],[t bias]]+0.5</f>
        <v>1.08</v>
      </c>
      <c r="O60">
        <f>Table1[[#This Row],[t gain]]/2</f>
        <v>0.79</v>
      </c>
      <c r="P60">
        <f>Table1[[#This Row],[g kinetic trace]] * String2Single(CONCATENATE(LEFT(Single2String(Table1[[#This Row],[g gain]]), 6), "00")) + String2Single(CONCATENATE(LEFT(Single2String(Table1[[#This Row],[g bias]]), 6), "00"))</f>
        <v>1.079986572265625</v>
      </c>
      <c r="Q60" t="str">
        <f xml:space="preserve"> Sng2String(Table1[[#This Row],[g ptrace]])</f>
        <v>3F8A3D00</v>
      </c>
      <c r="R60">
        <f>MOD(Table1[[#This Row],[t inv sp mx idx]]+1, 2^4)</f>
        <v>11</v>
      </c>
      <c r="S60">
        <v>0</v>
      </c>
      <c r="T60">
        <f>Table1[[#This Row],[t bias]]+1</f>
        <v>1.58</v>
      </c>
      <c r="U60">
        <f>Table1[[#This Row],[t gain]]-0.5</f>
        <v>1.08</v>
      </c>
      <c r="V60">
        <f>Table1[[#This Row],[a kinetic trace]] * String2Single(CONCATENATE(LEFT(Single2String(Table1[[#This Row],[a gain]]), 6), "00")) + String2Single(CONCATENATE(LEFT(Single2String(Table1[[#This Row],[a bias]]), 6), "00"))</f>
        <v>1.579986572265625</v>
      </c>
      <c r="W60" t="str">
        <f xml:space="preserve"> Sng2String(Table1[[#This Row],[a ptrace]])</f>
        <v>3FCA3D00</v>
      </c>
      <c r="X60">
        <f>MOD(Table1[[#This Row],[t inv sp mx idx]]+2, 2^4)</f>
        <v>12</v>
      </c>
      <c r="Y60">
        <v>0</v>
      </c>
      <c r="Z60">
        <f>Table1[[#This Row],[t bias]]</f>
        <v>0.57999999999999996</v>
      </c>
      <c r="AA60">
        <f>Table1[[#This Row],[t gain]]</f>
        <v>1.58</v>
      </c>
      <c r="AB60">
        <f>Table1[[#This Row],[c kinetic trace]]* String2Single(CONCATENATE(LEFT(Single2String(Table1[[#This Row],[c gain]]), 6), "00")) + String2Single(CONCATENATE(LEFT(Single2String(Table1[[#This Row],[c bias]]), 6), "00"))</f>
        <v>0.579986572265625</v>
      </c>
      <c r="AC60" t="str">
        <f xml:space="preserve"> Sng2String(Table1[[#This Row],[c ptrace]])</f>
        <v>3F147A00</v>
      </c>
      <c r="AD60">
        <f>MOD(Table1[[#This Row],[t inv sp mx idx]]+3, 2^4)</f>
        <v>13</v>
      </c>
      <c r="AE60" s="4" t="str">
        <f>DEC2HEX(Table1[[#This Row],[row]], 3)</f>
        <v>004</v>
      </c>
      <c r="AF60" s="2" t="str">
        <f>DEC2HEX(Table1[[#This Row],[col]], 3)</f>
        <v>05E</v>
      </c>
      <c r="AG60" s="2" t="str">
        <f>DEC2HEX(Table1[[#This Row],[grn fsp idx]], 2)</f>
        <v>75</v>
      </c>
      <c r="AH60" s="2" t="str">
        <f>DEC2HEX(Table1[[#This Row],[red fsp idx]], 2)</f>
        <v>8A</v>
      </c>
      <c r="AI60" s="2" t="str">
        <f xml:space="preserve"> LEFT(Sng2String(Table1[[#This Row],[t bias]]), 6)</f>
        <v>3F147A</v>
      </c>
      <c r="AJ60" s="2" t="str">
        <f xml:space="preserve"> LEFT(Sng2String(Table1[[#This Row],[t gain]]), 6)</f>
        <v>3FCA3D</v>
      </c>
      <c r="AK60" s="2" t="str">
        <f>DEC2HEX(Table1[[#This Row],[t inv sp mx idx]], 1)</f>
        <v>A</v>
      </c>
      <c r="AL60" s="2" t="str">
        <f xml:space="preserve"> LEFT(Sng2String(Table1[[#This Row],[g bias]]), 6)</f>
        <v>3F8A3D</v>
      </c>
      <c r="AM60" s="2" t="str">
        <f xml:space="preserve"> LEFT(Sng2String(Table1[[#This Row],[g gain]]), 6)</f>
        <v>3F4A3D</v>
      </c>
      <c r="AN60" s="2" t="str">
        <f>DEC2HEX(Table1[[#This Row],[g inv sp mx idx]], 1)</f>
        <v>B</v>
      </c>
      <c r="AO60" s="2" t="str">
        <f xml:space="preserve"> LEFT(Sng2String(Table1[[#This Row],[a bias]]), 6)</f>
        <v>3FCA3D</v>
      </c>
      <c r="AP60" s="2" t="str">
        <f xml:space="preserve"> LEFT(Sng2String(Table1[[#This Row],[a gain]]), 6)</f>
        <v>3F8A3D</v>
      </c>
      <c r="AQ60" s="2" t="str">
        <f>DEC2HEX(Table1[[#This Row],[a inv sp mx idx]], 1)</f>
        <v>C</v>
      </c>
      <c r="AR60" s="2" t="str">
        <f xml:space="preserve"> LEFT(Sng2String(Table1[[#This Row],[c bias]]), 6)</f>
        <v>3F147A</v>
      </c>
      <c r="AS60" s="2" t="str">
        <f xml:space="preserve"> LEFT(Sng2String(Table1[[#This Row],[c gain]]), 6)</f>
        <v>3FCA3D</v>
      </c>
      <c r="AT60" s="2" t="str">
        <f>DEC2HEX(Table1[[#This Row],[c inv sp mx idx]], 1)</f>
        <v>D</v>
      </c>
      <c r="AU60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00405E758A3F147A3FCA3DA3F8A3D3F4A3DB3FCA3D3F8A3DC3F147A3FCA3DD02</v>
      </c>
      <c r="AV60" s="2">
        <f>LEN(Table1[[#This Row],[DRAM data]])</f>
        <v>64</v>
      </c>
    </row>
    <row r="61" spans="1:48" x14ac:dyDescent="0.25">
      <c r="A61">
        <v>59</v>
      </c>
      <c r="B61">
        <f>Table1[[#This Row],[ZMW num]]+1</f>
        <v>60</v>
      </c>
      <c r="C61">
        <v>4</v>
      </c>
      <c r="D61">
        <f t="shared" si="0"/>
        <v>101</v>
      </c>
      <c r="E61">
        <v>119</v>
      </c>
      <c r="F61">
        <v>136</v>
      </c>
      <c r="G61">
        <v>0</v>
      </c>
      <c r="H61">
        <f>Table1[[#This Row],[ZMW num]]*0.01</f>
        <v>0.59</v>
      </c>
      <c r="I61">
        <f>1+Table1[[#This Row],[t bias]]</f>
        <v>1.5899999999999999</v>
      </c>
      <c r="J61">
        <f>Table1[[#This Row],[t kinetic trace]]* String2Single(CONCATENATE(LEFT(Single2String(Table1[[#This Row],[t gain]]), 6), "00")) + String2Single(CONCATENATE(LEFT(Single2String(Table1[[#This Row],[t bias]]), 6), "00"))</f>
        <v>0.589996337890625</v>
      </c>
      <c r="K61" t="str">
        <f>Sng2String(Table1[[#This Row],[t ptrace]])</f>
        <v>3F170A00</v>
      </c>
      <c r="L61">
        <f>MOD(Table1[[#This Row],[ZMW num]], 2^4)</f>
        <v>11</v>
      </c>
      <c r="M61">
        <v>0</v>
      </c>
      <c r="N61">
        <f>Table1[[#This Row],[t bias]]+0.5</f>
        <v>1.0899999999999999</v>
      </c>
      <c r="O61">
        <f>Table1[[#This Row],[t gain]]/2</f>
        <v>0.79499999999999993</v>
      </c>
      <c r="P61">
        <f>Table1[[#This Row],[g kinetic trace]] * String2Single(CONCATENATE(LEFT(Single2String(Table1[[#This Row],[g gain]]), 6), "00")) + String2Single(CONCATENATE(LEFT(Single2String(Table1[[#This Row],[g bias]]), 6), "00"))</f>
        <v>1.089996337890625</v>
      </c>
      <c r="Q61" t="str">
        <f xml:space="preserve"> Sng2String(Table1[[#This Row],[g ptrace]])</f>
        <v>3F8B8500</v>
      </c>
      <c r="R61">
        <f>MOD(Table1[[#This Row],[t inv sp mx idx]]+1, 2^4)</f>
        <v>12</v>
      </c>
      <c r="S61">
        <v>0</v>
      </c>
      <c r="T61">
        <f>Table1[[#This Row],[t bias]]+1</f>
        <v>1.5899999999999999</v>
      </c>
      <c r="U61">
        <f>Table1[[#This Row],[t gain]]-0.5</f>
        <v>1.0899999999999999</v>
      </c>
      <c r="V61">
        <f>Table1[[#This Row],[a kinetic trace]] * String2Single(CONCATENATE(LEFT(Single2String(Table1[[#This Row],[a gain]]), 6), "00")) + String2Single(CONCATENATE(LEFT(Single2String(Table1[[#This Row],[a bias]]), 6), "00"))</f>
        <v>1.589996337890625</v>
      </c>
      <c r="W61" t="str">
        <f xml:space="preserve"> Sng2String(Table1[[#This Row],[a ptrace]])</f>
        <v>3FCB8500</v>
      </c>
      <c r="X61">
        <f>MOD(Table1[[#This Row],[t inv sp mx idx]]+2, 2^4)</f>
        <v>13</v>
      </c>
      <c r="Y61">
        <v>0</v>
      </c>
      <c r="Z61">
        <f>Table1[[#This Row],[t bias]]</f>
        <v>0.59</v>
      </c>
      <c r="AA61">
        <f>Table1[[#This Row],[t gain]]</f>
        <v>1.5899999999999999</v>
      </c>
      <c r="AB61">
        <f>Table1[[#This Row],[c kinetic trace]]* String2Single(CONCATENATE(LEFT(Single2String(Table1[[#This Row],[c gain]]), 6), "00")) + String2Single(CONCATENATE(LEFT(Single2String(Table1[[#This Row],[c bias]]), 6), "00"))</f>
        <v>0.589996337890625</v>
      </c>
      <c r="AC61" t="str">
        <f xml:space="preserve"> Sng2String(Table1[[#This Row],[c ptrace]])</f>
        <v>3F170A00</v>
      </c>
      <c r="AD61">
        <f>MOD(Table1[[#This Row],[t inv sp mx idx]]+3, 2^4)</f>
        <v>14</v>
      </c>
      <c r="AE61" s="4" t="str">
        <f>DEC2HEX(Table1[[#This Row],[row]], 3)</f>
        <v>004</v>
      </c>
      <c r="AF61" s="2" t="str">
        <f>DEC2HEX(Table1[[#This Row],[col]], 3)</f>
        <v>065</v>
      </c>
      <c r="AG61" s="2" t="str">
        <f>DEC2HEX(Table1[[#This Row],[grn fsp idx]], 2)</f>
        <v>77</v>
      </c>
      <c r="AH61" s="2" t="str">
        <f>DEC2HEX(Table1[[#This Row],[red fsp idx]], 2)</f>
        <v>88</v>
      </c>
      <c r="AI61" s="2" t="str">
        <f xml:space="preserve"> LEFT(Sng2String(Table1[[#This Row],[t bias]]), 6)</f>
        <v>3F170A</v>
      </c>
      <c r="AJ61" s="2" t="str">
        <f xml:space="preserve"> LEFT(Sng2String(Table1[[#This Row],[t gain]]), 6)</f>
        <v>3FCB85</v>
      </c>
      <c r="AK61" s="2" t="str">
        <f>DEC2HEX(Table1[[#This Row],[t inv sp mx idx]], 1)</f>
        <v>B</v>
      </c>
      <c r="AL61" s="2" t="str">
        <f xml:space="preserve"> LEFT(Sng2String(Table1[[#This Row],[g bias]]), 6)</f>
        <v>3F8B85</v>
      </c>
      <c r="AM61" s="2" t="str">
        <f xml:space="preserve"> LEFT(Sng2String(Table1[[#This Row],[g gain]]), 6)</f>
        <v>3F4B85</v>
      </c>
      <c r="AN61" s="2" t="str">
        <f>DEC2HEX(Table1[[#This Row],[g inv sp mx idx]], 1)</f>
        <v>C</v>
      </c>
      <c r="AO61" s="2" t="str">
        <f xml:space="preserve"> LEFT(Sng2String(Table1[[#This Row],[a bias]]), 6)</f>
        <v>3FCB85</v>
      </c>
      <c r="AP61" s="2" t="str">
        <f xml:space="preserve"> LEFT(Sng2String(Table1[[#This Row],[a gain]]), 6)</f>
        <v>3F8B85</v>
      </c>
      <c r="AQ61" s="2" t="str">
        <f>DEC2HEX(Table1[[#This Row],[a inv sp mx idx]], 1)</f>
        <v>D</v>
      </c>
      <c r="AR61" s="2" t="str">
        <f xml:space="preserve"> LEFT(Sng2String(Table1[[#This Row],[c bias]]), 6)</f>
        <v>3F170A</v>
      </c>
      <c r="AS61" s="2" t="str">
        <f xml:space="preserve"> LEFT(Sng2String(Table1[[#This Row],[c gain]]), 6)</f>
        <v>3FCB85</v>
      </c>
      <c r="AT61" s="2" t="str">
        <f>DEC2HEX(Table1[[#This Row],[c inv sp mx idx]], 1)</f>
        <v>E</v>
      </c>
      <c r="AU61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00406577883F170A3FCB85B3F8B853F4B85C3FCB853F8B85D3F170A3FCB85E02</v>
      </c>
      <c r="AV61" s="2">
        <f>LEN(Table1[[#This Row],[DRAM data]])</f>
        <v>64</v>
      </c>
    </row>
    <row r="62" spans="1:48" x14ac:dyDescent="0.25">
      <c r="A62">
        <v>60</v>
      </c>
      <c r="B62">
        <f>Table1[[#This Row],[ZMW num]]+1</f>
        <v>61</v>
      </c>
      <c r="C62">
        <v>4</v>
      </c>
      <c r="D62">
        <f t="shared" si="0"/>
        <v>106</v>
      </c>
      <c r="E62">
        <v>121</v>
      </c>
      <c r="F62">
        <v>134</v>
      </c>
      <c r="G62">
        <v>0</v>
      </c>
      <c r="H62">
        <f>Table1[[#This Row],[ZMW num]]*0.01</f>
        <v>0.6</v>
      </c>
      <c r="I62">
        <f>1+Table1[[#This Row],[t bias]]</f>
        <v>1.6</v>
      </c>
      <c r="J62">
        <f>Table1[[#This Row],[t kinetic trace]]* String2Single(CONCATENATE(LEFT(Single2String(Table1[[#This Row],[t gain]]), 6), "00")) + String2Single(CONCATENATE(LEFT(Single2String(Table1[[#This Row],[t bias]]), 6), "00"))</f>
        <v>0.5999908447265625</v>
      </c>
      <c r="K62" t="str">
        <f>Sng2String(Table1[[#This Row],[t ptrace]])</f>
        <v>3F199900</v>
      </c>
      <c r="L62">
        <f>MOD(Table1[[#This Row],[ZMW num]], 2^4)</f>
        <v>12</v>
      </c>
      <c r="M62">
        <v>0</v>
      </c>
      <c r="N62">
        <f>Table1[[#This Row],[t bias]]+0.5</f>
        <v>1.1000000000000001</v>
      </c>
      <c r="O62">
        <f>Table1[[#This Row],[t gain]]/2</f>
        <v>0.8</v>
      </c>
      <c r="P62">
        <f>Table1[[#This Row],[g kinetic trace]] * String2Single(CONCATENATE(LEFT(Single2String(Table1[[#This Row],[g gain]]), 6), "00")) + String2Single(CONCATENATE(LEFT(Single2String(Table1[[#This Row],[g bias]]), 6), "00"))</f>
        <v>1.0999755859375</v>
      </c>
      <c r="Q62" t="str">
        <f xml:space="preserve"> Sng2String(Table1[[#This Row],[g ptrace]])</f>
        <v>3F8CCC00</v>
      </c>
      <c r="R62">
        <f>MOD(Table1[[#This Row],[t inv sp mx idx]]+1, 2^4)</f>
        <v>13</v>
      </c>
      <c r="S62">
        <v>0</v>
      </c>
      <c r="T62">
        <f>Table1[[#This Row],[t bias]]+1</f>
        <v>1.6</v>
      </c>
      <c r="U62">
        <f>Table1[[#This Row],[t gain]]-0.5</f>
        <v>1.1000000000000001</v>
      </c>
      <c r="V62">
        <f>Table1[[#This Row],[a kinetic trace]] * String2Single(CONCATENATE(LEFT(Single2String(Table1[[#This Row],[a gain]]), 6), "00")) + String2Single(CONCATENATE(LEFT(Single2String(Table1[[#This Row],[a bias]]), 6), "00"))</f>
        <v>1.5999755859375</v>
      </c>
      <c r="W62" t="str">
        <f xml:space="preserve"> Sng2String(Table1[[#This Row],[a ptrace]])</f>
        <v>3FCCCC00</v>
      </c>
      <c r="X62">
        <f>MOD(Table1[[#This Row],[t inv sp mx idx]]+2, 2^4)</f>
        <v>14</v>
      </c>
      <c r="Y62">
        <v>0</v>
      </c>
      <c r="Z62">
        <f>Table1[[#This Row],[t bias]]</f>
        <v>0.6</v>
      </c>
      <c r="AA62">
        <f>Table1[[#This Row],[t gain]]</f>
        <v>1.6</v>
      </c>
      <c r="AB62">
        <f>Table1[[#This Row],[c kinetic trace]]* String2Single(CONCATENATE(LEFT(Single2String(Table1[[#This Row],[c gain]]), 6), "00")) + String2Single(CONCATENATE(LEFT(Single2String(Table1[[#This Row],[c bias]]), 6), "00"))</f>
        <v>0.5999908447265625</v>
      </c>
      <c r="AC62" t="str">
        <f xml:space="preserve"> Sng2String(Table1[[#This Row],[c ptrace]])</f>
        <v>3F199900</v>
      </c>
      <c r="AD62">
        <f>MOD(Table1[[#This Row],[t inv sp mx idx]]+3, 2^4)</f>
        <v>15</v>
      </c>
      <c r="AE62" s="4" t="str">
        <f>DEC2HEX(Table1[[#This Row],[row]], 3)</f>
        <v>004</v>
      </c>
      <c r="AF62" s="2" t="str">
        <f>DEC2HEX(Table1[[#This Row],[col]], 3)</f>
        <v>06A</v>
      </c>
      <c r="AG62" s="2" t="str">
        <f>DEC2HEX(Table1[[#This Row],[grn fsp idx]], 2)</f>
        <v>79</v>
      </c>
      <c r="AH62" s="2" t="str">
        <f>DEC2HEX(Table1[[#This Row],[red fsp idx]], 2)</f>
        <v>86</v>
      </c>
      <c r="AI62" s="2" t="str">
        <f xml:space="preserve"> LEFT(Sng2String(Table1[[#This Row],[t bias]]), 6)</f>
        <v>3F1999</v>
      </c>
      <c r="AJ62" s="2" t="str">
        <f xml:space="preserve"> LEFT(Sng2String(Table1[[#This Row],[t gain]]), 6)</f>
        <v>3FCCCC</v>
      </c>
      <c r="AK62" s="2" t="str">
        <f>DEC2HEX(Table1[[#This Row],[t inv sp mx idx]], 1)</f>
        <v>C</v>
      </c>
      <c r="AL62" s="2" t="str">
        <f xml:space="preserve"> LEFT(Sng2String(Table1[[#This Row],[g bias]]), 6)</f>
        <v>3F8CCC</v>
      </c>
      <c r="AM62" s="2" t="str">
        <f xml:space="preserve"> LEFT(Sng2String(Table1[[#This Row],[g gain]]), 6)</f>
        <v>3F4CCC</v>
      </c>
      <c r="AN62" s="2" t="str">
        <f>DEC2HEX(Table1[[#This Row],[g inv sp mx idx]], 1)</f>
        <v>D</v>
      </c>
      <c r="AO62" s="2" t="str">
        <f xml:space="preserve"> LEFT(Sng2String(Table1[[#This Row],[a bias]]), 6)</f>
        <v>3FCCCC</v>
      </c>
      <c r="AP62" s="2" t="str">
        <f xml:space="preserve"> LEFT(Sng2String(Table1[[#This Row],[a gain]]), 6)</f>
        <v>3F8CCC</v>
      </c>
      <c r="AQ62" s="2" t="str">
        <f>DEC2HEX(Table1[[#This Row],[a inv sp mx idx]], 1)</f>
        <v>E</v>
      </c>
      <c r="AR62" s="2" t="str">
        <f xml:space="preserve"> LEFT(Sng2String(Table1[[#This Row],[c bias]]), 6)</f>
        <v>3F1999</v>
      </c>
      <c r="AS62" s="2" t="str">
        <f xml:space="preserve"> LEFT(Sng2String(Table1[[#This Row],[c gain]]), 6)</f>
        <v>3FCCCC</v>
      </c>
      <c r="AT62" s="2" t="str">
        <f>DEC2HEX(Table1[[#This Row],[c inv sp mx idx]], 1)</f>
        <v>F</v>
      </c>
      <c r="AU62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00406A79863F19993FCCCCC3F8CCC3F4CCCD3FCCCC3F8CCCE3F19993FCCCCF02</v>
      </c>
      <c r="AV62" s="2">
        <f>LEN(Table1[[#This Row],[DRAM data]])</f>
        <v>64</v>
      </c>
    </row>
    <row r="63" spans="1:48" x14ac:dyDescent="0.25">
      <c r="A63">
        <v>61</v>
      </c>
      <c r="B63">
        <f>Table1[[#This Row],[ZMW num]]+1</f>
        <v>62</v>
      </c>
      <c r="C63">
        <v>4</v>
      </c>
      <c r="D63">
        <f t="shared" si="0"/>
        <v>111</v>
      </c>
      <c r="E63">
        <v>123</v>
      </c>
      <c r="F63">
        <v>132</v>
      </c>
      <c r="G63">
        <v>0</v>
      </c>
      <c r="H63">
        <f>Table1[[#This Row],[ZMW num]]*0.01</f>
        <v>0.61</v>
      </c>
      <c r="I63">
        <f>1+Table1[[#This Row],[t bias]]</f>
        <v>1.6099999999999999</v>
      </c>
      <c r="J63">
        <f>Table1[[#This Row],[t kinetic trace]]* String2Single(CONCATENATE(LEFT(Single2String(Table1[[#This Row],[t gain]]), 6), "00")) + String2Single(CONCATENATE(LEFT(Single2String(Table1[[#This Row],[t bias]]), 6), "00"))</f>
        <v>0.6099853515625</v>
      </c>
      <c r="K63" t="str">
        <f>Sng2String(Table1[[#This Row],[t ptrace]])</f>
        <v>3F1C2800</v>
      </c>
      <c r="L63">
        <f>MOD(Table1[[#This Row],[ZMW num]], 2^4)</f>
        <v>13</v>
      </c>
      <c r="M63">
        <v>0</v>
      </c>
      <c r="N63">
        <f>Table1[[#This Row],[t bias]]+0.5</f>
        <v>1.1099999999999999</v>
      </c>
      <c r="O63">
        <f>Table1[[#This Row],[t gain]]/2</f>
        <v>0.80499999999999994</v>
      </c>
      <c r="P63">
        <f>Table1[[#This Row],[g kinetic trace]] * String2Single(CONCATENATE(LEFT(Single2String(Table1[[#This Row],[g gain]]), 6), "00")) + String2Single(CONCATENATE(LEFT(Single2String(Table1[[#This Row],[g bias]]), 6), "00"))</f>
        <v>1.1099853515625</v>
      </c>
      <c r="Q63" t="str">
        <f xml:space="preserve"> Sng2String(Table1[[#This Row],[g ptrace]])</f>
        <v>3F8E1400</v>
      </c>
      <c r="R63">
        <f>MOD(Table1[[#This Row],[t inv sp mx idx]]+1, 2^4)</f>
        <v>14</v>
      </c>
      <c r="S63">
        <v>0</v>
      </c>
      <c r="T63">
        <f>Table1[[#This Row],[t bias]]+1</f>
        <v>1.6099999999999999</v>
      </c>
      <c r="U63">
        <f>Table1[[#This Row],[t gain]]-0.5</f>
        <v>1.1099999999999999</v>
      </c>
      <c r="V63">
        <f>Table1[[#This Row],[a kinetic trace]] * String2Single(CONCATENATE(LEFT(Single2String(Table1[[#This Row],[a gain]]), 6), "00")) + String2Single(CONCATENATE(LEFT(Single2String(Table1[[#This Row],[a bias]]), 6), "00"))</f>
        <v>1.6099853515625</v>
      </c>
      <c r="W63" t="str">
        <f xml:space="preserve"> Sng2String(Table1[[#This Row],[a ptrace]])</f>
        <v>3FCE1400</v>
      </c>
      <c r="X63">
        <f>MOD(Table1[[#This Row],[t inv sp mx idx]]+2, 2^4)</f>
        <v>15</v>
      </c>
      <c r="Y63">
        <v>0</v>
      </c>
      <c r="Z63">
        <f>Table1[[#This Row],[t bias]]</f>
        <v>0.61</v>
      </c>
      <c r="AA63">
        <f>Table1[[#This Row],[t gain]]</f>
        <v>1.6099999999999999</v>
      </c>
      <c r="AB63">
        <f>Table1[[#This Row],[c kinetic trace]]* String2Single(CONCATENATE(LEFT(Single2String(Table1[[#This Row],[c gain]]), 6), "00")) + String2Single(CONCATENATE(LEFT(Single2String(Table1[[#This Row],[c bias]]), 6), "00"))</f>
        <v>0.6099853515625</v>
      </c>
      <c r="AC63" t="str">
        <f xml:space="preserve"> Sng2String(Table1[[#This Row],[c ptrace]])</f>
        <v>3F1C2800</v>
      </c>
      <c r="AD63">
        <f>MOD(Table1[[#This Row],[t inv sp mx idx]]+3, 2^4)</f>
        <v>0</v>
      </c>
      <c r="AE63" s="4" t="str">
        <f>DEC2HEX(Table1[[#This Row],[row]], 3)</f>
        <v>004</v>
      </c>
      <c r="AF63" s="2" t="str">
        <f>DEC2HEX(Table1[[#This Row],[col]], 3)</f>
        <v>06F</v>
      </c>
      <c r="AG63" s="2" t="str">
        <f>DEC2HEX(Table1[[#This Row],[grn fsp idx]], 2)</f>
        <v>7B</v>
      </c>
      <c r="AH63" s="2" t="str">
        <f>DEC2HEX(Table1[[#This Row],[red fsp idx]], 2)</f>
        <v>84</v>
      </c>
      <c r="AI63" s="2" t="str">
        <f xml:space="preserve"> LEFT(Sng2String(Table1[[#This Row],[t bias]]), 6)</f>
        <v>3F1C28</v>
      </c>
      <c r="AJ63" s="2" t="str">
        <f xml:space="preserve"> LEFT(Sng2String(Table1[[#This Row],[t gain]]), 6)</f>
        <v>3FCE14</v>
      </c>
      <c r="AK63" s="2" t="str">
        <f>DEC2HEX(Table1[[#This Row],[t inv sp mx idx]], 1)</f>
        <v>D</v>
      </c>
      <c r="AL63" s="2" t="str">
        <f xml:space="preserve"> LEFT(Sng2String(Table1[[#This Row],[g bias]]), 6)</f>
        <v>3F8E14</v>
      </c>
      <c r="AM63" s="2" t="str">
        <f xml:space="preserve"> LEFT(Sng2String(Table1[[#This Row],[g gain]]), 6)</f>
        <v>3F4E14</v>
      </c>
      <c r="AN63" s="2" t="str">
        <f>DEC2HEX(Table1[[#This Row],[g inv sp mx idx]], 1)</f>
        <v>E</v>
      </c>
      <c r="AO63" s="2" t="str">
        <f xml:space="preserve"> LEFT(Sng2String(Table1[[#This Row],[a bias]]), 6)</f>
        <v>3FCE14</v>
      </c>
      <c r="AP63" s="2" t="str">
        <f xml:space="preserve"> LEFT(Sng2String(Table1[[#This Row],[a gain]]), 6)</f>
        <v>3F8E14</v>
      </c>
      <c r="AQ63" s="2" t="str">
        <f>DEC2HEX(Table1[[#This Row],[a inv sp mx idx]], 1)</f>
        <v>F</v>
      </c>
      <c r="AR63" s="2" t="str">
        <f xml:space="preserve"> LEFT(Sng2String(Table1[[#This Row],[c bias]]), 6)</f>
        <v>3F1C28</v>
      </c>
      <c r="AS63" s="2" t="str">
        <f xml:space="preserve"> LEFT(Sng2String(Table1[[#This Row],[c gain]]), 6)</f>
        <v>3FCE14</v>
      </c>
      <c r="AT63" s="2" t="str">
        <f>DEC2HEX(Table1[[#This Row],[c inv sp mx idx]], 1)</f>
        <v>0</v>
      </c>
      <c r="AU63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00406F7B843F1C283FCE14D3F8E143F4E14E3FCE143F8E14F3F1C283FCE14002</v>
      </c>
      <c r="AV63" s="2">
        <f>LEN(Table1[[#This Row],[DRAM data]])</f>
        <v>64</v>
      </c>
    </row>
    <row r="64" spans="1:48" x14ac:dyDescent="0.25">
      <c r="A64">
        <v>62</v>
      </c>
      <c r="B64">
        <f>Table1[[#This Row],[ZMW num]]+1</f>
        <v>63</v>
      </c>
      <c r="C64">
        <v>4</v>
      </c>
      <c r="D64">
        <f t="shared" si="0"/>
        <v>119</v>
      </c>
      <c r="E64">
        <v>125</v>
      </c>
      <c r="F64">
        <v>130</v>
      </c>
      <c r="G64">
        <v>0</v>
      </c>
      <c r="H64">
        <f>Table1[[#This Row],[ZMW num]]*0.01</f>
        <v>0.62</v>
      </c>
      <c r="I64">
        <f>1+Table1[[#This Row],[t bias]]</f>
        <v>1.62</v>
      </c>
      <c r="J64">
        <f>Table1[[#This Row],[t kinetic trace]]* String2Single(CONCATENATE(LEFT(Single2String(Table1[[#This Row],[t gain]]), 6), "00")) + String2Single(CONCATENATE(LEFT(Single2String(Table1[[#This Row],[t bias]]), 6), "00"))</f>
        <v>0.6199951171875</v>
      </c>
      <c r="K64" t="str">
        <f>Sng2String(Table1[[#This Row],[t ptrace]])</f>
        <v>3F1EB800</v>
      </c>
      <c r="L64">
        <f>MOD(Table1[[#This Row],[ZMW num]], 2^4)</f>
        <v>14</v>
      </c>
      <c r="M64">
        <v>0</v>
      </c>
      <c r="N64">
        <f>Table1[[#This Row],[t bias]]+0.5</f>
        <v>1.1200000000000001</v>
      </c>
      <c r="O64">
        <f>Table1[[#This Row],[t gain]]/2</f>
        <v>0.81</v>
      </c>
      <c r="P64">
        <f>Table1[[#This Row],[g kinetic trace]] * String2Single(CONCATENATE(LEFT(Single2String(Table1[[#This Row],[g gain]]), 6), "00")) + String2Single(CONCATENATE(LEFT(Single2String(Table1[[#This Row],[g bias]]), 6), "00"))</f>
        <v>1.1199951171875</v>
      </c>
      <c r="Q64" t="str">
        <f xml:space="preserve"> Sng2String(Table1[[#This Row],[g ptrace]])</f>
        <v>3F8F5C00</v>
      </c>
      <c r="R64">
        <f>MOD(Table1[[#This Row],[t inv sp mx idx]]+1, 2^4)</f>
        <v>15</v>
      </c>
      <c r="S64">
        <v>0</v>
      </c>
      <c r="T64">
        <f>Table1[[#This Row],[t bias]]+1</f>
        <v>1.62</v>
      </c>
      <c r="U64">
        <f>Table1[[#This Row],[t gain]]-0.5</f>
        <v>1.1200000000000001</v>
      </c>
      <c r="V64">
        <f>Table1[[#This Row],[a kinetic trace]] * String2Single(CONCATENATE(LEFT(Single2String(Table1[[#This Row],[a gain]]), 6), "00")) + String2Single(CONCATENATE(LEFT(Single2String(Table1[[#This Row],[a bias]]), 6), "00"))</f>
        <v>1.6199951171875</v>
      </c>
      <c r="W64" t="str">
        <f xml:space="preserve"> Sng2String(Table1[[#This Row],[a ptrace]])</f>
        <v>3FCF5C00</v>
      </c>
      <c r="X64">
        <f>MOD(Table1[[#This Row],[t inv sp mx idx]]+2, 2^4)</f>
        <v>0</v>
      </c>
      <c r="Y64">
        <v>0</v>
      </c>
      <c r="Z64">
        <f>Table1[[#This Row],[t bias]]</f>
        <v>0.62</v>
      </c>
      <c r="AA64">
        <f>Table1[[#This Row],[t gain]]</f>
        <v>1.62</v>
      </c>
      <c r="AB64">
        <f>Table1[[#This Row],[c kinetic trace]]* String2Single(CONCATENATE(LEFT(Single2String(Table1[[#This Row],[c gain]]), 6), "00")) + String2Single(CONCATENATE(LEFT(Single2String(Table1[[#This Row],[c bias]]), 6), "00"))</f>
        <v>0.6199951171875</v>
      </c>
      <c r="AC64" t="str">
        <f xml:space="preserve"> Sng2String(Table1[[#This Row],[c ptrace]])</f>
        <v>3F1EB800</v>
      </c>
      <c r="AD64">
        <f>MOD(Table1[[#This Row],[t inv sp mx idx]]+3, 2^4)</f>
        <v>1</v>
      </c>
      <c r="AE64" s="4" t="str">
        <f>DEC2HEX(Table1[[#This Row],[row]], 3)</f>
        <v>004</v>
      </c>
      <c r="AF64" s="2" t="str">
        <f>DEC2HEX(Table1[[#This Row],[col]], 3)</f>
        <v>077</v>
      </c>
      <c r="AG64" s="2" t="str">
        <f>DEC2HEX(Table1[[#This Row],[grn fsp idx]], 2)</f>
        <v>7D</v>
      </c>
      <c r="AH64" s="2" t="str">
        <f>DEC2HEX(Table1[[#This Row],[red fsp idx]], 2)</f>
        <v>82</v>
      </c>
      <c r="AI64" s="2" t="str">
        <f xml:space="preserve"> LEFT(Sng2String(Table1[[#This Row],[t bias]]), 6)</f>
        <v>3F1EB8</v>
      </c>
      <c r="AJ64" s="2" t="str">
        <f xml:space="preserve"> LEFT(Sng2String(Table1[[#This Row],[t gain]]), 6)</f>
        <v>3FCF5C</v>
      </c>
      <c r="AK64" s="2" t="str">
        <f>DEC2HEX(Table1[[#This Row],[t inv sp mx idx]], 1)</f>
        <v>E</v>
      </c>
      <c r="AL64" s="2" t="str">
        <f xml:space="preserve"> LEFT(Sng2String(Table1[[#This Row],[g bias]]), 6)</f>
        <v>3F8F5C</v>
      </c>
      <c r="AM64" s="2" t="str">
        <f xml:space="preserve"> LEFT(Sng2String(Table1[[#This Row],[g gain]]), 6)</f>
        <v>3F4F5C</v>
      </c>
      <c r="AN64" s="2" t="str">
        <f>DEC2HEX(Table1[[#This Row],[g inv sp mx idx]], 1)</f>
        <v>F</v>
      </c>
      <c r="AO64" s="2" t="str">
        <f xml:space="preserve"> LEFT(Sng2String(Table1[[#This Row],[a bias]]), 6)</f>
        <v>3FCF5C</v>
      </c>
      <c r="AP64" s="2" t="str">
        <f xml:space="preserve"> LEFT(Sng2String(Table1[[#This Row],[a gain]]), 6)</f>
        <v>3F8F5C</v>
      </c>
      <c r="AQ64" s="2" t="str">
        <f>DEC2HEX(Table1[[#This Row],[a inv sp mx idx]], 1)</f>
        <v>0</v>
      </c>
      <c r="AR64" s="2" t="str">
        <f xml:space="preserve"> LEFT(Sng2String(Table1[[#This Row],[c bias]]), 6)</f>
        <v>3F1EB8</v>
      </c>
      <c r="AS64" s="2" t="str">
        <f xml:space="preserve"> LEFT(Sng2String(Table1[[#This Row],[c gain]]), 6)</f>
        <v>3FCF5C</v>
      </c>
      <c r="AT64" s="2" t="str">
        <f>DEC2HEX(Table1[[#This Row],[c inv sp mx idx]], 1)</f>
        <v>1</v>
      </c>
      <c r="AU64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0040777D823F1EB83FCF5CE3F8F5C3F4F5CF3FCF5C3F8F5C03F1EB83FCF5C102</v>
      </c>
      <c r="AV64" s="2">
        <f>LEN(Table1[[#This Row],[DRAM data]])</f>
        <v>64</v>
      </c>
    </row>
    <row r="65" spans="1:48" x14ac:dyDescent="0.25">
      <c r="A65">
        <v>63</v>
      </c>
      <c r="B65">
        <f>Table1[[#This Row],[ZMW num]]+1</f>
        <v>64</v>
      </c>
      <c r="C65">
        <v>4</v>
      </c>
      <c r="D65">
        <f t="shared" si="0"/>
        <v>125</v>
      </c>
      <c r="E65">
        <v>127</v>
      </c>
      <c r="F65">
        <v>128</v>
      </c>
      <c r="G65">
        <v>0</v>
      </c>
      <c r="H65">
        <f>Table1[[#This Row],[ZMW num]]*0.01</f>
        <v>0.63</v>
      </c>
      <c r="I65">
        <f>1+Table1[[#This Row],[t bias]]</f>
        <v>1.63</v>
      </c>
      <c r="J65">
        <f>Table1[[#This Row],[t kinetic trace]]* String2Single(CONCATENATE(LEFT(Single2String(Table1[[#This Row],[t gain]]), 6), "00")) + String2Single(CONCATENATE(LEFT(Single2String(Table1[[#This Row],[t bias]]), 6), "00"))</f>
        <v>0.6299896240234375</v>
      </c>
      <c r="K65" t="str">
        <f>Sng2String(Table1[[#This Row],[t ptrace]])</f>
        <v>3F214700</v>
      </c>
      <c r="L65">
        <f>MOD(Table1[[#This Row],[ZMW num]], 2^4)</f>
        <v>15</v>
      </c>
      <c r="M65">
        <v>0</v>
      </c>
      <c r="N65">
        <f>Table1[[#This Row],[t bias]]+0.5</f>
        <v>1.1299999999999999</v>
      </c>
      <c r="O65">
        <f>Table1[[#This Row],[t gain]]/2</f>
        <v>0.81499999999999995</v>
      </c>
      <c r="P65">
        <f>Table1[[#This Row],[g kinetic trace]] * String2Single(CONCATENATE(LEFT(Single2String(Table1[[#This Row],[g gain]]), 6), "00")) + String2Single(CONCATENATE(LEFT(Single2String(Table1[[#This Row],[g bias]]), 6), "00"))</f>
        <v>1.129974365234375</v>
      </c>
      <c r="Q65" t="str">
        <f xml:space="preserve"> Sng2String(Table1[[#This Row],[g ptrace]])</f>
        <v>3F90A300</v>
      </c>
      <c r="R65">
        <f>MOD(Table1[[#This Row],[t inv sp mx idx]]+1, 2^4)</f>
        <v>0</v>
      </c>
      <c r="S65">
        <v>0</v>
      </c>
      <c r="T65">
        <f>Table1[[#This Row],[t bias]]+1</f>
        <v>1.63</v>
      </c>
      <c r="U65">
        <f>Table1[[#This Row],[t gain]]-0.5</f>
        <v>1.1299999999999999</v>
      </c>
      <c r="V65">
        <f>Table1[[#This Row],[a kinetic trace]] * String2Single(CONCATENATE(LEFT(Single2String(Table1[[#This Row],[a gain]]), 6), "00")) + String2Single(CONCATENATE(LEFT(Single2String(Table1[[#This Row],[a bias]]), 6), "00"))</f>
        <v>1.629974365234375</v>
      </c>
      <c r="W65" t="str">
        <f xml:space="preserve"> Sng2String(Table1[[#This Row],[a ptrace]])</f>
        <v>3FD0A300</v>
      </c>
      <c r="X65">
        <f>MOD(Table1[[#This Row],[t inv sp mx idx]]+2, 2^4)</f>
        <v>1</v>
      </c>
      <c r="Y65">
        <v>0</v>
      </c>
      <c r="Z65">
        <f>Table1[[#This Row],[t bias]]</f>
        <v>0.63</v>
      </c>
      <c r="AA65">
        <f>Table1[[#This Row],[t gain]]</f>
        <v>1.63</v>
      </c>
      <c r="AB65">
        <f>Table1[[#This Row],[c kinetic trace]]* String2Single(CONCATENATE(LEFT(Single2String(Table1[[#This Row],[c gain]]), 6), "00")) + String2Single(CONCATENATE(LEFT(Single2String(Table1[[#This Row],[c bias]]), 6), "00"))</f>
        <v>0.6299896240234375</v>
      </c>
      <c r="AC65" t="str">
        <f xml:space="preserve"> Sng2String(Table1[[#This Row],[c ptrace]])</f>
        <v>3F214700</v>
      </c>
      <c r="AD65">
        <f>MOD(Table1[[#This Row],[t inv sp mx idx]]+3, 2^4)</f>
        <v>2</v>
      </c>
      <c r="AE65" s="4" t="str">
        <f>DEC2HEX(Table1[[#This Row],[row]], 3)</f>
        <v>004</v>
      </c>
      <c r="AF65" s="2" t="str">
        <f>DEC2HEX(Table1[[#This Row],[col]], 3)</f>
        <v>07D</v>
      </c>
      <c r="AG65" s="2" t="str">
        <f>DEC2HEX(Table1[[#This Row],[grn fsp idx]], 2)</f>
        <v>7F</v>
      </c>
      <c r="AH65" s="2" t="str">
        <f>DEC2HEX(Table1[[#This Row],[red fsp idx]], 2)</f>
        <v>80</v>
      </c>
      <c r="AI65" s="2" t="str">
        <f xml:space="preserve"> LEFT(Sng2String(Table1[[#This Row],[t bias]]), 6)</f>
        <v>3F2147</v>
      </c>
      <c r="AJ65" s="2" t="str">
        <f xml:space="preserve"> LEFT(Sng2String(Table1[[#This Row],[t gain]]), 6)</f>
        <v>3FD0A3</v>
      </c>
      <c r="AK65" s="2" t="str">
        <f>DEC2HEX(Table1[[#This Row],[t inv sp mx idx]], 1)</f>
        <v>F</v>
      </c>
      <c r="AL65" s="2" t="str">
        <f xml:space="preserve"> LEFT(Sng2String(Table1[[#This Row],[g bias]]), 6)</f>
        <v>3F90A3</v>
      </c>
      <c r="AM65" s="2" t="str">
        <f xml:space="preserve"> LEFT(Sng2String(Table1[[#This Row],[g gain]]), 6)</f>
        <v>3F50A3</v>
      </c>
      <c r="AN65" s="2" t="str">
        <f>DEC2HEX(Table1[[#This Row],[g inv sp mx idx]], 1)</f>
        <v>0</v>
      </c>
      <c r="AO65" s="2" t="str">
        <f xml:space="preserve"> LEFT(Sng2String(Table1[[#This Row],[a bias]]), 6)</f>
        <v>3FD0A3</v>
      </c>
      <c r="AP65" s="2" t="str">
        <f xml:space="preserve"> LEFT(Sng2String(Table1[[#This Row],[a gain]]), 6)</f>
        <v>3F90A3</v>
      </c>
      <c r="AQ65" s="2" t="str">
        <f>DEC2HEX(Table1[[#This Row],[a inv sp mx idx]], 1)</f>
        <v>1</v>
      </c>
      <c r="AR65" s="2" t="str">
        <f xml:space="preserve"> LEFT(Sng2String(Table1[[#This Row],[c bias]]), 6)</f>
        <v>3F2147</v>
      </c>
      <c r="AS65" s="2" t="str">
        <f xml:space="preserve"> LEFT(Sng2String(Table1[[#This Row],[c gain]]), 6)</f>
        <v>3FD0A3</v>
      </c>
      <c r="AT65" s="2" t="str">
        <f>DEC2HEX(Table1[[#This Row],[c inv sp mx idx]], 1)</f>
        <v>2</v>
      </c>
      <c r="AU65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00407D7F803F21473FD0A3F3F90A33F50A303FD0A33F90A313F21473FD0A3202</v>
      </c>
      <c r="AV65" s="2">
        <f>LEN(Table1[[#This Row],[DRAM data]])</f>
        <v>64</v>
      </c>
    </row>
    <row r="66" spans="1:48" x14ac:dyDescent="0.25">
      <c r="A66">
        <v>64</v>
      </c>
      <c r="B66">
        <f>Table1[[#This Row],[ZMW num]]+1</f>
        <v>65</v>
      </c>
      <c r="C66">
        <v>6</v>
      </c>
      <c r="D66">
        <f>D2</f>
        <v>3</v>
      </c>
      <c r="E66">
        <v>129</v>
      </c>
      <c r="F66">
        <v>126</v>
      </c>
      <c r="G66">
        <v>0</v>
      </c>
      <c r="H66">
        <f>Table1[[#This Row],[ZMW num]]*0.01</f>
        <v>0.64</v>
      </c>
      <c r="I66">
        <f>1+Table1[[#This Row],[t bias]]</f>
        <v>1.6400000000000001</v>
      </c>
      <c r="J66">
        <f>Table1[[#This Row],[t kinetic trace]]* String2Single(CONCATENATE(LEFT(Single2String(Table1[[#This Row],[t gain]]), 6), "00")) + String2Single(CONCATENATE(LEFT(Single2String(Table1[[#This Row],[t bias]]), 6), "00"))</f>
        <v>0.6399993896484375</v>
      </c>
      <c r="K66" t="str">
        <f>Sng2String(Table1[[#This Row],[t ptrace]])</f>
        <v>3F23D700</v>
      </c>
      <c r="L66">
        <f>MOD(Table1[[#This Row],[ZMW num]], 2^4)</f>
        <v>0</v>
      </c>
      <c r="M66">
        <v>0</v>
      </c>
      <c r="N66">
        <f>Table1[[#This Row],[t bias]]+0.5</f>
        <v>1.1400000000000001</v>
      </c>
      <c r="O66">
        <f>Table1[[#This Row],[t gain]]/2</f>
        <v>0.82000000000000006</v>
      </c>
      <c r="P66">
        <f>Table1[[#This Row],[g kinetic trace]] * String2Single(CONCATENATE(LEFT(Single2String(Table1[[#This Row],[g gain]]), 6), "00")) + String2Single(CONCATENATE(LEFT(Single2String(Table1[[#This Row],[g bias]]), 6), "00"))</f>
        <v>1.139984130859375</v>
      </c>
      <c r="Q66" t="str">
        <f xml:space="preserve"> Sng2String(Table1[[#This Row],[g ptrace]])</f>
        <v>3F91EB00</v>
      </c>
      <c r="R66">
        <f>MOD(Table1[[#This Row],[t inv sp mx idx]]+1, 2^4)</f>
        <v>1</v>
      </c>
      <c r="S66">
        <v>0</v>
      </c>
      <c r="T66">
        <f>Table1[[#This Row],[t bias]]+1</f>
        <v>1.6400000000000001</v>
      </c>
      <c r="U66">
        <f>Table1[[#This Row],[t gain]]-0.5</f>
        <v>1.1400000000000001</v>
      </c>
      <c r="V66">
        <f>Table1[[#This Row],[a kinetic trace]] * String2Single(CONCATENATE(LEFT(Single2String(Table1[[#This Row],[a gain]]), 6), "00")) + String2Single(CONCATENATE(LEFT(Single2String(Table1[[#This Row],[a bias]]), 6), "00"))</f>
        <v>1.639984130859375</v>
      </c>
      <c r="W66" t="str">
        <f xml:space="preserve"> Sng2String(Table1[[#This Row],[a ptrace]])</f>
        <v>3FD1EB00</v>
      </c>
      <c r="X66">
        <f>MOD(Table1[[#This Row],[t inv sp mx idx]]+2, 2^4)</f>
        <v>2</v>
      </c>
      <c r="Y66">
        <v>0</v>
      </c>
      <c r="Z66">
        <f>Table1[[#This Row],[t bias]]</f>
        <v>0.64</v>
      </c>
      <c r="AA66">
        <f>Table1[[#This Row],[t gain]]</f>
        <v>1.6400000000000001</v>
      </c>
      <c r="AB66">
        <f>Table1[[#This Row],[c kinetic trace]]* String2Single(CONCATENATE(LEFT(Single2String(Table1[[#This Row],[c gain]]), 6), "00")) + String2Single(CONCATENATE(LEFT(Single2String(Table1[[#This Row],[c bias]]), 6), "00"))</f>
        <v>0.6399993896484375</v>
      </c>
      <c r="AC66" t="str">
        <f xml:space="preserve"> Sng2String(Table1[[#This Row],[c ptrace]])</f>
        <v>3F23D700</v>
      </c>
      <c r="AD66">
        <f>MOD(Table1[[#This Row],[t inv sp mx idx]]+3, 2^4)</f>
        <v>3</v>
      </c>
      <c r="AE66" s="4" t="str">
        <f>DEC2HEX(Table1[[#This Row],[row]], 3)</f>
        <v>006</v>
      </c>
      <c r="AF66" s="2" t="str">
        <f>DEC2HEX(Table1[[#This Row],[col]], 3)</f>
        <v>003</v>
      </c>
      <c r="AG66" s="2" t="str">
        <f>DEC2HEX(Table1[[#This Row],[grn fsp idx]], 2)</f>
        <v>81</v>
      </c>
      <c r="AH66" s="2" t="str">
        <f>DEC2HEX(Table1[[#This Row],[red fsp idx]], 2)</f>
        <v>7E</v>
      </c>
      <c r="AI66" s="2" t="str">
        <f xml:space="preserve"> LEFT(Sng2String(Table1[[#This Row],[t bias]]), 6)</f>
        <v>3F23D7</v>
      </c>
      <c r="AJ66" s="2" t="str">
        <f xml:space="preserve"> LEFT(Sng2String(Table1[[#This Row],[t gain]]), 6)</f>
        <v>3FD1EB</v>
      </c>
      <c r="AK66" s="2" t="str">
        <f>DEC2HEX(Table1[[#This Row],[t inv sp mx idx]], 1)</f>
        <v>0</v>
      </c>
      <c r="AL66" s="2" t="str">
        <f xml:space="preserve"> LEFT(Sng2String(Table1[[#This Row],[g bias]]), 6)</f>
        <v>3F91EB</v>
      </c>
      <c r="AM66" s="2" t="str">
        <f xml:space="preserve"> LEFT(Sng2String(Table1[[#This Row],[g gain]]), 6)</f>
        <v>3F51EB</v>
      </c>
      <c r="AN66" s="2" t="str">
        <f>DEC2HEX(Table1[[#This Row],[g inv sp mx idx]], 1)</f>
        <v>1</v>
      </c>
      <c r="AO66" s="2" t="str">
        <f xml:space="preserve"> LEFT(Sng2String(Table1[[#This Row],[a bias]]), 6)</f>
        <v>3FD1EB</v>
      </c>
      <c r="AP66" s="2" t="str">
        <f xml:space="preserve"> LEFT(Sng2String(Table1[[#This Row],[a gain]]), 6)</f>
        <v>3F91EB</v>
      </c>
      <c r="AQ66" s="2" t="str">
        <f>DEC2HEX(Table1[[#This Row],[a inv sp mx idx]], 1)</f>
        <v>2</v>
      </c>
      <c r="AR66" s="2" t="str">
        <f xml:space="preserve"> LEFT(Sng2String(Table1[[#This Row],[c bias]]), 6)</f>
        <v>3F23D7</v>
      </c>
      <c r="AS66" s="2" t="str">
        <f xml:space="preserve"> LEFT(Sng2String(Table1[[#This Row],[c gain]]), 6)</f>
        <v>3FD1EB</v>
      </c>
      <c r="AT66" s="2" t="str">
        <f>DEC2HEX(Table1[[#This Row],[c inv sp mx idx]], 1)</f>
        <v>3</v>
      </c>
      <c r="AU66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006003817E3F23D73FD1EB03F91EB3F51EB13FD1EB3F91EB23F23D73FD1EB302</v>
      </c>
      <c r="AV66" s="2">
        <f>LEN(Table1[[#This Row],[DRAM data]])</f>
        <v>64</v>
      </c>
    </row>
    <row r="67" spans="1:48" x14ac:dyDescent="0.25">
      <c r="A67">
        <v>65</v>
      </c>
      <c r="B67">
        <f>Table1[[#This Row],[ZMW num]]+1</f>
        <v>66</v>
      </c>
      <c r="C67">
        <v>6</v>
      </c>
      <c r="D67">
        <f t="shared" ref="D67:D97" si="1">D3</f>
        <v>5</v>
      </c>
      <c r="E67">
        <v>131</v>
      </c>
      <c r="F67">
        <v>124</v>
      </c>
      <c r="G67">
        <v>0</v>
      </c>
      <c r="H67">
        <f>Table1[[#This Row],[ZMW num]]*0.01</f>
        <v>0.65</v>
      </c>
      <c r="I67">
        <f>1+Table1[[#This Row],[t bias]]</f>
        <v>1.65</v>
      </c>
      <c r="J67">
        <f>Table1[[#This Row],[t kinetic trace]]* String2Single(CONCATENATE(LEFT(Single2String(Table1[[#This Row],[t gain]]), 6), "00")) + String2Single(CONCATENATE(LEFT(Single2String(Table1[[#This Row],[t bias]]), 6), "00"))</f>
        <v>0.649993896484375</v>
      </c>
      <c r="K67" t="str">
        <f>Sng2String(Table1[[#This Row],[t ptrace]])</f>
        <v>3F266600</v>
      </c>
      <c r="L67">
        <f>MOD(Table1[[#This Row],[ZMW num]], 2^4)</f>
        <v>1</v>
      </c>
      <c r="M67">
        <v>0</v>
      </c>
      <c r="N67">
        <f>Table1[[#This Row],[t bias]]+0.5</f>
        <v>1.1499999999999999</v>
      </c>
      <c r="O67">
        <f>Table1[[#This Row],[t gain]]/2</f>
        <v>0.82499999999999996</v>
      </c>
      <c r="P67">
        <f>Table1[[#This Row],[g kinetic trace]] * String2Single(CONCATENATE(LEFT(Single2String(Table1[[#This Row],[g gain]]), 6), "00")) + String2Single(CONCATENATE(LEFT(Single2String(Table1[[#This Row],[g bias]]), 6), "00"))</f>
        <v>1.149993896484375</v>
      </c>
      <c r="Q67" t="str">
        <f xml:space="preserve"> Sng2String(Table1[[#This Row],[g ptrace]])</f>
        <v>3F933300</v>
      </c>
      <c r="R67">
        <f>MOD(Table1[[#This Row],[t inv sp mx idx]]+1, 2^4)</f>
        <v>2</v>
      </c>
      <c r="S67">
        <v>0</v>
      </c>
      <c r="T67">
        <f>Table1[[#This Row],[t bias]]+1</f>
        <v>1.65</v>
      </c>
      <c r="U67">
        <f>Table1[[#This Row],[t gain]]-0.5</f>
        <v>1.1499999999999999</v>
      </c>
      <c r="V67">
        <f>Table1[[#This Row],[a kinetic trace]] * String2Single(CONCATENATE(LEFT(Single2String(Table1[[#This Row],[a gain]]), 6), "00")) + String2Single(CONCATENATE(LEFT(Single2String(Table1[[#This Row],[a bias]]), 6), "00"))</f>
        <v>1.649993896484375</v>
      </c>
      <c r="W67" t="str">
        <f xml:space="preserve"> Sng2String(Table1[[#This Row],[a ptrace]])</f>
        <v>3FD33300</v>
      </c>
      <c r="X67">
        <f>MOD(Table1[[#This Row],[t inv sp mx idx]]+2, 2^4)</f>
        <v>3</v>
      </c>
      <c r="Y67">
        <v>0</v>
      </c>
      <c r="Z67">
        <f>Table1[[#This Row],[t bias]]</f>
        <v>0.65</v>
      </c>
      <c r="AA67">
        <f>Table1[[#This Row],[t gain]]</f>
        <v>1.65</v>
      </c>
      <c r="AB67">
        <f>Table1[[#This Row],[c kinetic trace]]* String2Single(CONCATENATE(LEFT(Single2String(Table1[[#This Row],[c gain]]), 6), "00")) + String2Single(CONCATENATE(LEFT(Single2String(Table1[[#This Row],[c bias]]), 6), "00"))</f>
        <v>0.649993896484375</v>
      </c>
      <c r="AC67" t="str">
        <f xml:space="preserve"> Sng2String(Table1[[#This Row],[c ptrace]])</f>
        <v>3F266600</v>
      </c>
      <c r="AD67">
        <f>MOD(Table1[[#This Row],[t inv sp mx idx]]+3, 2^4)</f>
        <v>4</v>
      </c>
      <c r="AE67" s="4" t="str">
        <f>DEC2HEX(Table1[[#This Row],[row]], 3)</f>
        <v>006</v>
      </c>
      <c r="AF67" s="2" t="str">
        <f>DEC2HEX(Table1[[#This Row],[col]], 3)</f>
        <v>005</v>
      </c>
      <c r="AG67" s="2" t="str">
        <f>DEC2HEX(Table1[[#This Row],[grn fsp idx]], 2)</f>
        <v>83</v>
      </c>
      <c r="AH67" s="2" t="str">
        <f>DEC2HEX(Table1[[#This Row],[red fsp idx]], 2)</f>
        <v>7C</v>
      </c>
      <c r="AI67" s="2" t="str">
        <f xml:space="preserve"> LEFT(Sng2String(Table1[[#This Row],[t bias]]), 6)</f>
        <v>3F2666</v>
      </c>
      <c r="AJ67" s="2" t="str">
        <f xml:space="preserve"> LEFT(Sng2String(Table1[[#This Row],[t gain]]), 6)</f>
        <v>3FD333</v>
      </c>
      <c r="AK67" s="2" t="str">
        <f>DEC2HEX(Table1[[#This Row],[t inv sp mx idx]], 1)</f>
        <v>1</v>
      </c>
      <c r="AL67" s="2" t="str">
        <f xml:space="preserve"> LEFT(Sng2String(Table1[[#This Row],[g bias]]), 6)</f>
        <v>3F9333</v>
      </c>
      <c r="AM67" s="2" t="str">
        <f xml:space="preserve"> LEFT(Sng2String(Table1[[#This Row],[g gain]]), 6)</f>
        <v>3F5333</v>
      </c>
      <c r="AN67" s="2" t="str">
        <f>DEC2HEX(Table1[[#This Row],[g inv sp mx idx]], 1)</f>
        <v>2</v>
      </c>
      <c r="AO67" s="2" t="str">
        <f xml:space="preserve"> LEFT(Sng2String(Table1[[#This Row],[a bias]]), 6)</f>
        <v>3FD333</v>
      </c>
      <c r="AP67" s="2" t="str">
        <f xml:space="preserve"> LEFT(Sng2String(Table1[[#This Row],[a gain]]), 6)</f>
        <v>3F9333</v>
      </c>
      <c r="AQ67" s="2" t="str">
        <f>DEC2HEX(Table1[[#This Row],[a inv sp mx idx]], 1)</f>
        <v>3</v>
      </c>
      <c r="AR67" s="2" t="str">
        <f xml:space="preserve"> LEFT(Sng2String(Table1[[#This Row],[c bias]]), 6)</f>
        <v>3F2666</v>
      </c>
      <c r="AS67" s="2" t="str">
        <f xml:space="preserve"> LEFT(Sng2String(Table1[[#This Row],[c gain]]), 6)</f>
        <v>3FD333</v>
      </c>
      <c r="AT67" s="2" t="str">
        <f>DEC2HEX(Table1[[#This Row],[c inv sp mx idx]], 1)</f>
        <v>4</v>
      </c>
      <c r="AU67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006005837C3F26663FD33313F93333F533323FD3333F933333F26663FD333402</v>
      </c>
      <c r="AV67" s="2">
        <f>LEN(Table1[[#This Row],[DRAM data]])</f>
        <v>64</v>
      </c>
    </row>
    <row r="68" spans="1:48" x14ac:dyDescent="0.25">
      <c r="A68">
        <v>66</v>
      </c>
      <c r="B68">
        <f>Table1[[#This Row],[ZMW num]]+1</f>
        <v>67</v>
      </c>
      <c r="C68">
        <v>6</v>
      </c>
      <c r="D68">
        <f t="shared" si="1"/>
        <v>8</v>
      </c>
      <c r="E68">
        <v>133</v>
      </c>
      <c r="F68">
        <v>122</v>
      </c>
      <c r="G68">
        <v>0</v>
      </c>
      <c r="H68">
        <f>Table1[[#This Row],[ZMW num]]*0.01</f>
        <v>0.66</v>
      </c>
      <c r="I68">
        <f>1+Table1[[#This Row],[t bias]]</f>
        <v>1.6600000000000001</v>
      </c>
      <c r="J68">
        <f>Table1[[#This Row],[t kinetic trace]]* String2Single(CONCATENATE(LEFT(Single2String(Table1[[#This Row],[t gain]]), 6), "00")) + String2Single(CONCATENATE(LEFT(Single2String(Table1[[#This Row],[t bias]]), 6), "00"))</f>
        <v>0.6599884033203125</v>
      </c>
      <c r="K68" t="str">
        <f>Sng2String(Table1[[#This Row],[t ptrace]])</f>
        <v>3F28F500</v>
      </c>
      <c r="L68">
        <f>MOD(Table1[[#This Row],[ZMW num]], 2^4)</f>
        <v>2</v>
      </c>
      <c r="M68">
        <v>0</v>
      </c>
      <c r="N68">
        <f>Table1[[#This Row],[t bias]]+0.5</f>
        <v>1.1600000000000001</v>
      </c>
      <c r="O68">
        <f>Table1[[#This Row],[t gain]]/2</f>
        <v>0.83000000000000007</v>
      </c>
      <c r="P68">
        <f>Table1[[#This Row],[g kinetic trace]] * String2Single(CONCATENATE(LEFT(Single2String(Table1[[#This Row],[g gain]]), 6), "00")) + String2Single(CONCATENATE(LEFT(Single2String(Table1[[#This Row],[g bias]]), 6), "00"))</f>
        <v>1.15997314453125</v>
      </c>
      <c r="Q68" t="str">
        <f xml:space="preserve"> Sng2String(Table1[[#This Row],[g ptrace]])</f>
        <v>3F947A00</v>
      </c>
      <c r="R68">
        <f>MOD(Table1[[#This Row],[t inv sp mx idx]]+1, 2^4)</f>
        <v>3</v>
      </c>
      <c r="S68">
        <v>0</v>
      </c>
      <c r="T68">
        <f>Table1[[#This Row],[t bias]]+1</f>
        <v>1.6600000000000001</v>
      </c>
      <c r="U68">
        <f>Table1[[#This Row],[t gain]]-0.5</f>
        <v>1.1600000000000001</v>
      </c>
      <c r="V68">
        <f>Table1[[#This Row],[a kinetic trace]] * String2Single(CONCATENATE(LEFT(Single2String(Table1[[#This Row],[a gain]]), 6), "00")) + String2Single(CONCATENATE(LEFT(Single2String(Table1[[#This Row],[a bias]]), 6), "00"))</f>
        <v>1.65997314453125</v>
      </c>
      <c r="W68" t="str">
        <f xml:space="preserve"> Sng2String(Table1[[#This Row],[a ptrace]])</f>
        <v>3FD47A00</v>
      </c>
      <c r="X68">
        <f>MOD(Table1[[#This Row],[t inv sp mx idx]]+2, 2^4)</f>
        <v>4</v>
      </c>
      <c r="Y68">
        <v>0</v>
      </c>
      <c r="Z68">
        <f>Table1[[#This Row],[t bias]]</f>
        <v>0.66</v>
      </c>
      <c r="AA68">
        <f>Table1[[#This Row],[t gain]]</f>
        <v>1.6600000000000001</v>
      </c>
      <c r="AB68">
        <f>Table1[[#This Row],[c kinetic trace]]* String2Single(CONCATENATE(LEFT(Single2String(Table1[[#This Row],[c gain]]), 6), "00")) + String2Single(CONCATENATE(LEFT(Single2String(Table1[[#This Row],[c bias]]), 6), "00"))</f>
        <v>0.6599884033203125</v>
      </c>
      <c r="AC68" t="str">
        <f xml:space="preserve"> Sng2String(Table1[[#This Row],[c ptrace]])</f>
        <v>3F28F500</v>
      </c>
      <c r="AD68">
        <f>MOD(Table1[[#This Row],[t inv sp mx idx]]+3, 2^4)</f>
        <v>5</v>
      </c>
      <c r="AE68" s="4" t="str">
        <f>DEC2HEX(Table1[[#This Row],[row]], 3)</f>
        <v>006</v>
      </c>
      <c r="AF68" s="2" t="str">
        <f>DEC2HEX(Table1[[#This Row],[col]], 3)</f>
        <v>008</v>
      </c>
      <c r="AG68" s="2" t="str">
        <f>DEC2HEX(Table1[[#This Row],[grn fsp idx]], 2)</f>
        <v>85</v>
      </c>
      <c r="AH68" s="2" t="str">
        <f>DEC2HEX(Table1[[#This Row],[red fsp idx]], 2)</f>
        <v>7A</v>
      </c>
      <c r="AI68" s="2" t="str">
        <f xml:space="preserve"> LEFT(Sng2String(Table1[[#This Row],[t bias]]), 6)</f>
        <v>3F28F5</v>
      </c>
      <c r="AJ68" s="2" t="str">
        <f xml:space="preserve"> LEFT(Sng2String(Table1[[#This Row],[t gain]]), 6)</f>
        <v>3FD47A</v>
      </c>
      <c r="AK68" s="2" t="str">
        <f>DEC2HEX(Table1[[#This Row],[t inv sp mx idx]], 1)</f>
        <v>2</v>
      </c>
      <c r="AL68" s="2" t="str">
        <f xml:space="preserve"> LEFT(Sng2String(Table1[[#This Row],[g bias]]), 6)</f>
        <v>3F947A</v>
      </c>
      <c r="AM68" s="2" t="str">
        <f xml:space="preserve"> LEFT(Sng2String(Table1[[#This Row],[g gain]]), 6)</f>
        <v>3F547A</v>
      </c>
      <c r="AN68" s="2" t="str">
        <f>DEC2HEX(Table1[[#This Row],[g inv sp mx idx]], 1)</f>
        <v>3</v>
      </c>
      <c r="AO68" s="2" t="str">
        <f xml:space="preserve"> LEFT(Sng2String(Table1[[#This Row],[a bias]]), 6)</f>
        <v>3FD47A</v>
      </c>
      <c r="AP68" s="2" t="str">
        <f xml:space="preserve"> LEFT(Sng2String(Table1[[#This Row],[a gain]]), 6)</f>
        <v>3F947A</v>
      </c>
      <c r="AQ68" s="2" t="str">
        <f>DEC2HEX(Table1[[#This Row],[a inv sp mx idx]], 1)</f>
        <v>4</v>
      </c>
      <c r="AR68" s="2" t="str">
        <f xml:space="preserve"> LEFT(Sng2String(Table1[[#This Row],[c bias]]), 6)</f>
        <v>3F28F5</v>
      </c>
      <c r="AS68" s="2" t="str">
        <f xml:space="preserve"> LEFT(Sng2String(Table1[[#This Row],[c gain]]), 6)</f>
        <v>3FD47A</v>
      </c>
      <c r="AT68" s="2" t="str">
        <f>DEC2HEX(Table1[[#This Row],[c inv sp mx idx]], 1)</f>
        <v>5</v>
      </c>
      <c r="AU68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006008857A3F28F53FD47A23F947A3F547A33FD47A3F947A43F28F53FD47A502</v>
      </c>
      <c r="AV68" s="2">
        <f>LEN(Table1[[#This Row],[DRAM data]])</f>
        <v>64</v>
      </c>
    </row>
    <row r="69" spans="1:48" x14ac:dyDescent="0.25">
      <c r="A69">
        <v>67</v>
      </c>
      <c r="B69">
        <f>Table1[[#This Row],[ZMW num]]+1</f>
        <v>68</v>
      </c>
      <c r="C69">
        <v>6</v>
      </c>
      <c r="D69">
        <f t="shared" si="1"/>
        <v>10</v>
      </c>
      <c r="E69">
        <v>135</v>
      </c>
      <c r="F69">
        <v>120</v>
      </c>
      <c r="G69">
        <v>0</v>
      </c>
      <c r="H69">
        <f>Table1[[#This Row],[ZMW num]]*0.01</f>
        <v>0.67</v>
      </c>
      <c r="I69">
        <f>1+Table1[[#This Row],[t bias]]</f>
        <v>1.67</v>
      </c>
      <c r="J69">
        <f>Table1[[#This Row],[t kinetic trace]]* String2Single(CONCATENATE(LEFT(Single2String(Table1[[#This Row],[t gain]]), 6), "00")) + String2Single(CONCATENATE(LEFT(Single2String(Table1[[#This Row],[t bias]]), 6), "00"))</f>
        <v>0.6699981689453125</v>
      </c>
      <c r="K69" t="str">
        <f>Sng2String(Table1[[#This Row],[t ptrace]])</f>
        <v>3F2B8500</v>
      </c>
      <c r="L69">
        <f>MOD(Table1[[#This Row],[ZMW num]], 2^4)</f>
        <v>3</v>
      </c>
      <c r="M69">
        <v>0</v>
      </c>
      <c r="N69">
        <f>Table1[[#This Row],[t bias]]+0.5</f>
        <v>1.17</v>
      </c>
      <c r="O69">
        <f>Table1[[#This Row],[t gain]]/2</f>
        <v>0.83499999999999996</v>
      </c>
      <c r="P69">
        <f>Table1[[#This Row],[g kinetic trace]] * String2Single(CONCATENATE(LEFT(Single2String(Table1[[#This Row],[g gain]]), 6), "00")) + String2Single(CONCATENATE(LEFT(Single2String(Table1[[#This Row],[g bias]]), 6), "00"))</f>
        <v>1.16998291015625</v>
      </c>
      <c r="Q69" t="str">
        <f xml:space="preserve"> Sng2String(Table1[[#This Row],[g ptrace]])</f>
        <v>3F95C200</v>
      </c>
      <c r="R69">
        <f>MOD(Table1[[#This Row],[t inv sp mx idx]]+1, 2^4)</f>
        <v>4</v>
      </c>
      <c r="S69">
        <v>0</v>
      </c>
      <c r="T69">
        <f>Table1[[#This Row],[t bias]]+1</f>
        <v>1.67</v>
      </c>
      <c r="U69">
        <f>Table1[[#This Row],[t gain]]-0.5</f>
        <v>1.17</v>
      </c>
      <c r="V69">
        <f>Table1[[#This Row],[a kinetic trace]] * String2Single(CONCATENATE(LEFT(Single2String(Table1[[#This Row],[a gain]]), 6), "00")) + String2Single(CONCATENATE(LEFT(Single2String(Table1[[#This Row],[a bias]]), 6), "00"))</f>
        <v>1.66998291015625</v>
      </c>
      <c r="W69" t="str">
        <f xml:space="preserve"> Sng2String(Table1[[#This Row],[a ptrace]])</f>
        <v>3FD5C200</v>
      </c>
      <c r="X69">
        <f>MOD(Table1[[#This Row],[t inv sp mx idx]]+2, 2^4)</f>
        <v>5</v>
      </c>
      <c r="Y69">
        <v>0</v>
      </c>
      <c r="Z69">
        <f>Table1[[#This Row],[t bias]]</f>
        <v>0.67</v>
      </c>
      <c r="AA69">
        <f>Table1[[#This Row],[t gain]]</f>
        <v>1.67</v>
      </c>
      <c r="AB69">
        <f>Table1[[#This Row],[c kinetic trace]]* String2Single(CONCATENATE(LEFT(Single2String(Table1[[#This Row],[c gain]]), 6), "00")) + String2Single(CONCATENATE(LEFT(Single2String(Table1[[#This Row],[c bias]]), 6), "00"))</f>
        <v>0.6699981689453125</v>
      </c>
      <c r="AC69" t="str">
        <f xml:space="preserve"> Sng2String(Table1[[#This Row],[c ptrace]])</f>
        <v>3F2B8500</v>
      </c>
      <c r="AD69">
        <f>MOD(Table1[[#This Row],[t inv sp mx idx]]+3, 2^4)</f>
        <v>6</v>
      </c>
      <c r="AE69" s="4" t="str">
        <f>DEC2HEX(Table1[[#This Row],[row]], 3)</f>
        <v>006</v>
      </c>
      <c r="AF69" s="2" t="str">
        <f>DEC2HEX(Table1[[#This Row],[col]], 3)</f>
        <v>00A</v>
      </c>
      <c r="AG69" s="2" t="str">
        <f>DEC2HEX(Table1[[#This Row],[grn fsp idx]], 2)</f>
        <v>87</v>
      </c>
      <c r="AH69" s="2" t="str">
        <f>DEC2HEX(Table1[[#This Row],[red fsp idx]], 2)</f>
        <v>78</v>
      </c>
      <c r="AI69" s="2" t="str">
        <f xml:space="preserve"> LEFT(Sng2String(Table1[[#This Row],[t bias]]), 6)</f>
        <v>3F2B85</v>
      </c>
      <c r="AJ69" s="2" t="str">
        <f xml:space="preserve"> LEFT(Sng2String(Table1[[#This Row],[t gain]]), 6)</f>
        <v>3FD5C2</v>
      </c>
      <c r="AK69" s="2" t="str">
        <f>DEC2HEX(Table1[[#This Row],[t inv sp mx idx]], 1)</f>
        <v>3</v>
      </c>
      <c r="AL69" s="2" t="str">
        <f xml:space="preserve"> LEFT(Sng2String(Table1[[#This Row],[g bias]]), 6)</f>
        <v>3F95C2</v>
      </c>
      <c r="AM69" s="2" t="str">
        <f xml:space="preserve"> LEFT(Sng2String(Table1[[#This Row],[g gain]]), 6)</f>
        <v>3F55C2</v>
      </c>
      <c r="AN69" s="2" t="str">
        <f>DEC2HEX(Table1[[#This Row],[g inv sp mx idx]], 1)</f>
        <v>4</v>
      </c>
      <c r="AO69" s="2" t="str">
        <f xml:space="preserve"> LEFT(Sng2String(Table1[[#This Row],[a bias]]), 6)</f>
        <v>3FD5C2</v>
      </c>
      <c r="AP69" s="2" t="str">
        <f xml:space="preserve"> LEFT(Sng2String(Table1[[#This Row],[a gain]]), 6)</f>
        <v>3F95C2</v>
      </c>
      <c r="AQ69" s="2" t="str">
        <f>DEC2HEX(Table1[[#This Row],[a inv sp mx idx]], 1)</f>
        <v>5</v>
      </c>
      <c r="AR69" s="2" t="str">
        <f xml:space="preserve"> LEFT(Sng2String(Table1[[#This Row],[c bias]]), 6)</f>
        <v>3F2B85</v>
      </c>
      <c r="AS69" s="2" t="str">
        <f xml:space="preserve"> LEFT(Sng2String(Table1[[#This Row],[c gain]]), 6)</f>
        <v>3FD5C2</v>
      </c>
      <c r="AT69" s="2" t="str">
        <f>DEC2HEX(Table1[[#This Row],[c inv sp mx idx]], 1)</f>
        <v>6</v>
      </c>
      <c r="AU69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00600A87783F2B853FD5C233F95C23F55C243FD5C23F95C253F2B853FD5C2602</v>
      </c>
      <c r="AV69" s="2">
        <f>LEN(Table1[[#This Row],[DRAM data]])</f>
        <v>64</v>
      </c>
    </row>
    <row r="70" spans="1:48" x14ac:dyDescent="0.25">
      <c r="A70">
        <v>68</v>
      </c>
      <c r="B70">
        <f>Table1[[#This Row],[ZMW num]]+1</f>
        <v>69</v>
      </c>
      <c r="C70">
        <v>6</v>
      </c>
      <c r="D70">
        <f t="shared" si="1"/>
        <v>14</v>
      </c>
      <c r="E70">
        <v>137</v>
      </c>
      <c r="F70">
        <v>118</v>
      </c>
      <c r="G70">
        <v>0</v>
      </c>
      <c r="H70">
        <f>Table1[[#This Row],[ZMW num]]*0.01</f>
        <v>0.68</v>
      </c>
      <c r="I70">
        <f>1+Table1[[#This Row],[t bias]]</f>
        <v>1.6800000000000002</v>
      </c>
      <c r="J70">
        <f>Table1[[#This Row],[t kinetic trace]]* String2Single(CONCATENATE(LEFT(Single2String(Table1[[#This Row],[t gain]]), 6), "00")) + String2Single(CONCATENATE(LEFT(Single2String(Table1[[#This Row],[t bias]]), 6), "00"))</f>
        <v>0.67999267578125</v>
      </c>
      <c r="K70" t="str">
        <f>Sng2String(Table1[[#This Row],[t ptrace]])</f>
        <v>3F2E1400</v>
      </c>
      <c r="L70">
        <f>MOD(Table1[[#This Row],[ZMW num]], 2^4)</f>
        <v>4</v>
      </c>
      <c r="M70">
        <v>0</v>
      </c>
      <c r="N70">
        <f>Table1[[#This Row],[t bias]]+0.5</f>
        <v>1.1800000000000002</v>
      </c>
      <c r="O70">
        <f>Table1[[#This Row],[t gain]]/2</f>
        <v>0.84000000000000008</v>
      </c>
      <c r="P70">
        <f>Table1[[#This Row],[g kinetic trace]] * String2Single(CONCATENATE(LEFT(Single2String(Table1[[#This Row],[g gain]]), 6), "00")) + String2Single(CONCATENATE(LEFT(Single2String(Table1[[#This Row],[g bias]]), 6), "00"))</f>
        <v>1.17999267578125</v>
      </c>
      <c r="Q70" t="str">
        <f xml:space="preserve"> Sng2String(Table1[[#This Row],[g ptrace]])</f>
        <v>3F970A00</v>
      </c>
      <c r="R70">
        <f>MOD(Table1[[#This Row],[t inv sp mx idx]]+1, 2^4)</f>
        <v>5</v>
      </c>
      <c r="S70">
        <v>0</v>
      </c>
      <c r="T70">
        <f>Table1[[#This Row],[t bias]]+1</f>
        <v>1.6800000000000002</v>
      </c>
      <c r="U70">
        <f>Table1[[#This Row],[t gain]]-0.5</f>
        <v>1.1800000000000002</v>
      </c>
      <c r="V70">
        <f>Table1[[#This Row],[a kinetic trace]] * String2Single(CONCATENATE(LEFT(Single2String(Table1[[#This Row],[a gain]]), 6), "00")) + String2Single(CONCATENATE(LEFT(Single2String(Table1[[#This Row],[a bias]]), 6), "00"))</f>
        <v>1.67999267578125</v>
      </c>
      <c r="W70" t="str">
        <f xml:space="preserve"> Sng2String(Table1[[#This Row],[a ptrace]])</f>
        <v>3FD70A00</v>
      </c>
      <c r="X70">
        <f>MOD(Table1[[#This Row],[t inv sp mx idx]]+2, 2^4)</f>
        <v>6</v>
      </c>
      <c r="Y70">
        <v>0</v>
      </c>
      <c r="Z70">
        <f>Table1[[#This Row],[t bias]]</f>
        <v>0.68</v>
      </c>
      <c r="AA70">
        <f>Table1[[#This Row],[t gain]]</f>
        <v>1.6800000000000002</v>
      </c>
      <c r="AB70">
        <f>Table1[[#This Row],[c kinetic trace]]* String2Single(CONCATENATE(LEFT(Single2String(Table1[[#This Row],[c gain]]), 6), "00")) + String2Single(CONCATENATE(LEFT(Single2String(Table1[[#This Row],[c bias]]), 6), "00"))</f>
        <v>0.67999267578125</v>
      </c>
      <c r="AC70" t="str">
        <f xml:space="preserve"> Sng2String(Table1[[#This Row],[c ptrace]])</f>
        <v>3F2E1400</v>
      </c>
      <c r="AD70">
        <f>MOD(Table1[[#This Row],[t inv sp mx idx]]+3, 2^4)</f>
        <v>7</v>
      </c>
      <c r="AE70" s="4" t="str">
        <f>DEC2HEX(Table1[[#This Row],[row]], 3)</f>
        <v>006</v>
      </c>
      <c r="AF70" s="2" t="str">
        <f>DEC2HEX(Table1[[#This Row],[col]], 3)</f>
        <v>00E</v>
      </c>
      <c r="AG70" s="2" t="str">
        <f>DEC2HEX(Table1[[#This Row],[grn fsp idx]], 2)</f>
        <v>89</v>
      </c>
      <c r="AH70" s="2" t="str">
        <f>DEC2HEX(Table1[[#This Row],[red fsp idx]], 2)</f>
        <v>76</v>
      </c>
      <c r="AI70" s="2" t="str">
        <f xml:space="preserve"> LEFT(Sng2String(Table1[[#This Row],[t bias]]), 6)</f>
        <v>3F2E14</v>
      </c>
      <c r="AJ70" s="2" t="str">
        <f xml:space="preserve"> LEFT(Sng2String(Table1[[#This Row],[t gain]]), 6)</f>
        <v>3FD70A</v>
      </c>
      <c r="AK70" s="2" t="str">
        <f>DEC2HEX(Table1[[#This Row],[t inv sp mx idx]], 1)</f>
        <v>4</v>
      </c>
      <c r="AL70" s="2" t="str">
        <f xml:space="preserve"> LEFT(Sng2String(Table1[[#This Row],[g bias]]), 6)</f>
        <v>3F970A</v>
      </c>
      <c r="AM70" s="2" t="str">
        <f xml:space="preserve"> LEFT(Sng2String(Table1[[#This Row],[g gain]]), 6)</f>
        <v>3F570A</v>
      </c>
      <c r="AN70" s="2" t="str">
        <f>DEC2HEX(Table1[[#This Row],[g inv sp mx idx]], 1)</f>
        <v>5</v>
      </c>
      <c r="AO70" s="2" t="str">
        <f xml:space="preserve"> LEFT(Sng2String(Table1[[#This Row],[a bias]]), 6)</f>
        <v>3FD70A</v>
      </c>
      <c r="AP70" s="2" t="str">
        <f xml:space="preserve"> LEFT(Sng2String(Table1[[#This Row],[a gain]]), 6)</f>
        <v>3F970A</v>
      </c>
      <c r="AQ70" s="2" t="str">
        <f>DEC2HEX(Table1[[#This Row],[a inv sp mx idx]], 1)</f>
        <v>6</v>
      </c>
      <c r="AR70" s="2" t="str">
        <f xml:space="preserve"> LEFT(Sng2String(Table1[[#This Row],[c bias]]), 6)</f>
        <v>3F2E14</v>
      </c>
      <c r="AS70" s="2" t="str">
        <f xml:space="preserve"> LEFT(Sng2String(Table1[[#This Row],[c gain]]), 6)</f>
        <v>3FD70A</v>
      </c>
      <c r="AT70" s="2" t="str">
        <f>DEC2HEX(Table1[[#This Row],[c inv sp mx idx]], 1)</f>
        <v>7</v>
      </c>
      <c r="AU70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00600E89763F2E143FD70A43F970A3F570A53FD70A3F970A63F2E143FD70A702</v>
      </c>
      <c r="AV70" s="2">
        <f>LEN(Table1[[#This Row],[DRAM data]])</f>
        <v>64</v>
      </c>
    </row>
    <row r="71" spans="1:48" x14ac:dyDescent="0.25">
      <c r="A71">
        <v>69</v>
      </c>
      <c r="B71">
        <f>Table1[[#This Row],[ZMW num]]+1</f>
        <v>70</v>
      </c>
      <c r="C71">
        <v>6</v>
      </c>
      <c r="D71">
        <f t="shared" si="1"/>
        <v>15</v>
      </c>
      <c r="E71">
        <v>139</v>
      </c>
      <c r="F71">
        <v>116</v>
      </c>
      <c r="G71">
        <v>0</v>
      </c>
      <c r="H71">
        <f>Table1[[#This Row],[ZMW num]]*0.01</f>
        <v>0.69000000000000006</v>
      </c>
      <c r="I71">
        <f>1+Table1[[#This Row],[t bias]]</f>
        <v>1.69</v>
      </c>
      <c r="J71">
        <f>Table1[[#This Row],[t kinetic trace]]* String2Single(CONCATENATE(LEFT(Single2String(Table1[[#This Row],[t gain]]), 6), "00")) + String2Single(CONCATENATE(LEFT(Single2String(Table1[[#This Row],[t bias]]), 6), "00"))</f>
        <v>0.6899871826171875</v>
      </c>
      <c r="K71" t="str">
        <f>Sng2String(Table1[[#This Row],[t ptrace]])</f>
        <v>3F30A300</v>
      </c>
      <c r="L71">
        <f>MOD(Table1[[#This Row],[ZMW num]], 2^4)</f>
        <v>5</v>
      </c>
      <c r="M71">
        <v>0</v>
      </c>
      <c r="N71">
        <f>Table1[[#This Row],[t bias]]+0.5</f>
        <v>1.19</v>
      </c>
      <c r="O71">
        <f>Table1[[#This Row],[t gain]]/2</f>
        <v>0.84499999999999997</v>
      </c>
      <c r="P71">
        <f>Table1[[#This Row],[g kinetic trace]] * String2Single(CONCATENATE(LEFT(Single2String(Table1[[#This Row],[g gain]]), 6), "00")) + String2Single(CONCATENATE(LEFT(Single2String(Table1[[#This Row],[g bias]]), 6), "00"))</f>
        <v>1.189971923828125</v>
      </c>
      <c r="Q71" t="str">
        <f xml:space="preserve"> Sng2String(Table1[[#This Row],[g ptrace]])</f>
        <v>3F985100</v>
      </c>
      <c r="R71">
        <f>MOD(Table1[[#This Row],[t inv sp mx idx]]+1, 2^4)</f>
        <v>6</v>
      </c>
      <c r="S71">
        <v>0</v>
      </c>
      <c r="T71">
        <f>Table1[[#This Row],[t bias]]+1</f>
        <v>1.69</v>
      </c>
      <c r="U71">
        <f>Table1[[#This Row],[t gain]]-0.5</f>
        <v>1.19</v>
      </c>
      <c r="V71">
        <f>Table1[[#This Row],[a kinetic trace]] * String2Single(CONCATENATE(LEFT(Single2String(Table1[[#This Row],[a gain]]), 6), "00")) + String2Single(CONCATENATE(LEFT(Single2String(Table1[[#This Row],[a bias]]), 6), "00"))</f>
        <v>1.689971923828125</v>
      </c>
      <c r="W71" t="str">
        <f xml:space="preserve"> Sng2String(Table1[[#This Row],[a ptrace]])</f>
        <v>3FD85100</v>
      </c>
      <c r="X71">
        <f>MOD(Table1[[#This Row],[t inv sp mx idx]]+2, 2^4)</f>
        <v>7</v>
      </c>
      <c r="Y71">
        <v>0</v>
      </c>
      <c r="Z71">
        <f>Table1[[#This Row],[t bias]]</f>
        <v>0.69000000000000006</v>
      </c>
      <c r="AA71">
        <f>Table1[[#This Row],[t gain]]</f>
        <v>1.69</v>
      </c>
      <c r="AB71">
        <f>Table1[[#This Row],[c kinetic trace]]* String2Single(CONCATENATE(LEFT(Single2String(Table1[[#This Row],[c gain]]), 6), "00")) + String2Single(CONCATENATE(LEFT(Single2String(Table1[[#This Row],[c bias]]), 6), "00"))</f>
        <v>0.6899871826171875</v>
      </c>
      <c r="AC71" t="str">
        <f xml:space="preserve"> Sng2String(Table1[[#This Row],[c ptrace]])</f>
        <v>3F30A300</v>
      </c>
      <c r="AD71">
        <f>MOD(Table1[[#This Row],[t inv sp mx idx]]+3, 2^4)</f>
        <v>8</v>
      </c>
      <c r="AE71" s="4" t="str">
        <f>DEC2HEX(Table1[[#This Row],[row]], 3)</f>
        <v>006</v>
      </c>
      <c r="AF71" s="2" t="str">
        <f>DEC2HEX(Table1[[#This Row],[col]], 3)</f>
        <v>00F</v>
      </c>
      <c r="AG71" s="2" t="str">
        <f>DEC2HEX(Table1[[#This Row],[grn fsp idx]], 2)</f>
        <v>8B</v>
      </c>
      <c r="AH71" s="2" t="str">
        <f>DEC2HEX(Table1[[#This Row],[red fsp idx]], 2)</f>
        <v>74</v>
      </c>
      <c r="AI71" s="2" t="str">
        <f xml:space="preserve"> LEFT(Sng2String(Table1[[#This Row],[t bias]]), 6)</f>
        <v>3F30A3</v>
      </c>
      <c r="AJ71" s="2" t="str">
        <f xml:space="preserve"> LEFT(Sng2String(Table1[[#This Row],[t gain]]), 6)</f>
        <v>3FD851</v>
      </c>
      <c r="AK71" s="2" t="str">
        <f>DEC2HEX(Table1[[#This Row],[t inv sp mx idx]], 1)</f>
        <v>5</v>
      </c>
      <c r="AL71" s="2" t="str">
        <f xml:space="preserve"> LEFT(Sng2String(Table1[[#This Row],[g bias]]), 6)</f>
        <v>3F9851</v>
      </c>
      <c r="AM71" s="2" t="str">
        <f xml:space="preserve"> LEFT(Sng2String(Table1[[#This Row],[g gain]]), 6)</f>
        <v>3F5851</v>
      </c>
      <c r="AN71" s="2" t="str">
        <f>DEC2HEX(Table1[[#This Row],[g inv sp mx idx]], 1)</f>
        <v>6</v>
      </c>
      <c r="AO71" s="2" t="str">
        <f xml:space="preserve"> LEFT(Sng2String(Table1[[#This Row],[a bias]]), 6)</f>
        <v>3FD851</v>
      </c>
      <c r="AP71" s="2" t="str">
        <f xml:space="preserve"> LEFT(Sng2String(Table1[[#This Row],[a gain]]), 6)</f>
        <v>3F9851</v>
      </c>
      <c r="AQ71" s="2" t="str">
        <f>DEC2HEX(Table1[[#This Row],[a inv sp mx idx]], 1)</f>
        <v>7</v>
      </c>
      <c r="AR71" s="2" t="str">
        <f xml:space="preserve"> LEFT(Sng2String(Table1[[#This Row],[c bias]]), 6)</f>
        <v>3F30A3</v>
      </c>
      <c r="AS71" s="2" t="str">
        <f xml:space="preserve"> LEFT(Sng2String(Table1[[#This Row],[c gain]]), 6)</f>
        <v>3FD851</v>
      </c>
      <c r="AT71" s="2" t="str">
        <f>DEC2HEX(Table1[[#This Row],[c inv sp mx idx]], 1)</f>
        <v>8</v>
      </c>
      <c r="AU71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00600F8B743F30A33FD85153F98513F585163FD8513F985173F30A33FD851802</v>
      </c>
      <c r="AV71" s="2">
        <f>LEN(Table1[[#This Row],[DRAM data]])</f>
        <v>64</v>
      </c>
    </row>
    <row r="72" spans="1:48" x14ac:dyDescent="0.25">
      <c r="A72">
        <v>70</v>
      </c>
      <c r="B72">
        <f>Table1[[#This Row],[ZMW num]]+1</f>
        <v>71</v>
      </c>
      <c r="C72">
        <v>6</v>
      </c>
      <c r="D72">
        <f t="shared" si="1"/>
        <v>18</v>
      </c>
      <c r="E72">
        <v>141</v>
      </c>
      <c r="F72">
        <v>114</v>
      </c>
      <c r="G72">
        <v>0</v>
      </c>
      <c r="H72">
        <f>Table1[[#This Row],[ZMW num]]*0.01</f>
        <v>0.70000000000000007</v>
      </c>
      <c r="I72">
        <f>1+Table1[[#This Row],[t bias]]</f>
        <v>1.7000000000000002</v>
      </c>
      <c r="J72">
        <f>Table1[[#This Row],[t kinetic trace]]* String2Single(CONCATENATE(LEFT(Single2String(Table1[[#This Row],[t gain]]), 6), "00")) + String2Single(CONCATENATE(LEFT(Single2String(Table1[[#This Row],[t bias]]), 6), "00"))</f>
        <v>0.6999969482421875</v>
      </c>
      <c r="K72" t="str">
        <f>Sng2String(Table1[[#This Row],[t ptrace]])</f>
        <v>3F333300</v>
      </c>
      <c r="L72">
        <f>MOD(Table1[[#This Row],[ZMW num]], 2^4)</f>
        <v>6</v>
      </c>
      <c r="M72">
        <v>0</v>
      </c>
      <c r="N72">
        <f>Table1[[#This Row],[t bias]]+0.5</f>
        <v>1.2000000000000002</v>
      </c>
      <c r="O72">
        <f>Table1[[#This Row],[t gain]]/2</f>
        <v>0.85000000000000009</v>
      </c>
      <c r="P72">
        <f>Table1[[#This Row],[g kinetic trace]] * String2Single(CONCATENATE(LEFT(Single2String(Table1[[#This Row],[g gain]]), 6), "00")) + String2Single(CONCATENATE(LEFT(Single2String(Table1[[#This Row],[g bias]]), 6), "00"))</f>
        <v>1.199981689453125</v>
      </c>
      <c r="Q72" t="str">
        <f xml:space="preserve"> Sng2String(Table1[[#This Row],[g ptrace]])</f>
        <v>3F999900</v>
      </c>
      <c r="R72">
        <f>MOD(Table1[[#This Row],[t inv sp mx idx]]+1, 2^4)</f>
        <v>7</v>
      </c>
      <c r="S72">
        <v>0</v>
      </c>
      <c r="T72">
        <f>Table1[[#This Row],[t bias]]+1</f>
        <v>1.7000000000000002</v>
      </c>
      <c r="U72">
        <f>Table1[[#This Row],[t gain]]-0.5</f>
        <v>1.2000000000000002</v>
      </c>
      <c r="V72">
        <f>Table1[[#This Row],[a kinetic trace]] * String2Single(CONCATENATE(LEFT(Single2String(Table1[[#This Row],[a gain]]), 6), "00")) + String2Single(CONCATENATE(LEFT(Single2String(Table1[[#This Row],[a bias]]), 6), "00"))</f>
        <v>1.699981689453125</v>
      </c>
      <c r="W72" t="str">
        <f xml:space="preserve"> Sng2String(Table1[[#This Row],[a ptrace]])</f>
        <v>3FD99900</v>
      </c>
      <c r="X72">
        <f>MOD(Table1[[#This Row],[t inv sp mx idx]]+2, 2^4)</f>
        <v>8</v>
      </c>
      <c r="Y72">
        <v>0</v>
      </c>
      <c r="Z72">
        <f>Table1[[#This Row],[t bias]]</f>
        <v>0.70000000000000007</v>
      </c>
      <c r="AA72">
        <f>Table1[[#This Row],[t gain]]</f>
        <v>1.7000000000000002</v>
      </c>
      <c r="AB72">
        <f>Table1[[#This Row],[c kinetic trace]]* String2Single(CONCATENATE(LEFT(Single2String(Table1[[#This Row],[c gain]]), 6), "00")) + String2Single(CONCATENATE(LEFT(Single2String(Table1[[#This Row],[c bias]]), 6), "00"))</f>
        <v>0.6999969482421875</v>
      </c>
      <c r="AC72" t="str">
        <f xml:space="preserve"> Sng2String(Table1[[#This Row],[c ptrace]])</f>
        <v>3F333300</v>
      </c>
      <c r="AD72">
        <f>MOD(Table1[[#This Row],[t inv sp mx idx]]+3, 2^4)</f>
        <v>9</v>
      </c>
      <c r="AE72" s="4" t="str">
        <f>DEC2HEX(Table1[[#This Row],[row]], 3)</f>
        <v>006</v>
      </c>
      <c r="AF72" s="2" t="str">
        <f>DEC2HEX(Table1[[#This Row],[col]], 3)</f>
        <v>012</v>
      </c>
      <c r="AG72" s="2" t="str">
        <f>DEC2HEX(Table1[[#This Row],[grn fsp idx]], 2)</f>
        <v>8D</v>
      </c>
      <c r="AH72" s="2" t="str">
        <f>DEC2HEX(Table1[[#This Row],[red fsp idx]], 2)</f>
        <v>72</v>
      </c>
      <c r="AI72" s="2" t="str">
        <f xml:space="preserve"> LEFT(Sng2String(Table1[[#This Row],[t bias]]), 6)</f>
        <v>3F3333</v>
      </c>
      <c r="AJ72" s="2" t="str">
        <f xml:space="preserve"> LEFT(Sng2String(Table1[[#This Row],[t gain]]), 6)</f>
        <v>3FD999</v>
      </c>
      <c r="AK72" s="2" t="str">
        <f>DEC2HEX(Table1[[#This Row],[t inv sp mx idx]], 1)</f>
        <v>6</v>
      </c>
      <c r="AL72" s="2" t="str">
        <f xml:space="preserve"> LEFT(Sng2String(Table1[[#This Row],[g bias]]), 6)</f>
        <v>3F9999</v>
      </c>
      <c r="AM72" s="2" t="str">
        <f xml:space="preserve"> LEFT(Sng2String(Table1[[#This Row],[g gain]]), 6)</f>
        <v>3F5999</v>
      </c>
      <c r="AN72" s="2" t="str">
        <f>DEC2HEX(Table1[[#This Row],[g inv sp mx idx]], 1)</f>
        <v>7</v>
      </c>
      <c r="AO72" s="2" t="str">
        <f xml:space="preserve"> LEFT(Sng2String(Table1[[#This Row],[a bias]]), 6)</f>
        <v>3FD999</v>
      </c>
      <c r="AP72" s="2" t="str">
        <f xml:space="preserve"> LEFT(Sng2String(Table1[[#This Row],[a gain]]), 6)</f>
        <v>3F9999</v>
      </c>
      <c r="AQ72" s="2" t="str">
        <f>DEC2HEX(Table1[[#This Row],[a inv sp mx idx]], 1)</f>
        <v>8</v>
      </c>
      <c r="AR72" s="2" t="str">
        <f xml:space="preserve"> LEFT(Sng2String(Table1[[#This Row],[c bias]]), 6)</f>
        <v>3F3333</v>
      </c>
      <c r="AS72" s="2" t="str">
        <f xml:space="preserve"> LEFT(Sng2String(Table1[[#This Row],[c gain]]), 6)</f>
        <v>3FD999</v>
      </c>
      <c r="AT72" s="2" t="str">
        <f>DEC2HEX(Table1[[#This Row],[c inv sp mx idx]], 1)</f>
        <v>9</v>
      </c>
      <c r="AU72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0060128D723F33333FD99963F99993F599973FD9993F999983F33333FD999902</v>
      </c>
      <c r="AV72" s="2">
        <f>LEN(Table1[[#This Row],[DRAM data]])</f>
        <v>64</v>
      </c>
    </row>
    <row r="73" spans="1:48" x14ac:dyDescent="0.25">
      <c r="A73">
        <v>71</v>
      </c>
      <c r="B73">
        <f>Table1[[#This Row],[ZMW num]]+1</f>
        <v>72</v>
      </c>
      <c r="C73">
        <v>6</v>
      </c>
      <c r="D73">
        <f t="shared" si="1"/>
        <v>21</v>
      </c>
      <c r="E73">
        <v>143</v>
      </c>
      <c r="F73">
        <v>112</v>
      </c>
      <c r="G73">
        <v>0</v>
      </c>
      <c r="H73">
        <f>Table1[[#This Row],[ZMW num]]*0.01</f>
        <v>0.71</v>
      </c>
      <c r="I73">
        <f>1+Table1[[#This Row],[t bias]]</f>
        <v>1.71</v>
      </c>
      <c r="J73">
        <f>Table1[[#This Row],[t kinetic trace]]* String2Single(CONCATENATE(LEFT(Single2String(Table1[[#This Row],[t gain]]), 6), "00")) + String2Single(CONCATENATE(LEFT(Single2String(Table1[[#This Row],[t bias]]), 6), "00"))</f>
        <v>0.709991455078125</v>
      </c>
      <c r="K73" t="str">
        <f>Sng2String(Table1[[#This Row],[t ptrace]])</f>
        <v>3F35C200</v>
      </c>
      <c r="L73">
        <f>MOD(Table1[[#This Row],[ZMW num]], 2^4)</f>
        <v>7</v>
      </c>
      <c r="M73">
        <v>0</v>
      </c>
      <c r="N73">
        <f>Table1[[#This Row],[t bias]]+0.5</f>
        <v>1.21</v>
      </c>
      <c r="O73">
        <f>Table1[[#This Row],[t gain]]/2</f>
        <v>0.85499999999999998</v>
      </c>
      <c r="P73">
        <f>Table1[[#This Row],[g kinetic trace]] * String2Single(CONCATENATE(LEFT(Single2String(Table1[[#This Row],[g gain]]), 6), "00")) + String2Single(CONCATENATE(LEFT(Single2String(Table1[[#This Row],[g bias]]), 6), "00"))</f>
        <v>1.209991455078125</v>
      </c>
      <c r="Q73" t="str">
        <f xml:space="preserve"> Sng2String(Table1[[#This Row],[g ptrace]])</f>
        <v>3F9AE100</v>
      </c>
      <c r="R73">
        <f>MOD(Table1[[#This Row],[t inv sp mx idx]]+1, 2^4)</f>
        <v>8</v>
      </c>
      <c r="S73">
        <v>0</v>
      </c>
      <c r="T73">
        <f>Table1[[#This Row],[t bias]]+1</f>
        <v>1.71</v>
      </c>
      <c r="U73">
        <f>Table1[[#This Row],[t gain]]-0.5</f>
        <v>1.21</v>
      </c>
      <c r="V73">
        <f>Table1[[#This Row],[a kinetic trace]] * String2Single(CONCATENATE(LEFT(Single2String(Table1[[#This Row],[a gain]]), 6), "00")) + String2Single(CONCATENATE(LEFT(Single2String(Table1[[#This Row],[a bias]]), 6), "00"))</f>
        <v>1.709991455078125</v>
      </c>
      <c r="W73" t="str">
        <f xml:space="preserve"> Sng2String(Table1[[#This Row],[a ptrace]])</f>
        <v>3FDAE100</v>
      </c>
      <c r="X73">
        <f>MOD(Table1[[#This Row],[t inv sp mx idx]]+2, 2^4)</f>
        <v>9</v>
      </c>
      <c r="Y73">
        <v>0</v>
      </c>
      <c r="Z73">
        <f>Table1[[#This Row],[t bias]]</f>
        <v>0.71</v>
      </c>
      <c r="AA73">
        <f>Table1[[#This Row],[t gain]]</f>
        <v>1.71</v>
      </c>
      <c r="AB73">
        <f>Table1[[#This Row],[c kinetic trace]]* String2Single(CONCATENATE(LEFT(Single2String(Table1[[#This Row],[c gain]]), 6), "00")) + String2Single(CONCATENATE(LEFT(Single2String(Table1[[#This Row],[c bias]]), 6), "00"))</f>
        <v>0.709991455078125</v>
      </c>
      <c r="AC73" t="str">
        <f xml:space="preserve"> Sng2String(Table1[[#This Row],[c ptrace]])</f>
        <v>3F35C200</v>
      </c>
      <c r="AD73">
        <f>MOD(Table1[[#This Row],[t inv sp mx idx]]+3, 2^4)</f>
        <v>10</v>
      </c>
      <c r="AE73" s="4" t="str">
        <f>DEC2HEX(Table1[[#This Row],[row]], 3)</f>
        <v>006</v>
      </c>
      <c r="AF73" s="2" t="str">
        <f>DEC2HEX(Table1[[#This Row],[col]], 3)</f>
        <v>015</v>
      </c>
      <c r="AG73" s="2" t="str">
        <f>DEC2HEX(Table1[[#This Row],[grn fsp idx]], 2)</f>
        <v>8F</v>
      </c>
      <c r="AH73" s="2" t="str">
        <f>DEC2HEX(Table1[[#This Row],[red fsp idx]], 2)</f>
        <v>70</v>
      </c>
      <c r="AI73" s="2" t="str">
        <f xml:space="preserve"> LEFT(Sng2String(Table1[[#This Row],[t bias]]), 6)</f>
        <v>3F35C2</v>
      </c>
      <c r="AJ73" s="2" t="str">
        <f xml:space="preserve"> LEFT(Sng2String(Table1[[#This Row],[t gain]]), 6)</f>
        <v>3FDAE1</v>
      </c>
      <c r="AK73" s="2" t="str">
        <f>DEC2HEX(Table1[[#This Row],[t inv sp mx idx]], 1)</f>
        <v>7</v>
      </c>
      <c r="AL73" s="2" t="str">
        <f xml:space="preserve"> LEFT(Sng2String(Table1[[#This Row],[g bias]]), 6)</f>
        <v>3F9AE1</v>
      </c>
      <c r="AM73" s="2" t="str">
        <f xml:space="preserve"> LEFT(Sng2String(Table1[[#This Row],[g gain]]), 6)</f>
        <v>3F5AE1</v>
      </c>
      <c r="AN73" s="2" t="str">
        <f>DEC2HEX(Table1[[#This Row],[g inv sp mx idx]], 1)</f>
        <v>8</v>
      </c>
      <c r="AO73" s="2" t="str">
        <f xml:space="preserve"> LEFT(Sng2String(Table1[[#This Row],[a bias]]), 6)</f>
        <v>3FDAE1</v>
      </c>
      <c r="AP73" s="2" t="str">
        <f xml:space="preserve"> LEFT(Sng2String(Table1[[#This Row],[a gain]]), 6)</f>
        <v>3F9AE1</v>
      </c>
      <c r="AQ73" s="2" t="str">
        <f>DEC2HEX(Table1[[#This Row],[a inv sp mx idx]], 1)</f>
        <v>9</v>
      </c>
      <c r="AR73" s="2" t="str">
        <f xml:space="preserve"> LEFT(Sng2String(Table1[[#This Row],[c bias]]), 6)</f>
        <v>3F35C2</v>
      </c>
      <c r="AS73" s="2" t="str">
        <f xml:space="preserve"> LEFT(Sng2String(Table1[[#This Row],[c gain]]), 6)</f>
        <v>3FDAE1</v>
      </c>
      <c r="AT73" s="2" t="str">
        <f>DEC2HEX(Table1[[#This Row],[c inv sp mx idx]], 1)</f>
        <v>A</v>
      </c>
      <c r="AU73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0060158F703F35C23FDAE173F9AE13F5AE183FDAE13F9AE193F35C23FDAE1A02</v>
      </c>
      <c r="AV73" s="2">
        <f>LEN(Table1[[#This Row],[DRAM data]])</f>
        <v>64</v>
      </c>
    </row>
    <row r="74" spans="1:48" x14ac:dyDescent="0.25">
      <c r="A74">
        <v>72</v>
      </c>
      <c r="B74">
        <f>Table1[[#This Row],[ZMW num]]+1</f>
        <v>73</v>
      </c>
      <c r="C74">
        <v>6</v>
      </c>
      <c r="D74">
        <f t="shared" si="1"/>
        <v>24</v>
      </c>
      <c r="E74">
        <v>145</v>
      </c>
      <c r="F74">
        <v>110</v>
      </c>
      <c r="G74">
        <v>0</v>
      </c>
      <c r="H74">
        <f>Table1[[#This Row],[ZMW num]]*0.01</f>
        <v>0.72</v>
      </c>
      <c r="I74">
        <f>1+Table1[[#This Row],[t bias]]</f>
        <v>1.72</v>
      </c>
      <c r="J74">
        <f>Table1[[#This Row],[t kinetic trace]]* String2Single(CONCATENATE(LEFT(Single2String(Table1[[#This Row],[t gain]]), 6), "00")) + String2Single(CONCATENATE(LEFT(Single2String(Table1[[#This Row],[t bias]]), 6), "00"))</f>
        <v>0.7199859619140625</v>
      </c>
      <c r="K74" t="str">
        <f>Sng2String(Table1[[#This Row],[t ptrace]])</f>
        <v>3F385100</v>
      </c>
      <c r="L74">
        <f>MOD(Table1[[#This Row],[ZMW num]], 2^4)</f>
        <v>8</v>
      </c>
      <c r="M74">
        <v>0</v>
      </c>
      <c r="N74">
        <f>Table1[[#This Row],[t bias]]+0.5</f>
        <v>1.22</v>
      </c>
      <c r="O74">
        <f>Table1[[#This Row],[t gain]]/2</f>
        <v>0.86</v>
      </c>
      <c r="P74">
        <f>Table1[[#This Row],[g kinetic trace]] * String2Single(CONCATENATE(LEFT(Single2String(Table1[[#This Row],[g gain]]), 6), "00")) + String2Single(CONCATENATE(LEFT(Single2String(Table1[[#This Row],[g bias]]), 6), "00"))</f>
        <v>1.219970703125</v>
      </c>
      <c r="Q74" t="str">
        <f xml:space="preserve"> Sng2String(Table1[[#This Row],[g ptrace]])</f>
        <v>3F9C2800</v>
      </c>
      <c r="R74">
        <f>MOD(Table1[[#This Row],[t inv sp mx idx]]+1, 2^4)</f>
        <v>9</v>
      </c>
      <c r="S74">
        <v>0</v>
      </c>
      <c r="T74">
        <f>Table1[[#This Row],[t bias]]+1</f>
        <v>1.72</v>
      </c>
      <c r="U74">
        <f>Table1[[#This Row],[t gain]]-0.5</f>
        <v>1.22</v>
      </c>
      <c r="V74">
        <f>Table1[[#This Row],[a kinetic trace]] * String2Single(CONCATENATE(LEFT(Single2String(Table1[[#This Row],[a gain]]), 6), "00")) + String2Single(CONCATENATE(LEFT(Single2String(Table1[[#This Row],[a bias]]), 6), "00"))</f>
        <v>1.719970703125</v>
      </c>
      <c r="W74" t="str">
        <f xml:space="preserve"> Sng2String(Table1[[#This Row],[a ptrace]])</f>
        <v>3FDC2800</v>
      </c>
      <c r="X74">
        <f>MOD(Table1[[#This Row],[t inv sp mx idx]]+2, 2^4)</f>
        <v>10</v>
      </c>
      <c r="Y74">
        <v>0</v>
      </c>
      <c r="Z74">
        <f>Table1[[#This Row],[t bias]]</f>
        <v>0.72</v>
      </c>
      <c r="AA74">
        <f>Table1[[#This Row],[t gain]]</f>
        <v>1.72</v>
      </c>
      <c r="AB74">
        <f>Table1[[#This Row],[c kinetic trace]]* String2Single(CONCATENATE(LEFT(Single2String(Table1[[#This Row],[c gain]]), 6), "00")) + String2Single(CONCATENATE(LEFT(Single2String(Table1[[#This Row],[c bias]]), 6), "00"))</f>
        <v>0.7199859619140625</v>
      </c>
      <c r="AC74" t="str">
        <f xml:space="preserve"> Sng2String(Table1[[#This Row],[c ptrace]])</f>
        <v>3F385100</v>
      </c>
      <c r="AD74">
        <f>MOD(Table1[[#This Row],[t inv sp mx idx]]+3, 2^4)</f>
        <v>11</v>
      </c>
      <c r="AE74" s="4" t="str">
        <f>DEC2HEX(Table1[[#This Row],[row]], 3)</f>
        <v>006</v>
      </c>
      <c r="AF74" s="2" t="str">
        <f>DEC2HEX(Table1[[#This Row],[col]], 3)</f>
        <v>018</v>
      </c>
      <c r="AG74" s="2" t="str">
        <f>DEC2HEX(Table1[[#This Row],[grn fsp idx]], 2)</f>
        <v>91</v>
      </c>
      <c r="AH74" s="2" t="str">
        <f>DEC2HEX(Table1[[#This Row],[red fsp idx]], 2)</f>
        <v>6E</v>
      </c>
      <c r="AI74" s="2" t="str">
        <f xml:space="preserve"> LEFT(Sng2String(Table1[[#This Row],[t bias]]), 6)</f>
        <v>3F3851</v>
      </c>
      <c r="AJ74" s="2" t="str">
        <f xml:space="preserve"> LEFT(Sng2String(Table1[[#This Row],[t gain]]), 6)</f>
        <v>3FDC28</v>
      </c>
      <c r="AK74" s="2" t="str">
        <f>DEC2HEX(Table1[[#This Row],[t inv sp mx idx]], 1)</f>
        <v>8</v>
      </c>
      <c r="AL74" s="2" t="str">
        <f xml:space="preserve"> LEFT(Sng2String(Table1[[#This Row],[g bias]]), 6)</f>
        <v>3F9C28</v>
      </c>
      <c r="AM74" s="2" t="str">
        <f xml:space="preserve"> LEFT(Sng2String(Table1[[#This Row],[g gain]]), 6)</f>
        <v>3F5C28</v>
      </c>
      <c r="AN74" s="2" t="str">
        <f>DEC2HEX(Table1[[#This Row],[g inv sp mx idx]], 1)</f>
        <v>9</v>
      </c>
      <c r="AO74" s="2" t="str">
        <f xml:space="preserve"> LEFT(Sng2String(Table1[[#This Row],[a bias]]), 6)</f>
        <v>3FDC28</v>
      </c>
      <c r="AP74" s="2" t="str">
        <f xml:space="preserve"> LEFT(Sng2String(Table1[[#This Row],[a gain]]), 6)</f>
        <v>3F9C28</v>
      </c>
      <c r="AQ74" s="2" t="str">
        <f>DEC2HEX(Table1[[#This Row],[a inv sp mx idx]], 1)</f>
        <v>A</v>
      </c>
      <c r="AR74" s="2" t="str">
        <f xml:space="preserve"> LEFT(Sng2String(Table1[[#This Row],[c bias]]), 6)</f>
        <v>3F3851</v>
      </c>
      <c r="AS74" s="2" t="str">
        <f xml:space="preserve"> LEFT(Sng2String(Table1[[#This Row],[c gain]]), 6)</f>
        <v>3FDC28</v>
      </c>
      <c r="AT74" s="2" t="str">
        <f>DEC2HEX(Table1[[#This Row],[c inv sp mx idx]], 1)</f>
        <v>B</v>
      </c>
      <c r="AU74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006018916E3F38513FDC2883F9C283F5C2893FDC283F9C28A3F38513FDC28B02</v>
      </c>
      <c r="AV74" s="2">
        <f>LEN(Table1[[#This Row],[DRAM data]])</f>
        <v>64</v>
      </c>
    </row>
    <row r="75" spans="1:48" x14ac:dyDescent="0.25">
      <c r="A75">
        <v>73</v>
      </c>
      <c r="B75">
        <f>Table1[[#This Row],[ZMW num]]+1</f>
        <v>74</v>
      </c>
      <c r="C75">
        <v>6</v>
      </c>
      <c r="D75">
        <f t="shared" si="1"/>
        <v>28</v>
      </c>
      <c r="E75">
        <v>147</v>
      </c>
      <c r="F75">
        <v>108</v>
      </c>
      <c r="G75">
        <v>0</v>
      </c>
      <c r="H75">
        <f>Table1[[#This Row],[ZMW num]]*0.01</f>
        <v>0.73</v>
      </c>
      <c r="I75">
        <f>1+Table1[[#This Row],[t bias]]</f>
        <v>1.73</v>
      </c>
      <c r="J75">
        <f>Table1[[#This Row],[t kinetic trace]]* String2Single(CONCATENATE(LEFT(Single2String(Table1[[#This Row],[t gain]]), 6), "00")) + String2Single(CONCATENATE(LEFT(Single2String(Table1[[#This Row],[t bias]]), 6), "00"))</f>
        <v>0.7299957275390625</v>
      </c>
      <c r="K75" t="str">
        <f>Sng2String(Table1[[#This Row],[t ptrace]])</f>
        <v>3F3AE100</v>
      </c>
      <c r="L75">
        <f>MOD(Table1[[#This Row],[ZMW num]], 2^4)</f>
        <v>9</v>
      </c>
      <c r="M75">
        <v>0</v>
      </c>
      <c r="N75">
        <f>Table1[[#This Row],[t bias]]+0.5</f>
        <v>1.23</v>
      </c>
      <c r="O75">
        <f>Table1[[#This Row],[t gain]]/2</f>
        <v>0.86499999999999999</v>
      </c>
      <c r="P75">
        <f>Table1[[#This Row],[g kinetic trace]] * String2Single(CONCATENATE(LEFT(Single2String(Table1[[#This Row],[g gain]]), 6), "00")) + String2Single(CONCATENATE(LEFT(Single2String(Table1[[#This Row],[g bias]]), 6), "00"))</f>
        <v>1.22998046875</v>
      </c>
      <c r="Q75" t="str">
        <f xml:space="preserve"> Sng2String(Table1[[#This Row],[g ptrace]])</f>
        <v>3F9D7000</v>
      </c>
      <c r="R75">
        <f>MOD(Table1[[#This Row],[t inv sp mx idx]]+1, 2^4)</f>
        <v>10</v>
      </c>
      <c r="S75">
        <v>0</v>
      </c>
      <c r="T75">
        <f>Table1[[#This Row],[t bias]]+1</f>
        <v>1.73</v>
      </c>
      <c r="U75">
        <f>Table1[[#This Row],[t gain]]-0.5</f>
        <v>1.23</v>
      </c>
      <c r="V75">
        <f>Table1[[#This Row],[a kinetic trace]] * String2Single(CONCATENATE(LEFT(Single2String(Table1[[#This Row],[a gain]]), 6), "00")) + String2Single(CONCATENATE(LEFT(Single2String(Table1[[#This Row],[a bias]]), 6), "00"))</f>
        <v>1.72998046875</v>
      </c>
      <c r="W75" t="str">
        <f xml:space="preserve"> Sng2String(Table1[[#This Row],[a ptrace]])</f>
        <v>3FDD7000</v>
      </c>
      <c r="X75">
        <f>MOD(Table1[[#This Row],[t inv sp mx idx]]+2, 2^4)</f>
        <v>11</v>
      </c>
      <c r="Y75">
        <v>0</v>
      </c>
      <c r="Z75">
        <f>Table1[[#This Row],[t bias]]</f>
        <v>0.73</v>
      </c>
      <c r="AA75">
        <f>Table1[[#This Row],[t gain]]</f>
        <v>1.73</v>
      </c>
      <c r="AB75">
        <f>Table1[[#This Row],[c kinetic trace]]* String2Single(CONCATENATE(LEFT(Single2String(Table1[[#This Row],[c gain]]), 6), "00")) + String2Single(CONCATENATE(LEFT(Single2String(Table1[[#This Row],[c bias]]), 6), "00"))</f>
        <v>0.7299957275390625</v>
      </c>
      <c r="AC75" t="str">
        <f xml:space="preserve"> Sng2String(Table1[[#This Row],[c ptrace]])</f>
        <v>3F3AE100</v>
      </c>
      <c r="AD75">
        <f>MOD(Table1[[#This Row],[t inv sp mx idx]]+3, 2^4)</f>
        <v>12</v>
      </c>
      <c r="AE75" s="4" t="str">
        <f>DEC2HEX(Table1[[#This Row],[row]], 3)</f>
        <v>006</v>
      </c>
      <c r="AF75" s="2" t="str">
        <f>DEC2HEX(Table1[[#This Row],[col]], 3)</f>
        <v>01C</v>
      </c>
      <c r="AG75" s="2" t="str">
        <f>DEC2HEX(Table1[[#This Row],[grn fsp idx]], 2)</f>
        <v>93</v>
      </c>
      <c r="AH75" s="2" t="str">
        <f>DEC2HEX(Table1[[#This Row],[red fsp idx]], 2)</f>
        <v>6C</v>
      </c>
      <c r="AI75" s="2" t="str">
        <f xml:space="preserve"> LEFT(Sng2String(Table1[[#This Row],[t bias]]), 6)</f>
        <v>3F3AE1</v>
      </c>
      <c r="AJ75" s="2" t="str">
        <f xml:space="preserve"> LEFT(Sng2String(Table1[[#This Row],[t gain]]), 6)</f>
        <v>3FDD70</v>
      </c>
      <c r="AK75" s="2" t="str">
        <f>DEC2HEX(Table1[[#This Row],[t inv sp mx idx]], 1)</f>
        <v>9</v>
      </c>
      <c r="AL75" s="2" t="str">
        <f xml:space="preserve"> LEFT(Sng2String(Table1[[#This Row],[g bias]]), 6)</f>
        <v>3F9D70</v>
      </c>
      <c r="AM75" s="2" t="str">
        <f xml:space="preserve"> LEFT(Sng2String(Table1[[#This Row],[g gain]]), 6)</f>
        <v>3F5D70</v>
      </c>
      <c r="AN75" s="2" t="str">
        <f>DEC2HEX(Table1[[#This Row],[g inv sp mx idx]], 1)</f>
        <v>A</v>
      </c>
      <c r="AO75" s="2" t="str">
        <f xml:space="preserve"> LEFT(Sng2String(Table1[[#This Row],[a bias]]), 6)</f>
        <v>3FDD70</v>
      </c>
      <c r="AP75" s="2" t="str">
        <f xml:space="preserve"> LEFT(Sng2String(Table1[[#This Row],[a gain]]), 6)</f>
        <v>3F9D70</v>
      </c>
      <c r="AQ75" s="2" t="str">
        <f>DEC2HEX(Table1[[#This Row],[a inv sp mx idx]], 1)</f>
        <v>B</v>
      </c>
      <c r="AR75" s="2" t="str">
        <f xml:space="preserve"> LEFT(Sng2String(Table1[[#This Row],[c bias]]), 6)</f>
        <v>3F3AE1</v>
      </c>
      <c r="AS75" s="2" t="str">
        <f xml:space="preserve"> LEFT(Sng2String(Table1[[#This Row],[c gain]]), 6)</f>
        <v>3FDD70</v>
      </c>
      <c r="AT75" s="2" t="str">
        <f>DEC2HEX(Table1[[#This Row],[c inv sp mx idx]], 1)</f>
        <v>C</v>
      </c>
      <c r="AU75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00601C936C3F3AE13FDD7093F9D703F5D70A3FDD703F9D70B3F3AE13FDD70C02</v>
      </c>
      <c r="AV75" s="2">
        <f>LEN(Table1[[#This Row],[DRAM data]])</f>
        <v>64</v>
      </c>
    </row>
    <row r="76" spans="1:48" x14ac:dyDescent="0.25">
      <c r="A76">
        <v>74</v>
      </c>
      <c r="B76">
        <f>Table1[[#This Row],[ZMW num]]+1</f>
        <v>75</v>
      </c>
      <c r="C76">
        <v>6</v>
      </c>
      <c r="D76">
        <f t="shared" si="1"/>
        <v>32</v>
      </c>
      <c r="E76">
        <v>149</v>
      </c>
      <c r="F76">
        <v>106</v>
      </c>
      <c r="G76">
        <v>0</v>
      </c>
      <c r="H76">
        <f>Table1[[#This Row],[ZMW num]]*0.01</f>
        <v>0.74</v>
      </c>
      <c r="I76">
        <f>1+Table1[[#This Row],[t bias]]</f>
        <v>1.74</v>
      </c>
      <c r="J76">
        <f>Table1[[#This Row],[t kinetic trace]]* String2Single(CONCATENATE(LEFT(Single2String(Table1[[#This Row],[t gain]]), 6), "00")) + String2Single(CONCATENATE(LEFT(Single2String(Table1[[#This Row],[t bias]]), 6), "00"))</f>
        <v>0.739990234375</v>
      </c>
      <c r="K76" t="str">
        <f>Sng2String(Table1[[#This Row],[t ptrace]])</f>
        <v>3F3D7000</v>
      </c>
      <c r="L76">
        <f>MOD(Table1[[#This Row],[ZMW num]], 2^4)</f>
        <v>10</v>
      </c>
      <c r="M76">
        <v>0</v>
      </c>
      <c r="N76">
        <f>Table1[[#This Row],[t bias]]+0.5</f>
        <v>1.24</v>
      </c>
      <c r="O76">
        <f>Table1[[#This Row],[t gain]]/2</f>
        <v>0.87</v>
      </c>
      <c r="P76">
        <f>Table1[[#This Row],[g kinetic trace]] * String2Single(CONCATENATE(LEFT(Single2String(Table1[[#This Row],[g gain]]), 6), "00")) + String2Single(CONCATENATE(LEFT(Single2String(Table1[[#This Row],[g bias]]), 6), "00"))</f>
        <v>1.239990234375</v>
      </c>
      <c r="Q76" t="str">
        <f xml:space="preserve"> Sng2String(Table1[[#This Row],[g ptrace]])</f>
        <v>3F9EB800</v>
      </c>
      <c r="R76">
        <f>MOD(Table1[[#This Row],[t inv sp mx idx]]+1, 2^4)</f>
        <v>11</v>
      </c>
      <c r="S76">
        <v>0</v>
      </c>
      <c r="T76">
        <f>Table1[[#This Row],[t bias]]+1</f>
        <v>1.74</v>
      </c>
      <c r="U76">
        <f>Table1[[#This Row],[t gain]]-0.5</f>
        <v>1.24</v>
      </c>
      <c r="V76">
        <f>Table1[[#This Row],[a kinetic trace]] * String2Single(CONCATENATE(LEFT(Single2String(Table1[[#This Row],[a gain]]), 6), "00")) + String2Single(CONCATENATE(LEFT(Single2String(Table1[[#This Row],[a bias]]), 6), "00"))</f>
        <v>1.739990234375</v>
      </c>
      <c r="W76" t="str">
        <f xml:space="preserve"> Sng2String(Table1[[#This Row],[a ptrace]])</f>
        <v>3FDEB800</v>
      </c>
      <c r="X76">
        <f>MOD(Table1[[#This Row],[t inv sp mx idx]]+2, 2^4)</f>
        <v>12</v>
      </c>
      <c r="Y76">
        <v>0</v>
      </c>
      <c r="Z76">
        <f>Table1[[#This Row],[t bias]]</f>
        <v>0.74</v>
      </c>
      <c r="AA76">
        <f>Table1[[#This Row],[t gain]]</f>
        <v>1.74</v>
      </c>
      <c r="AB76">
        <f>Table1[[#This Row],[c kinetic trace]]* String2Single(CONCATENATE(LEFT(Single2String(Table1[[#This Row],[c gain]]), 6), "00")) + String2Single(CONCATENATE(LEFT(Single2String(Table1[[#This Row],[c bias]]), 6), "00"))</f>
        <v>0.739990234375</v>
      </c>
      <c r="AC76" t="str">
        <f xml:space="preserve"> Sng2String(Table1[[#This Row],[c ptrace]])</f>
        <v>3F3D7000</v>
      </c>
      <c r="AD76">
        <f>MOD(Table1[[#This Row],[t inv sp mx idx]]+3, 2^4)</f>
        <v>13</v>
      </c>
      <c r="AE76" s="4" t="str">
        <f>DEC2HEX(Table1[[#This Row],[row]], 3)</f>
        <v>006</v>
      </c>
      <c r="AF76" s="2" t="str">
        <f>DEC2HEX(Table1[[#This Row],[col]], 3)</f>
        <v>020</v>
      </c>
      <c r="AG76" s="2" t="str">
        <f>DEC2HEX(Table1[[#This Row],[grn fsp idx]], 2)</f>
        <v>95</v>
      </c>
      <c r="AH76" s="2" t="str">
        <f>DEC2HEX(Table1[[#This Row],[red fsp idx]], 2)</f>
        <v>6A</v>
      </c>
      <c r="AI76" s="2" t="str">
        <f xml:space="preserve"> LEFT(Sng2String(Table1[[#This Row],[t bias]]), 6)</f>
        <v>3F3D70</v>
      </c>
      <c r="AJ76" s="2" t="str">
        <f xml:space="preserve"> LEFT(Sng2String(Table1[[#This Row],[t gain]]), 6)</f>
        <v>3FDEB8</v>
      </c>
      <c r="AK76" s="2" t="str">
        <f>DEC2HEX(Table1[[#This Row],[t inv sp mx idx]], 1)</f>
        <v>A</v>
      </c>
      <c r="AL76" s="2" t="str">
        <f xml:space="preserve"> LEFT(Sng2String(Table1[[#This Row],[g bias]]), 6)</f>
        <v>3F9EB8</v>
      </c>
      <c r="AM76" s="2" t="str">
        <f xml:space="preserve"> LEFT(Sng2String(Table1[[#This Row],[g gain]]), 6)</f>
        <v>3F5EB8</v>
      </c>
      <c r="AN76" s="2" t="str">
        <f>DEC2HEX(Table1[[#This Row],[g inv sp mx idx]], 1)</f>
        <v>B</v>
      </c>
      <c r="AO76" s="2" t="str">
        <f xml:space="preserve"> LEFT(Sng2String(Table1[[#This Row],[a bias]]), 6)</f>
        <v>3FDEB8</v>
      </c>
      <c r="AP76" s="2" t="str">
        <f xml:space="preserve"> LEFT(Sng2String(Table1[[#This Row],[a gain]]), 6)</f>
        <v>3F9EB8</v>
      </c>
      <c r="AQ76" s="2" t="str">
        <f>DEC2HEX(Table1[[#This Row],[a inv sp mx idx]], 1)</f>
        <v>C</v>
      </c>
      <c r="AR76" s="2" t="str">
        <f xml:space="preserve"> LEFT(Sng2String(Table1[[#This Row],[c bias]]), 6)</f>
        <v>3F3D70</v>
      </c>
      <c r="AS76" s="2" t="str">
        <f xml:space="preserve"> LEFT(Sng2String(Table1[[#This Row],[c gain]]), 6)</f>
        <v>3FDEB8</v>
      </c>
      <c r="AT76" s="2" t="str">
        <f>DEC2HEX(Table1[[#This Row],[c inv sp mx idx]], 1)</f>
        <v>D</v>
      </c>
      <c r="AU76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006020956A3F3D703FDEB8A3F9EB83F5EB8B3FDEB83F9EB8C3F3D703FDEB8D02</v>
      </c>
      <c r="AV76" s="2">
        <f>LEN(Table1[[#This Row],[DRAM data]])</f>
        <v>64</v>
      </c>
    </row>
    <row r="77" spans="1:48" x14ac:dyDescent="0.25">
      <c r="A77">
        <v>75</v>
      </c>
      <c r="B77">
        <f>Table1[[#This Row],[ZMW num]]+1</f>
        <v>76</v>
      </c>
      <c r="C77">
        <v>6</v>
      </c>
      <c r="D77">
        <f t="shared" si="1"/>
        <v>35</v>
      </c>
      <c r="E77">
        <v>151</v>
      </c>
      <c r="F77">
        <v>104</v>
      </c>
      <c r="G77">
        <v>0</v>
      </c>
      <c r="H77">
        <f>Table1[[#This Row],[ZMW num]]*0.01</f>
        <v>0.75</v>
      </c>
      <c r="I77">
        <f>1+Table1[[#This Row],[t bias]]</f>
        <v>1.75</v>
      </c>
      <c r="J77">
        <f>Table1[[#This Row],[t kinetic trace]]* String2Single(CONCATENATE(LEFT(Single2String(Table1[[#This Row],[t gain]]), 6), "00")) + String2Single(CONCATENATE(LEFT(Single2String(Table1[[#This Row],[t bias]]), 6), "00"))</f>
        <v>0.75</v>
      </c>
      <c r="K77" t="str">
        <f>Sng2String(Table1[[#This Row],[t ptrace]])</f>
        <v>3F400000</v>
      </c>
      <c r="L77">
        <f>MOD(Table1[[#This Row],[ZMW num]], 2^4)</f>
        <v>11</v>
      </c>
      <c r="M77">
        <v>0</v>
      </c>
      <c r="N77">
        <f>Table1[[#This Row],[t bias]]+0.5</f>
        <v>1.25</v>
      </c>
      <c r="O77">
        <f>Table1[[#This Row],[t gain]]/2</f>
        <v>0.875</v>
      </c>
      <c r="P77">
        <f>Table1[[#This Row],[g kinetic trace]] * String2Single(CONCATENATE(LEFT(Single2String(Table1[[#This Row],[g gain]]), 6), "00")) + String2Single(CONCATENATE(LEFT(Single2String(Table1[[#This Row],[g bias]]), 6), "00"))</f>
        <v>1.25</v>
      </c>
      <c r="Q77" t="str">
        <f xml:space="preserve"> Sng2String(Table1[[#This Row],[g ptrace]])</f>
        <v>3FA00000</v>
      </c>
      <c r="R77">
        <f>MOD(Table1[[#This Row],[t inv sp mx idx]]+1, 2^4)</f>
        <v>12</v>
      </c>
      <c r="S77">
        <v>0</v>
      </c>
      <c r="T77">
        <f>Table1[[#This Row],[t bias]]+1</f>
        <v>1.75</v>
      </c>
      <c r="U77">
        <f>Table1[[#This Row],[t gain]]-0.5</f>
        <v>1.25</v>
      </c>
      <c r="V77">
        <f>Table1[[#This Row],[a kinetic trace]] * String2Single(CONCATENATE(LEFT(Single2String(Table1[[#This Row],[a gain]]), 6), "00")) + String2Single(CONCATENATE(LEFT(Single2String(Table1[[#This Row],[a bias]]), 6), "00"))</f>
        <v>1.75</v>
      </c>
      <c r="W77" t="str">
        <f xml:space="preserve"> Sng2String(Table1[[#This Row],[a ptrace]])</f>
        <v>3FE00000</v>
      </c>
      <c r="X77">
        <f>MOD(Table1[[#This Row],[t inv sp mx idx]]+2, 2^4)</f>
        <v>13</v>
      </c>
      <c r="Y77">
        <v>0</v>
      </c>
      <c r="Z77">
        <f>Table1[[#This Row],[t bias]]</f>
        <v>0.75</v>
      </c>
      <c r="AA77">
        <f>Table1[[#This Row],[t gain]]</f>
        <v>1.75</v>
      </c>
      <c r="AB77">
        <f>Table1[[#This Row],[c kinetic trace]]* String2Single(CONCATENATE(LEFT(Single2String(Table1[[#This Row],[c gain]]), 6), "00")) + String2Single(CONCATENATE(LEFT(Single2String(Table1[[#This Row],[c bias]]), 6), "00"))</f>
        <v>0.75</v>
      </c>
      <c r="AC77" t="str">
        <f xml:space="preserve"> Sng2String(Table1[[#This Row],[c ptrace]])</f>
        <v>3F400000</v>
      </c>
      <c r="AD77">
        <f>MOD(Table1[[#This Row],[t inv sp mx idx]]+3, 2^4)</f>
        <v>14</v>
      </c>
      <c r="AE77" s="4" t="str">
        <f>DEC2HEX(Table1[[#This Row],[row]], 3)</f>
        <v>006</v>
      </c>
      <c r="AF77" s="2" t="str">
        <f>DEC2HEX(Table1[[#This Row],[col]], 3)</f>
        <v>023</v>
      </c>
      <c r="AG77" s="2" t="str">
        <f>DEC2HEX(Table1[[#This Row],[grn fsp idx]], 2)</f>
        <v>97</v>
      </c>
      <c r="AH77" s="2" t="str">
        <f>DEC2HEX(Table1[[#This Row],[red fsp idx]], 2)</f>
        <v>68</v>
      </c>
      <c r="AI77" s="2" t="str">
        <f xml:space="preserve"> LEFT(Sng2String(Table1[[#This Row],[t bias]]), 6)</f>
        <v>3F4000</v>
      </c>
      <c r="AJ77" s="2" t="str">
        <f xml:space="preserve"> LEFT(Sng2String(Table1[[#This Row],[t gain]]), 6)</f>
        <v>3FE000</v>
      </c>
      <c r="AK77" s="2" t="str">
        <f>DEC2HEX(Table1[[#This Row],[t inv sp mx idx]], 1)</f>
        <v>B</v>
      </c>
      <c r="AL77" s="2" t="str">
        <f xml:space="preserve"> LEFT(Sng2String(Table1[[#This Row],[g bias]]), 6)</f>
        <v>3FA000</v>
      </c>
      <c r="AM77" s="2" t="str">
        <f xml:space="preserve"> LEFT(Sng2String(Table1[[#This Row],[g gain]]), 6)</f>
        <v>3F6000</v>
      </c>
      <c r="AN77" s="2" t="str">
        <f>DEC2HEX(Table1[[#This Row],[g inv sp mx idx]], 1)</f>
        <v>C</v>
      </c>
      <c r="AO77" s="2" t="str">
        <f xml:space="preserve"> LEFT(Sng2String(Table1[[#This Row],[a bias]]), 6)</f>
        <v>3FE000</v>
      </c>
      <c r="AP77" s="2" t="str">
        <f xml:space="preserve"> LEFT(Sng2String(Table1[[#This Row],[a gain]]), 6)</f>
        <v>3FA000</v>
      </c>
      <c r="AQ77" s="2" t="str">
        <f>DEC2HEX(Table1[[#This Row],[a inv sp mx idx]], 1)</f>
        <v>D</v>
      </c>
      <c r="AR77" s="2" t="str">
        <f xml:space="preserve"> LEFT(Sng2String(Table1[[#This Row],[c bias]]), 6)</f>
        <v>3F4000</v>
      </c>
      <c r="AS77" s="2" t="str">
        <f xml:space="preserve"> LEFT(Sng2String(Table1[[#This Row],[c gain]]), 6)</f>
        <v>3FE000</v>
      </c>
      <c r="AT77" s="2" t="str">
        <f>DEC2HEX(Table1[[#This Row],[c inv sp mx idx]], 1)</f>
        <v>E</v>
      </c>
      <c r="AU77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00602397683F40003FE000B3FA0003F6000C3FE0003FA000D3F40003FE000E02</v>
      </c>
      <c r="AV77" s="2">
        <f>LEN(Table1[[#This Row],[DRAM data]])</f>
        <v>64</v>
      </c>
    </row>
    <row r="78" spans="1:48" x14ac:dyDescent="0.25">
      <c r="A78">
        <v>76</v>
      </c>
      <c r="B78">
        <f>Table1[[#This Row],[ZMW num]]+1</f>
        <v>77</v>
      </c>
      <c r="C78">
        <v>6</v>
      </c>
      <c r="D78">
        <f t="shared" si="1"/>
        <v>40</v>
      </c>
      <c r="E78">
        <v>153</v>
      </c>
      <c r="F78">
        <v>102</v>
      </c>
      <c r="G78">
        <v>0</v>
      </c>
      <c r="H78">
        <f>Table1[[#This Row],[ZMW num]]*0.01</f>
        <v>0.76</v>
      </c>
      <c r="I78">
        <f>1+Table1[[#This Row],[t bias]]</f>
        <v>1.76</v>
      </c>
      <c r="J78">
        <f>Table1[[#This Row],[t kinetic trace]]* String2Single(CONCATENATE(LEFT(Single2String(Table1[[#This Row],[t gain]]), 6), "00")) + String2Single(CONCATENATE(LEFT(Single2String(Table1[[#This Row],[t bias]]), 6), "00"))</f>
        <v>0.7599945068359375</v>
      </c>
      <c r="K78" t="str">
        <f>Sng2String(Table1[[#This Row],[t ptrace]])</f>
        <v>3F428F00</v>
      </c>
      <c r="L78">
        <f>MOD(Table1[[#This Row],[ZMW num]], 2^4)</f>
        <v>12</v>
      </c>
      <c r="M78">
        <v>0</v>
      </c>
      <c r="N78">
        <f>Table1[[#This Row],[t bias]]+0.5</f>
        <v>1.26</v>
      </c>
      <c r="O78">
        <f>Table1[[#This Row],[t gain]]/2</f>
        <v>0.88</v>
      </c>
      <c r="P78">
        <f>Table1[[#This Row],[g kinetic trace]] * String2Single(CONCATENATE(LEFT(Single2String(Table1[[#This Row],[g gain]]), 6), "00")) + String2Single(CONCATENATE(LEFT(Single2String(Table1[[#This Row],[g bias]]), 6), "00"))</f>
        <v>1.259979248046875</v>
      </c>
      <c r="Q78" t="str">
        <f xml:space="preserve"> Sng2String(Table1[[#This Row],[g ptrace]])</f>
        <v>3FA14700</v>
      </c>
      <c r="R78">
        <f>MOD(Table1[[#This Row],[t inv sp mx idx]]+1, 2^4)</f>
        <v>13</v>
      </c>
      <c r="S78">
        <v>0</v>
      </c>
      <c r="T78">
        <f>Table1[[#This Row],[t bias]]+1</f>
        <v>1.76</v>
      </c>
      <c r="U78">
        <f>Table1[[#This Row],[t gain]]-0.5</f>
        <v>1.26</v>
      </c>
      <c r="V78">
        <f>Table1[[#This Row],[a kinetic trace]] * String2Single(CONCATENATE(LEFT(Single2String(Table1[[#This Row],[a gain]]), 6), "00")) + String2Single(CONCATENATE(LEFT(Single2String(Table1[[#This Row],[a bias]]), 6), "00"))</f>
        <v>1.759979248046875</v>
      </c>
      <c r="W78" t="str">
        <f xml:space="preserve"> Sng2String(Table1[[#This Row],[a ptrace]])</f>
        <v>3FE14700</v>
      </c>
      <c r="X78">
        <f>MOD(Table1[[#This Row],[t inv sp mx idx]]+2, 2^4)</f>
        <v>14</v>
      </c>
      <c r="Y78">
        <v>0</v>
      </c>
      <c r="Z78">
        <f>Table1[[#This Row],[t bias]]</f>
        <v>0.76</v>
      </c>
      <c r="AA78">
        <f>Table1[[#This Row],[t gain]]</f>
        <v>1.76</v>
      </c>
      <c r="AB78">
        <f>Table1[[#This Row],[c kinetic trace]]* String2Single(CONCATENATE(LEFT(Single2String(Table1[[#This Row],[c gain]]), 6), "00")) + String2Single(CONCATENATE(LEFT(Single2String(Table1[[#This Row],[c bias]]), 6), "00"))</f>
        <v>0.7599945068359375</v>
      </c>
      <c r="AC78" t="str">
        <f xml:space="preserve"> Sng2String(Table1[[#This Row],[c ptrace]])</f>
        <v>3F428F00</v>
      </c>
      <c r="AD78">
        <f>MOD(Table1[[#This Row],[t inv sp mx idx]]+3, 2^4)</f>
        <v>15</v>
      </c>
      <c r="AE78" s="4" t="str">
        <f>DEC2HEX(Table1[[#This Row],[row]], 3)</f>
        <v>006</v>
      </c>
      <c r="AF78" s="2" t="str">
        <f>DEC2HEX(Table1[[#This Row],[col]], 3)</f>
        <v>028</v>
      </c>
      <c r="AG78" s="2" t="str">
        <f>DEC2HEX(Table1[[#This Row],[grn fsp idx]], 2)</f>
        <v>99</v>
      </c>
      <c r="AH78" s="2" t="str">
        <f>DEC2HEX(Table1[[#This Row],[red fsp idx]], 2)</f>
        <v>66</v>
      </c>
      <c r="AI78" s="2" t="str">
        <f xml:space="preserve"> LEFT(Sng2String(Table1[[#This Row],[t bias]]), 6)</f>
        <v>3F428F</v>
      </c>
      <c r="AJ78" s="2" t="str">
        <f xml:space="preserve"> LEFT(Sng2String(Table1[[#This Row],[t gain]]), 6)</f>
        <v>3FE147</v>
      </c>
      <c r="AK78" s="2" t="str">
        <f>DEC2HEX(Table1[[#This Row],[t inv sp mx idx]], 1)</f>
        <v>C</v>
      </c>
      <c r="AL78" s="2" t="str">
        <f xml:space="preserve"> LEFT(Sng2String(Table1[[#This Row],[g bias]]), 6)</f>
        <v>3FA147</v>
      </c>
      <c r="AM78" s="2" t="str">
        <f xml:space="preserve"> LEFT(Sng2String(Table1[[#This Row],[g gain]]), 6)</f>
        <v>3F6147</v>
      </c>
      <c r="AN78" s="2" t="str">
        <f>DEC2HEX(Table1[[#This Row],[g inv sp mx idx]], 1)</f>
        <v>D</v>
      </c>
      <c r="AO78" s="2" t="str">
        <f xml:space="preserve"> LEFT(Sng2String(Table1[[#This Row],[a bias]]), 6)</f>
        <v>3FE147</v>
      </c>
      <c r="AP78" s="2" t="str">
        <f xml:space="preserve"> LEFT(Sng2String(Table1[[#This Row],[a gain]]), 6)</f>
        <v>3FA147</v>
      </c>
      <c r="AQ78" s="2" t="str">
        <f>DEC2HEX(Table1[[#This Row],[a inv sp mx idx]], 1)</f>
        <v>E</v>
      </c>
      <c r="AR78" s="2" t="str">
        <f xml:space="preserve"> LEFT(Sng2String(Table1[[#This Row],[c bias]]), 6)</f>
        <v>3F428F</v>
      </c>
      <c r="AS78" s="2" t="str">
        <f xml:space="preserve"> LEFT(Sng2String(Table1[[#This Row],[c gain]]), 6)</f>
        <v>3FE147</v>
      </c>
      <c r="AT78" s="2" t="str">
        <f>DEC2HEX(Table1[[#This Row],[c inv sp mx idx]], 1)</f>
        <v>F</v>
      </c>
      <c r="AU78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00602899663F428F3FE147C3FA1473F6147D3FE1473FA147E3F428F3FE147F02</v>
      </c>
      <c r="AV78" s="2">
        <f>LEN(Table1[[#This Row],[DRAM data]])</f>
        <v>64</v>
      </c>
    </row>
    <row r="79" spans="1:48" x14ac:dyDescent="0.25">
      <c r="A79">
        <v>77</v>
      </c>
      <c r="B79">
        <f>Table1[[#This Row],[ZMW num]]+1</f>
        <v>78</v>
      </c>
      <c r="C79">
        <v>6</v>
      </c>
      <c r="D79">
        <f t="shared" si="1"/>
        <v>44</v>
      </c>
      <c r="E79">
        <v>155</v>
      </c>
      <c r="F79">
        <v>100</v>
      </c>
      <c r="G79">
        <v>0</v>
      </c>
      <c r="H79">
        <f>Table1[[#This Row],[ZMW num]]*0.01</f>
        <v>0.77</v>
      </c>
      <c r="I79">
        <f>1+Table1[[#This Row],[t bias]]</f>
        <v>1.77</v>
      </c>
      <c r="J79">
        <f>Table1[[#This Row],[t kinetic trace]]* String2Single(CONCATENATE(LEFT(Single2String(Table1[[#This Row],[t gain]]), 6), "00")) + String2Single(CONCATENATE(LEFT(Single2String(Table1[[#This Row],[t bias]]), 6), "00"))</f>
        <v>0.769989013671875</v>
      </c>
      <c r="K79" t="str">
        <f>Sng2String(Table1[[#This Row],[t ptrace]])</f>
        <v>3F451E00</v>
      </c>
      <c r="L79">
        <f>MOD(Table1[[#This Row],[ZMW num]], 2^4)</f>
        <v>13</v>
      </c>
      <c r="M79">
        <v>0</v>
      </c>
      <c r="N79">
        <f>Table1[[#This Row],[t bias]]+0.5</f>
        <v>1.27</v>
      </c>
      <c r="O79">
        <f>Table1[[#This Row],[t gain]]/2</f>
        <v>0.88500000000000001</v>
      </c>
      <c r="P79">
        <f>Table1[[#This Row],[g kinetic trace]] * String2Single(CONCATENATE(LEFT(Single2String(Table1[[#This Row],[g gain]]), 6), "00")) + String2Single(CONCATENATE(LEFT(Single2String(Table1[[#This Row],[g bias]]), 6), "00"))</f>
        <v>1.269989013671875</v>
      </c>
      <c r="Q79" t="str">
        <f xml:space="preserve"> Sng2String(Table1[[#This Row],[g ptrace]])</f>
        <v>3FA28F00</v>
      </c>
      <c r="R79">
        <f>MOD(Table1[[#This Row],[t inv sp mx idx]]+1, 2^4)</f>
        <v>14</v>
      </c>
      <c r="S79">
        <v>0</v>
      </c>
      <c r="T79">
        <f>Table1[[#This Row],[t bias]]+1</f>
        <v>1.77</v>
      </c>
      <c r="U79">
        <f>Table1[[#This Row],[t gain]]-0.5</f>
        <v>1.27</v>
      </c>
      <c r="V79">
        <f>Table1[[#This Row],[a kinetic trace]] * String2Single(CONCATENATE(LEFT(Single2String(Table1[[#This Row],[a gain]]), 6), "00")) + String2Single(CONCATENATE(LEFT(Single2String(Table1[[#This Row],[a bias]]), 6), "00"))</f>
        <v>1.769989013671875</v>
      </c>
      <c r="W79" t="str">
        <f xml:space="preserve"> Sng2String(Table1[[#This Row],[a ptrace]])</f>
        <v>3FE28F00</v>
      </c>
      <c r="X79">
        <f>MOD(Table1[[#This Row],[t inv sp mx idx]]+2, 2^4)</f>
        <v>15</v>
      </c>
      <c r="Y79">
        <v>0</v>
      </c>
      <c r="Z79">
        <f>Table1[[#This Row],[t bias]]</f>
        <v>0.77</v>
      </c>
      <c r="AA79">
        <f>Table1[[#This Row],[t gain]]</f>
        <v>1.77</v>
      </c>
      <c r="AB79">
        <f>Table1[[#This Row],[c kinetic trace]]* String2Single(CONCATENATE(LEFT(Single2String(Table1[[#This Row],[c gain]]), 6), "00")) + String2Single(CONCATENATE(LEFT(Single2String(Table1[[#This Row],[c bias]]), 6), "00"))</f>
        <v>0.769989013671875</v>
      </c>
      <c r="AC79" t="str">
        <f xml:space="preserve"> Sng2String(Table1[[#This Row],[c ptrace]])</f>
        <v>3F451E00</v>
      </c>
      <c r="AD79">
        <f>MOD(Table1[[#This Row],[t inv sp mx idx]]+3, 2^4)</f>
        <v>0</v>
      </c>
      <c r="AE79" s="4" t="str">
        <f>DEC2HEX(Table1[[#This Row],[row]], 3)</f>
        <v>006</v>
      </c>
      <c r="AF79" s="2" t="str">
        <f>DEC2HEX(Table1[[#This Row],[col]], 3)</f>
        <v>02C</v>
      </c>
      <c r="AG79" s="2" t="str">
        <f>DEC2HEX(Table1[[#This Row],[grn fsp idx]], 2)</f>
        <v>9B</v>
      </c>
      <c r="AH79" s="2" t="str">
        <f>DEC2HEX(Table1[[#This Row],[red fsp idx]], 2)</f>
        <v>64</v>
      </c>
      <c r="AI79" s="2" t="str">
        <f xml:space="preserve"> LEFT(Sng2String(Table1[[#This Row],[t bias]]), 6)</f>
        <v>3F451E</v>
      </c>
      <c r="AJ79" s="2" t="str">
        <f xml:space="preserve"> LEFT(Sng2String(Table1[[#This Row],[t gain]]), 6)</f>
        <v>3FE28F</v>
      </c>
      <c r="AK79" s="2" t="str">
        <f>DEC2HEX(Table1[[#This Row],[t inv sp mx idx]], 1)</f>
        <v>D</v>
      </c>
      <c r="AL79" s="2" t="str">
        <f xml:space="preserve"> LEFT(Sng2String(Table1[[#This Row],[g bias]]), 6)</f>
        <v>3FA28F</v>
      </c>
      <c r="AM79" s="2" t="str">
        <f xml:space="preserve"> LEFT(Sng2String(Table1[[#This Row],[g gain]]), 6)</f>
        <v>3F628F</v>
      </c>
      <c r="AN79" s="2" t="str">
        <f>DEC2HEX(Table1[[#This Row],[g inv sp mx idx]], 1)</f>
        <v>E</v>
      </c>
      <c r="AO79" s="2" t="str">
        <f xml:space="preserve"> LEFT(Sng2String(Table1[[#This Row],[a bias]]), 6)</f>
        <v>3FE28F</v>
      </c>
      <c r="AP79" s="2" t="str">
        <f xml:space="preserve"> LEFT(Sng2String(Table1[[#This Row],[a gain]]), 6)</f>
        <v>3FA28F</v>
      </c>
      <c r="AQ79" s="2" t="str">
        <f>DEC2HEX(Table1[[#This Row],[a inv sp mx idx]], 1)</f>
        <v>F</v>
      </c>
      <c r="AR79" s="2" t="str">
        <f xml:space="preserve"> LEFT(Sng2String(Table1[[#This Row],[c bias]]), 6)</f>
        <v>3F451E</v>
      </c>
      <c r="AS79" s="2" t="str">
        <f xml:space="preserve"> LEFT(Sng2String(Table1[[#This Row],[c gain]]), 6)</f>
        <v>3FE28F</v>
      </c>
      <c r="AT79" s="2" t="str">
        <f>DEC2HEX(Table1[[#This Row],[c inv sp mx idx]], 1)</f>
        <v>0</v>
      </c>
      <c r="AU79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00602C9B643F451E3FE28FD3FA28F3F628FE3FE28F3FA28FF3F451E3FE28F002</v>
      </c>
      <c r="AV79" s="2">
        <f>LEN(Table1[[#This Row],[DRAM data]])</f>
        <v>64</v>
      </c>
    </row>
    <row r="80" spans="1:48" x14ac:dyDescent="0.25">
      <c r="A80">
        <v>78</v>
      </c>
      <c r="B80">
        <f>Table1[[#This Row],[ZMW num]]+1</f>
        <v>79</v>
      </c>
      <c r="C80">
        <v>6</v>
      </c>
      <c r="D80">
        <f t="shared" si="1"/>
        <v>45</v>
      </c>
      <c r="E80">
        <v>157</v>
      </c>
      <c r="F80">
        <v>98</v>
      </c>
      <c r="G80">
        <v>0</v>
      </c>
      <c r="H80">
        <f>Table1[[#This Row],[ZMW num]]*0.01</f>
        <v>0.78</v>
      </c>
      <c r="I80">
        <f>1+Table1[[#This Row],[t bias]]</f>
        <v>1.78</v>
      </c>
      <c r="J80">
        <f>Table1[[#This Row],[t kinetic trace]]* String2Single(CONCATENATE(LEFT(Single2String(Table1[[#This Row],[t gain]]), 6), "00")) + String2Single(CONCATENATE(LEFT(Single2String(Table1[[#This Row],[t bias]]), 6), "00"))</f>
        <v>0.779998779296875</v>
      </c>
      <c r="K80" t="str">
        <f>Sng2String(Table1[[#This Row],[t ptrace]])</f>
        <v>3F47AE00</v>
      </c>
      <c r="L80">
        <f>MOD(Table1[[#This Row],[ZMW num]], 2^4)</f>
        <v>14</v>
      </c>
      <c r="M80">
        <v>0</v>
      </c>
      <c r="N80">
        <f>Table1[[#This Row],[t bias]]+0.5</f>
        <v>1.28</v>
      </c>
      <c r="O80">
        <f>Table1[[#This Row],[t gain]]/2</f>
        <v>0.89</v>
      </c>
      <c r="P80">
        <f>Table1[[#This Row],[g kinetic trace]] * String2Single(CONCATENATE(LEFT(Single2String(Table1[[#This Row],[g gain]]), 6), "00")) + String2Single(CONCATENATE(LEFT(Single2String(Table1[[#This Row],[g bias]]), 6), "00"))</f>
        <v>1.279998779296875</v>
      </c>
      <c r="Q80" t="str">
        <f xml:space="preserve"> Sng2String(Table1[[#This Row],[g ptrace]])</f>
        <v>3FA3D700</v>
      </c>
      <c r="R80">
        <f>MOD(Table1[[#This Row],[t inv sp mx idx]]+1, 2^4)</f>
        <v>15</v>
      </c>
      <c r="S80">
        <v>0</v>
      </c>
      <c r="T80">
        <f>Table1[[#This Row],[t bias]]+1</f>
        <v>1.78</v>
      </c>
      <c r="U80">
        <f>Table1[[#This Row],[t gain]]-0.5</f>
        <v>1.28</v>
      </c>
      <c r="V80">
        <f>Table1[[#This Row],[a kinetic trace]] * String2Single(CONCATENATE(LEFT(Single2String(Table1[[#This Row],[a gain]]), 6), "00")) + String2Single(CONCATENATE(LEFT(Single2String(Table1[[#This Row],[a bias]]), 6), "00"))</f>
        <v>1.779998779296875</v>
      </c>
      <c r="W80" t="str">
        <f xml:space="preserve"> Sng2String(Table1[[#This Row],[a ptrace]])</f>
        <v>3FE3D700</v>
      </c>
      <c r="X80">
        <f>MOD(Table1[[#This Row],[t inv sp mx idx]]+2, 2^4)</f>
        <v>0</v>
      </c>
      <c r="Y80">
        <v>0</v>
      </c>
      <c r="Z80">
        <f>Table1[[#This Row],[t bias]]</f>
        <v>0.78</v>
      </c>
      <c r="AA80">
        <f>Table1[[#This Row],[t gain]]</f>
        <v>1.78</v>
      </c>
      <c r="AB80">
        <f>Table1[[#This Row],[c kinetic trace]]* String2Single(CONCATENATE(LEFT(Single2String(Table1[[#This Row],[c gain]]), 6), "00")) + String2Single(CONCATENATE(LEFT(Single2String(Table1[[#This Row],[c bias]]), 6), "00"))</f>
        <v>0.779998779296875</v>
      </c>
      <c r="AC80" t="str">
        <f xml:space="preserve"> Sng2String(Table1[[#This Row],[c ptrace]])</f>
        <v>3F47AE00</v>
      </c>
      <c r="AD80">
        <f>MOD(Table1[[#This Row],[t inv sp mx idx]]+3, 2^4)</f>
        <v>1</v>
      </c>
      <c r="AE80" s="4" t="str">
        <f>DEC2HEX(Table1[[#This Row],[row]], 3)</f>
        <v>006</v>
      </c>
      <c r="AF80" s="2" t="str">
        <f>DEC2HEX(Table1[[#This Row],[col]], 3)</f>
        <v>02D</v>
      </c>
      <c r="AG80" s="2" t="str">
        <f>DEC2HEX(Table1[[#This Row],[grn fsp idx]], 2)</f>
        <v>9D</v>
      </c>
      <c r="AH80" s="2" t="str">
        <f>DEC2HEX(Table1[[#This Row],[red fsp idx]], 2)</f>
        <v>62</v>
      </c>
      <c r="AI80" s="2" t="str">
        <f xml:space="preserve"> LEFT(Sng2String(Table1[[#This Row],[t bias]]), 6)</f>
        <v>3F47AE</v>
      </c>
      <c r="AJ80" s="2" t="str">
        <f xml:space="preserve"> LEFT(Sng2String(Table1[[#This Row],[t gain]]), 6)</f>
        <v>3FE3D7</v>
      </c>
      <c r="AK80" s="2" t="str">
        <f>DEC2HEX(Table1[[#This Row],[t inv sp mx idx]], 1)</f>
        <v>E</v>
      </c>
      <c r="AL80" s="2" t="str">
        <f xml:space="preserve"> LEFT(Sng2String(Table1[[#This Row],[g bias]]), 6)</f>
        <v>3FA3D7</v>
      </c>
      <c r="AM80" s="2" t="str">
        <f xml:space="preserve"> LEFT(Sng2String(Table1[[#This Row],[g gain]]), 6)</f>
        <v>3F63D7</v>
      </c>
      <c r="AN80" s="2" t="str">
        <f>DEC2HEX(Table1[[#This Row],[g inv sp mx idx]], 1)</f>
        <v>F</v>
      </c>
      <c r="AO80" s="2" t="str">
        <f xml:space="preserve"> LEFT(Sng2String(Table1[[#This Row],[a bias]]), 6)</f>
        <v>3FE3D7</v>
      </c>
      <c r="AP80" s="2" t="str">
        <f xml:space="preserve"> LEFT(Sng2String(Table1[[#This Row],[a gain]]), 6)</f>
        <v>3FA3D7</v>
      </c>
      <c r="AQ80" s="2" t="str">
        <f>DEC2HEX(Table1[[#This Row],[a inv sp mx idx]], 1)</f>
        <v>0</v>
      </c>
      <c r="AR80" s="2" t="str">
        <f xml:space="preserve"> LEFT(Sng2String(Table1[[#This Row],[c bias]]), 6)</f>
        <v>3F47AE</v>
      </c>
      <c r="AS80" s="2" t="str">
        <f xml:space="preserve"> LEFT(Sng2String(Table1[[#This Row],[c gain]]), 6)</f>
        <v>3FE3D7</v>
      </c>
      <c r="AT80" s="2" t="str">
        <f>DEC2HEX(Table1[[#This Row],[c inv sp mx idx]], 1)</f>
        <v>1</v>
      </c>
      <c r="AU80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00602D9D623F47AE3FE3D7E3FA3D73F63D7F3FE3D73FA3D703F47AE3FE3D7102</v>
      </c>
      <c r="AV80" s="2">
        <f>LEN(Table1[[#This Row],[DRAM data]])</f>
        <v>64</v>
      </c>
    </row>
    <row r="81" spans="1:48" x14ac:dyDescent="0.25">
      <c r="A81">
        <v>79</v>
      </c>
      <c r="B81">
        <f>Table1[[#This Row],[ZMW num]]+1</f>
        <v>80</v>
      </c>
      <c r="C81">
        <v>6</v>
      </c>
      <c r="D81">
        <f t="shared" si="1"/>
        <v>50</v>
      </c>
      <c r="E81">
        <v>159</v>
      </c>
      <c r="F81">
        <v>96</v>
      </c>
      <c r="G81">
        <v>0</v>
      </c>
      <c r="H81">
        <f>Table1[[#This Row],[ZMW num]]*0.01</f>
        <v>0.79</v>
      </c>
      <c r="I81">
        <f>1+Table1[[#This Row],[t bias]]</f>
        <v>1.79</v>
      </c>
      <c r="J81">
        <f>Table1[[#This Row],[t kinetic trace]]* String2Single(CONCATENATE(LEFT(Single2String(Table1[[#This Row],[t gain]]), 6), "00")) + String2Single(CONCATENATE(LEFT(Single2String(Table1[[#This Row],[t bias]]), 6), "00"))</f>
        <v>0.7899932861328125</v>
      </c>
      <c r="K81" t="str">
        <f>Sng2String(Table1[[#This Row],[t ptrace]])</f>
        <v>3F4A3D00</v>
      </c>
      <c r="L81">
        <f>MOD(Table1[[#This Row],[ZMW num]], 2^4)</f>
        <v>15</v>
      </c>
      <c r="M81">
        <v>0</v>
      </c>
      <c r="N81">
        <f>Table1[[#This Row],[t bias]]+0.5</f>
        <v>1.29</v>
      </c>
      <c r="O81">
        <f>Table1[[#This Row],[t gain]]/2</f>
        <v>0.89500000000000002</v>
      </c>
      <c r="P81">
        <f>Table1[[#This Row],[g kinetic trace]] * String2Single(CONCATENATE(LEFT(Single2String(Table1[[#This Row],[g gain]]), 6), "00")) + String2Single(CONCATENATE(LEFT(Single2String(Table1[[#This Row],[g bias]]), 6), "00"))</f>
        <v>1.28997802734375</v>
      </c>
      <c r="Q81" t="str">
        <f xml:space="preserve"> Sng2String(Table1[[#This Row],[g ptrace]])</f>
        <v>3FA51E00</v>
      </c>
      <c r="R81">
        <f>MOD(Table1[[#This Row],[t inv sp mx idx]]+1, 2^4)</f>
        <v>0</v>
      </c>
      <c r="S81">
        <v>0</v>
      </c>
      <c r="T81">
        <f>Table1[[#This Row],[t bias]]+1</f>
        <v>1.79</v>
      </c>
      <c r="U81">
        <f>Table1[[#This Row],[t gain]]-0.5</f>
        <v>1.29</v>
      </c>
      <c r="V81">
        <f>Table1[[#This Row],[a kinetic trace]] * String2Single(CONCATENATE(LEFT(Single2String(Table1[[#This Row],[a gain]]), 6), "00")) + String2Single(CONCATENATE(LEFT(Single2String(Table1[[#This Row],[a bias]]), 6), "00"))</f>
        <v>1.78997802734375</v>
      </c>
      <c r="W81" t="str">
        <f xml:space="preserve"> Sng2String(Table1[[#This Row],[a ptrace]])</f>
        <v>3FE51E00</v>
      </c>
      <c r="X81">
        <f>MOD(Table1[[#This Row],[t inv sp mx idx]]+2, 2^4)</f>
        <v>1</v>
      </c>
      <c r="Y81">
        <v>0</v>
      </c>
      <c r="Z81">
        <f>Table1[[#This Row],[t bias]]</f>
        <v>0.79</v>
      </c>
      <c r="AA81">
        <f>Table1[[#This Row],[t gain]]</f>
        <v>1.79</v>
      </c>
      <c r="AB81">
        <f>Table1[[#This Row],[c kinetic trace]]* String2Single(CONCATENATE(LEFT(Single2String(Table1[[#This Row],[c gain]]), 6), "00")) + String2Single(CONCATENATE(LEFT(Single2String(Table1[[#This Row],[c bias]]), 6), "00"))</f>
        <v>0.7899932861328125</v>
      </c>
      <c r="AC81" t="str">
        <f xml:space="preserve"> Sng2String(Table1[[#This Row],[c ptrace]])</f>
        <v>3F4A3D00</v>
      </c>
      <c r="AD81">
        <f>MOD(Table1[[#This Row],[t inv sp mx idx]]+3, 2^4)</f>
        <v>2</v>
      </c>
      <c r="AE81" s="4" t="str">
        <f>DEC2HEX(Table1[[#This Row],[row]], 3)</f>
        <v>006</v>
      </c>
      <c r="AF81" s="2" t="str">
        <f>DEC2HEX(Table1[[#This Row],[col]], 3)</f>
        <v>032</v>
      </c>
      <c r="AG81" s="2" t="str">
        <f>DEC2HEX(Table1[[#This Row],[grn fsp idx]], 2)</f>
        <v>9F</v>
      </c>
      <c r="AH81" s="2" t="str">
        <f>DEC2HEX(Table1[[#This Row],[red fsp idx]], 2)</f>
        <v>60</v>
      </c>
      <c r="AI81" s="2" t="str">
        <f xml:space="preserve"> LEFT(Sng2String(Table1[[#This Row],[t bias]]), 6)</f>
        <v>3F4A3D</v>
      </c>
      <c r="AJ81" s="2" t="str">
        <f xml:space="preserve"> LEFT(Sng2String(Table1[[#This Row],[t gain]]), 6)</f>
        <v>3FE51E</v>
      </c>
      <c r="AK81" s="2" t="str">
        <f>DEC2HEX(Table1[[#This Row],[t inv sp mx idx]], 1)</f>
        <v>F</v>
      </c>
      <c r="AL81" s="2" t="str">
        <f xml:space="preserve"> LEFT(Sng2String(Table1[[#This Row],[g bias]]), 6)</f>
        <v>3FA51E</v>
      </c>
      <c r="AM81" s="2" t="str">
        <f xml:space="preserve"> LEFT(Sng2String(Table1[[#This Row],[g gain]]), 6)</f>
        <v>3F651E</v>
      </c>
      <c r="AN81" s="2" t="str">
        <f>DEC2HEX(Table1[[#This Row],[g inv sp mx idx]], 1)</f>
        <v>0</v>
      </c>
      <c r="AO81" s="2" t="str">
        <f xml:space="preserve"> LEFT(Sng2String(Table1[[#This Row],[a bias]]), 6)</f>
        <v>3FE51E</v>
      </c>
      <c r="AP81" s="2" t="str">
        <f xml:space="preserve"> LEFT(Sng2String(Table1[[#This Row],[a gain]]), 6)</f>
        <v>3FA51E</v>
      </c>
      <c r="AQ81" s="2" t="str">
        <f>DEC2HEX(Table1[[#This Row],[a inv sp mx idx]], 1)</f>
        <v>1</v>
      </c>
      <c r="AR81" s="2" t="str">
        <f xml:space="preserve"> LEFT(Sng2String(Table1[[#This Row],[c bias]]), 6)</f>
        <v>3F4A3D</v>
      </c>
      <c r="AS81" s="2" t="str">
        <f xml:space="preserve"> LEFT(Sng2String(Table1[[#This Row],[c gain]]), 6)</f>
        <v>3FE51E</v>
      </c>
      <c r="AT81" s="2" t="str">
        <f>DEC2HEX(Table1[[#This Row],[c inv sp mx idx]], 1)</f>
        <v>2</v>
      </c>
      <c r="AU81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0060329F603F4A3D3FE51EF3FA51E3F651E03FE51E3FA51E13F4A3D3FE51E202</v>
      </c>
      <c r="AV81" s="2">
        <f>LEN(Table1[[#This Row],[DRAM data]])</f>
        <v>64</v>
      </c>
    </row>
    <row r="82" spans="1:48" x14ac:dyDescent="0.25">
      <c r="A82">
        <v>80</v>
      </c>
      <c r="B82">
        <f>Table1[[#This Row],[ZMW num]]+1</f>
        <v>81</v>
      </c>
      <c r="C82">
        <v>6</v>
      </c>
      <c r="D82">
        <f t="shared" si="1"/>
        <v>54</v>
      </c>
      <c r="E82">
        <v>161</v>
      </c>
      <c r="F82">
        <v>94</v>
      </c>
      <c r="G82">
        <v>0</v>
      </c>
      <c r="H82">
        <f>Table1[[#This Row],[ZMW num]]*0.01</f>
        <v>0.8</v>
      </c>
      <c r="I82">
        <f>1+Table1[[#This Row],[t bias]]</f>
        <v>1.8</v>
      </c>
      <c r="J82">
        <f>Table1[[#This Row],[t kinetic trace]]* String2Single(CONCATENATE(LEFT(Single2String(Table1[[#This Row],[t gain]]), 6), "00")) + String2Single(CONCATENATE(LEFT(Single2String(Table1[[#This Row],[t bias]]), 6), "00"))</f>
        <v>0.79998779296875</v>
      </c>
      <c r="K82" t="str">
        <f>Sng2String(Table1[[#This Row],[t ptrace]])</f>
        <v>3F4CCC00</v>
      </c>
      <c r="L82">
        <f>MOD(Table1[[#This Row],[ZMW num]], 2^4)</f>
        <v>0</v>
      </c>
      <c r="M82">
        <v>0</v>
      </c>
      <c r="N82">
        <f>Table1[[#This Row],[t bias]]+0.5</f>
        <v>1.3</v>
      </c>
      <c r="O82">
        <f>Table1[[#This Row],[t gain]]/2</f>
        <v>0.9</v>
      </c>
      <c r="P82">
        <f>Table1[[#This Row],[g kinetic trace]] * String2Single(CONCATENATE(LEFT(Single2String(Table1[[#This Row],[g gain]]), 6), "00")) + String2Single(CONCATENATE(LEFT(Single2String(Table1[[#This Row],[g bias]]), 6), "00"))</f>
        <v>1.29998779296875</v>
      </c>
      <c r="Q82" t="str">
        <f xml:space="preserve"> Sng2String(Table1[[#This Row],[g ptrace]])</f>
        <v>3FA66600</v>
      </c>
      <c r="R82">
        <f>MOD(Table1[[#This Row],[t inv sp mx idx]]+1, 2^4)</f>
        <v>1</v>
      </c>
      <c r="S82">
        <v>0</v>
      </c>
      <c r="T82">
        <f>Table1[[#This Row],[t bias]]+1</f>
        <v>1.8</v>
      </c>
      <c r="U82">
        <f>Table1[[#This Row],[t gain]]-0.5</f>
        <v>1.3</v>
      </c>
      <c r="V82">
        <f>Table1[[#This Row],[a kinetic trace]] * String2Single(CONCATENATE(LEFT(Single2String(Table1[[#This Row],[a gain]]), 6), "00")) + String2Single(CONCATENATE(LEFT(Single2String(Table1[[#This Row],[a bias]]), 6), "00"))</f>
        <v>1.79998779296875</v>
      </c>
      <c r="W82" t="str">
        <f xml:space="preserve"> Sng2String(Table1[[#This Row],[a ptrace]])</f>
        <v>3FE66600</v>
      </c>
      <c r="X82">
        <f>MOD(Table1[[#This Row],[t inv sp mx idx]]+2, 2^4)</f>
        <v>2</v>
      </c>
      <c r="Y82">
        <v>0</v>
      </c>
      <c r="Z82">
        <f>Table1[[#This Row],[t bias]]</f>
        <v>0.8</v>
      </c>
      <c r="AA82">
        <f>Table1[[#This Row],[t gain]]</f>
        <v>1.8</v>
      </c>
      <c r="AB82">
        <f>Table1[[#This Row],[c kinetic trace]]* String2Single(CONCATENATE(LEFT(Single2String(Table1[[#This Row],[c gain]]), 6), "00")) + String2Single(CONCATENATE(LEFT(Single2String(Table1[[#This Row],[c bias]]), 6), "00"))</f>
        <v>0.79998779296875</v>
      </c>
      <c r="AC82" t="str">
        <f xml:space="preserve"> Sng2String(Table1[[#This Row],[c ptrace]])</f>
        <v>3F4CCC00</v>
      </c>
      <c r="AD82">
        <f>MOD(Table1[[#This Row],[t inv sp mx idx]]+3, 2^4)</f>
        <v>3</v>
      </c>
      <c r="AE82" s="4" t="str">
        <f>DEC2HEX(Table1[[#This Row],[row]], 3)</f>
        <v>006</v>
      </c>
      <c r="AF82" s="2" t="str">
        <f>DEC2HEX(Table1[[#This Row],[col]], 3)</f>
        <v>036</v>
      </c>
      <c r="AG82" s="2" t="str">
        <f>DEC2HEX(Table1[[#This Row],[grn fsp idx]], 2)</f>
        <v>A1</v>
      </c>
      <c r="AH82" s="2" t="str">
        <f>DEC2HEX(Table1[[#This Row],[red fsp idx]], 2)</f>
        <v>5E</v>
      </c>
      <c r="AI82" s="2" t="str">
        <f xml:space="preserve"> LEFT(Sng2String(Table1[[#This Row],[t bias]]), 6)</f>
        <v>3F4CCC</v>
      </c>
      <c r="AJ82" s="2" t="str">
        <f xml:space="preserve"> LEFT(Sng2String(Table1[[#This Row],[t gain]]), 6)</f>
        <v>3FE666</v>
      </c>
      <c r="AK82" s="2" t="str">
        <f>DEC2HEX(Table1[[#This Row],[t inv sp mx idx]], 1)</f>
        <v>0</v>
      </c>
      <c r="AL82" s="2" t="str">
        <f xml:space="preserve"> LEFT(Sng2String(Table1[[#This Row],[g bias]]), 6)</f>
        <v>3FA666</v>
      </c>
      <c r="AM82" s="2" t="str">
        <f xml:space="preserve"> LEFT(Sng2String(Table1[[#This Row],[g gain]]), 6)</f>
        <v>3F6666</v>
      </c>
      <c r="AN82" s="2" t="str">
        <f>DEC2HEX(Table1[[#This Row],[g inv sp mx idx]], 1)</f>
        <v>1</v>
      </c>
      <c r="AO82" s="2" t="str">
        <f xml:space="preserve"> LEFT(Sng2String(Table1[[#This Row],[a bias]]), 6)</f>
        <v>3FE666</v>
      </c>
      <c r="AP82" s="2" t="str">
        <f xml:space="preserve"> LEFT(Sng2String(Table1[[#This Row],[a gain]]), 6)</f>
        <v>3FA666</v>
      </c>
      <c r="AQ82" s="2" t="str">
        <f>DEC2HEX(Table1[[#This Row],[a inv sp mx idx]], 1)</f>
        <v>2</v>
      </c>
      <c r="AR82" s="2" t="str">
        <f xml:space="preserve"> LEFT(Sng2String(Table1[[#This Row],[c bias]]), 6)</f>
        <v>3F4CCC</v>
      </c>
      <c r="AS82" s="2" t="str">
        <f xml:space="preserve"> LEFT(Sng2String(Table1[[#This Row],[c gain]]), 6)</f>
        <v>3FE666</v>
      </c>
      <c r="AT82" s="2" t="str">
        <f>DEC2HEX(Table1[[#This Row],[c inv sp mx idx]], 1)</f>
        <v>3</v>
      </c>
      <c r="AU82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006036A15E3F4CCC3FE66603FA6663F666613FE6663FA66623F4CCC3FE666302</v>
      </c>
      <c r="AV82" s="2">
        <f>LEN(Table1[[#This Row],[DRAM data]])</f>
        <v>64</v>
      </c>
    </row>
    <row r="83" spans="1:48" x14ac:dyDescent="0.25">
      <c r="A83">
        <v>81</v>
      </c>
      <c r="B83">
        <f>Table1[[#This Row],[ZMW num]]+1</f>
        <v>82</v>
      </c>
      <c r="C83">
        <v>6</v>
      </c>
      <c r="D83">
        <f t="shared" si="1"/>
        <v>57</v>
      </c>
      <c r="E83">
        <v>163</v>
      </c>
      <c r="F83">
        <v>92</v>
      </c>
      <c r="G83">
        <v>0</v>
      </c>
      <c r="H83">
        <f>Table1[[#This Row],[ZMW num]]*0.01</f>
        <v>0.81</v>
      </c>
      <c r="I83">
        <f>1+Table1[[#This Row],[t bias]]</f>
        <v>1.81</v>
      </c>
      <c r="J83">
        <f>Table1[[#This Row],[t kinetic trace]]* String2Single(CONCATENATE(LEFT(Single2String(Table1[[#This Row],[t gain]]), 6), "00")) + String2Single(CONCATENATE(LEFT(Single2String(Table1[[#This Row],[t bias]]), 6), "00"))</f>
        <v>0.80999755859375</v>
      </c>
      <c r="K83" t="str">
        <f>Sng2String(Table1[[#This Row],[t ptrace]])</f>
        <v>3F4F5C00</v>
      </c>
      <c r="L83">
        <f>MOD(Table1[[#This Row],[ZMW num]], 2^4)</f>
        <v>1</v>
      </c>
      <c r="M83">
        <v>0</v>
      </c>
      <c r="N83">
        <f>Table1[[#This Row],[t bias]]+0.5</f>
        <v>1.31</v>
      </c>
      <c r="O83">
        <f>Table1[[#This Row],[t gain]]/2</f>
        <v>0.90500000000000003</v>
      </c>
      <c r="P83">
        <f>Table1[[#This Row],[g kinetic trace]] * String2Single(CONCATENATE(LEFT(Single2String(Table1[[#This Row],[g gain]]), 6), "00")) + String2Single(CONCATENATE(LEFT(Single2String(Table1[[#This Row],[g bias]]), 6), "00"))</f>
        <v>1.30999755859375</v>
      </c>
      <c r="Q83" t="str">
        <f xml:space="preserve"> Sng2String(Table1[[#This Row],[g ptrace]])</f>
        <v>3FA7AE00</v>
      </c>
      <c r="R83">
        <f>MOD(Table1[[#This Row],[t inv sp mx idx]]+1, 2^4)</f>
        <v>2</v>
      </c>
      <c r="S83">
        <v>0</v>
      </c>
      <c r="T83">
        <f>Table1[[#This Row],[t bias]]+1</f>
        <v>1.81</v>
      </c>
      <c r="U83">
        <f>Table1[[#This Row],[t gain]]-0.5</f>
        <v>1.31</v>
      </c>
      <c r="V83">
        <f>Table1[[#This Row],[a kinetic trace]] * String2Single(CONCATENATE(LEFT(Single2String(Table1[[#This Row],[a gain]]), 6), "00")) + String2Single(CONCATENATE(LEFT(Single2String(Table1[[#This Row],[a bias]]), 6), "00"))</f>
        <v>1.80999755859375</v>
      </c>
      <c r="W83" t="str">
        <f xml:space="preserve"> Sng2String(Table1[[#This Row],[a ptrace]])</f>
        <v>3FE7AE00</v>
      </c>
      <c r="X83">
        <f>MOD(Table1[[#This Row],[t inv sp mx idx]]+2, 2^4)</f>
        <v>3</v>
      </c>
      <c r="Y83">
        <v>0</v>
      </c>
      <c r="Z83">
        <f>Table1[[#This Row],[t bias]]</f>
        <v>0.81</v>
      </c>
      <c r="AA83">
        <f>Table1[[#This Row],[t gain]]</f>
        <v>1.81</v>
      </c>
      <c r="AB83">
        <f>Table1[[#This Row],[c kinetic trace]]* String2Single(CONCATENATE(LEFT(Single2String(Table1[[#This Row],[c gain]]), 6), "00")) + String2Single(CONCATENATE(LEFT(Single2String(Table1[[#This Row],[c bias]]), 6), "00"))</f>
        <v>0.80999755859375</v>
      </c>
      <c r="AC83" t="str">
        <f xml:space="preserve"> Sng2String(Table1[[#This Row],[c ptrace]])</f>
        <v>3F4F5C00</v>
      </c>
      <c r="AD83">
        <f>MOD(Table1[[#This Row],[t inv sp mx idx]]+3, 2^4)</f>
        <v>4</v>
      </c>
      <c r="AE83" s="4" t="str">
        <f>DEC2HEX(Table1[[#This Row],[row]], 3)</f>
        <v>006</v>
      </c>
      <c r="AF83" s="2" t="str">
        <f>DEC2HEX(Table1[[#This Row],[col]], 3)</f>
        <v>039</v>
      </c>
      <c r="AG83" s="2" t="str">
        <f>DEC2HEX(Table1[[#This Row],[grn fsp idx]], 2)</f>
        <v>A3</v>
      </c>
      <c r="AH83" s="2" t="str">
        <f>DEC2HEX(Table1[[#This Row],[red fsp idx]], 2)</f>
        <v>5C</v>
      </c>
      <c r="AI83" s="2" t="str">
        <f xml:space="preserve"> LEFT(Sng2String(Table1[[#This Row],[t bias]]), 6)</f>
        <v>3F4F5C</v>
      </c>
      <c r="AJ83" s="2" t="str">
        <f xml:space="preserve"> LEFT(Sng2String(Table1[[#This Row],[t gain]]), 6)</f>
        <v>3FE7AE</v>
      </c>
      <c r="AK83" s="2" t="str">
        <f>DEC2HEX(Table1[[#This Row],[t inv sp mx idx]], 1)</f>
        <v>1</v>
      </c>
      <c r="AL83" s="2" t="str">
        <f xml:space="preserve"> LEFT(Sng2String(Table1[[#This Row],[g bias]]), 6)</f>
        <v>3FA7AE</v>
      </c>
      <c r="AM83" s="2" t="str">
        <f xml:space="preserve"> LEFT(Sng2String(Table1[[#This Row],[g gain]]), 6)</f>
        <v>3F67AE</v>
      </c>
      <c r="AN83" s="2" t="str">
        <f>DEC2HEX(Table1[[#This Row],[g inv sp mx idx]], 1)</f>
        <v>2</v>
      </c>
      <c r="AO83" s="2" t="str">
        <f xml:space="preserve"> LEFT(Sng2String(Table1[[#This Row],[a bias]]), 6)</f>
        <v>3FE7AE</v>
      </c>
      <c r="AP83" s="2" t="str">
        <f xml:space="preserve"> LEFT(Sng2String(Table1[[#This Row],[a gain]]), 6)</f>
        <v>3FA7AE</v>
      </c>
      <c r="AQ83" s="2" t="str">
        <f>DEC2HEX(Table1[[#This Row],[a inv sp mx idx]], 1)</f>
        <v>3</v>
      </c>
      <c r="AR83" s="2" t="str">
        <f xml:space="preserve"> LEFT(Sng2String(Table1[[#This Row],[c bias]]), 6)</f>
        <v>3F4F5C</v>
      </c>
      <c r="AS83" s="2" t="str">
        <f xml:space="preserve"> LEFT(Sng2String(Table1[[#This Row],[c gain]]), 6)</f>
        <v>3FE7AE</v>
      </c>
      <c r="AT83" s="2" t="str">
        <f>DEC2HEX(Table1[[#This Row],[c inv sp mx idx]], 1)</f>
        <v>4</v>
      </c>
      <c r="AU83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006039A35C3F4F5C3FE7AE13FA7AE3F67AE23FE7AE3FA7AE33F4F5C3FE7AE402</v>
      </c>
      <c r="AV83" s="2">
        <f>LEN(Table1[[#This Row],[DRAM data]])</f>
        <v>64</v>
      </c>
    </row>
    <row r="84" spans="1:48" x14ac:dyDescent="0.25">
      <c r="A84">
        <v>82</v>
      </c>
      <c r="B84">
        <f>Table1[[#This Row],[ZMW num]]+1</f>
        <v>83</v>
      </c>
      <c r="C84">
        <v>6</v>
      </c>
      <c r="D84">
        <f t="shared" si="1"/>
        <v>60</v>
      </c>
      <c r="E84">
        <v>165</v>
      </c>
      <c r="F84">
        <v>90</v>
      </c>
      <c r="G84">
        <v>0</v>
      </c>
      <c r="H84">
        <f>Table1[[#This Row],[ZMW num]]*0.01</f>
        <v>0.82000000000000006</v>
      </c>
      <c r="I84">
        <f>1+Table1[[#This Row],[t bias]]</f>
        <v>1.82</v>
      </c>
      <c r="J84">
        <f>Table1[[#This Row],[t kinetic trace]]* String2Single(CONCATENATE(LEFT(Single2String(Table1[[#This Row],[t gain]]), 6), "00")) + String2Single(CONCATENATE(LEFT(Single2String(Table1[[#This Row],[t bias]]), 6), "00"))</f>
        <v>0.8199920654296875</v>
      </c>
      <c r="K84" t="str">
        <f>Sng2String(Table1[[#This Row],[t ptrace]])</f>
        <v>3F51EB00</v>
      </c>
      <c r="L84">
        <f>MOD(Table1[[#This Row],[ZMW num]], 2^4)</f>
        <v>2</v>
      </c>
      <c r="M84">
        <v>0</v>
      </c>
      <c r="N84">
        <f>Table1[[#This Row],[t bias]]+0.5</f>
        <v>1.32</v>
      </c>
      <c r="O84">
        <f>Table1[[#This Row],[t gain]]/2</f>
        <v>0.91</v>
      </c>
      <c r="P84">
        <f>Table1[[#This Row],[g kinetic trace]] * String2Single(CONCATENATE(LEFT(Single2String(Table1[[#This Row],[g gain]]), 6), "00")) + String2Single(CONCATENATE(LEFT(Single2String(Table1[[#This Row],[g bias]]), 6), "00"))</f>
        <v>1.319976806640625</v>
      </c>
      <c r="Q84" t="str">
        <f xml:space="preserve"> Sng2String(Table1[[#This Row],[g ptrace]])</f>
        <v>3FA8F500</v>
      </c>
      <c r="R84">
        <f>MOD(Table1[[#This Row],[t inv sp mx idx]]+1, 2^4)</f>
        <v>3</v>
      </c>
      <c r="S84">
        <v>0</v>
      </c>
      <c r="T84">
        <f>Table1[[#This Row],[t bias]]+1</f>
        <v>1.82</v>
      </c>
      <c r="U84">
        <f>Table1[[#This Row],[t gain]]-0.5</f>
        <v>1.32</v>
      </c>
      <c r="V84">
        <f>Table1[[#This Row],[a kinetic trace]] * String2Single(CONCATENATE(LEFT(Single2String(Table1[[#This Row],[a gain]]), 6), "00")) + String2Single(CONCATENATE(LEFT(Single2String(Table1[[#This Row],[a bias]]), 6), "00"))</f>
        <v>1.819976806640625</v>
      </c>
      <c r="W84" t="str">
        <f xml:space="preserve"> Sng2String(Table1[[#This Row],[a ptrace]])</f>
        <v>3FE8F500</v>
      </c>
      <c r="X84">
        <f>MOD(Table1[[#This Row],[t inv sp mx idx]]+2, 2^4)</f>
        <v>4</v>
      </c>
      <c r="Y84">
        <v>0</v>
      </c>
      <c r="Z84">
        <f>Table1[[#This Row],[t bias]]</f>
        <v>0.82000000000000006</v>
      </c>
      <c r="AA84">
        <f>Table1[[#This Row],[t gain]]</f>
        <v>1.82</v>
      </c>
      <c r="AB84">
        <f>Table1[[#This Row],[c kinetic trace]]* String2Single(CONCATENATE(LEFT(Single2String(Table1[[#This Row],[c gain]]), 6), "00")) + String2Single(CONCATENATE(LEFT(Single2String(Table1[[#This Row],[c bias]]), 6), "00"))</f>
        <v>0.8199920654296875</v>
      </c>
      <c r="AC84" t="str">
        <f xml:space="preserve"> Sng2String(Table1[[#This Row],[c ptrace]])</f>
        <v>3F51EB00</v>
      </c>
      <c r="AD84">
        <f>MOD(Table1[[#This Row],[t inv sp mx idx]]+3, 2^4)</f>
        <v>5</v>
      </c>
      <c r="AE84" s="4" t="str">
        <f>DEC2HEX(Table1[[#This Row],[row]], 3)</f>
        <v>006</v>
      </c>
      <c r="AF84" s="2" t="str">
        <f>DEC2HEX(Table1[[#This Row],[col]], 3)</f>
        <v>03C</v>
      </c>
      <c r="AG84" s="2" t="str">
        <f>DEC2HEX(Table1[[#This Row],[grn fsp idx]], 2)</f>
        <v>A5</v>
      </c>
      <c r="AH84" s="2" t="str">
        <f>DEC2HEX(Table1[[#This Row],[red fsp idx]], 2)</f>
        <v>5A</v>
      </c>
      <c r="AI84" s="2" t="str">
        <f xml:space="preserve"> LEFT(Sng2String(Table1[[#This Row],[t bias]]), 6)</f>
        <v>3F51EB</v>
      </c>
      <c r="AJ84" s="2" t="str">
        <f xml:space="preserve"> LEFT(Sng2String(Table1[[#This Row],[t gain]]), 6)</f>
        <v>3FE8F5</v>
      </c>
      <c r="AK84" s="2" t="str">
        <f>DEC2HEX(Table1[[#This Row],[t inv sp mx idx]], 1)</f>
        <v>2</v>
      </c>
      <c r="AL84" s="2" t="str">
        <f xml:space="preserve"> LEFT(Sng2String(Table1[[#This Row],[g bias]]), 6)</f>
        <v>3FA8F5</v>
      </c>
      <c r="AM84" s="2" t="str">
        <f xml:space="preserve"> LEFT(Sng2String(Table1[[#This Row],[g gain]]), 6)</f>
        <v>3F68F5</v>
      </c>
      <c r="AN84" s="2" t="str">
        <f>DEC2HEX(Table1[[#This Row],[g inv sp mx idx]], 1)</f>
        <v>3</v>
      </c>
      <c r="AO84" s="2" t="str">
        <f xml:space="preserve"> LEFT(Sng2String(Table1[[#This Row],[a bias]]), 6)</f>
        <v>3FE8F5</v>
      </c>
      <c r="AP84" s="2" t="str">
        <f xml:space="preserve"> LEFT(Sng2String(Table1[[#This Row],[a gain]]), 6)</f>
        <v>3FA8F5</v>
      </c>
      <c r="AQ84" s="2" t="str">
        <f>DEC2HEX(Table1[[#This Row],[a inv sp mx idx]], 1)</f>
        <v>4</v>
      </c>
      <c r="AR84" s="2" t="str">
        <f xml:space="preserve"> LEFT(Sng2String(Table1[[#This Row],[c bias]]), 6)</f>
        <v>3F51EB</v>
      </c>
      <c r="AS84" s="2" t="str">
        <f xml:space="preserve"> LEFT(Sng2String(Table1[[#This Row],[c gain]]), 6)</f>
        <v>3FE8F5</v>
      </c>
      <c r="AT84" s="2" t="str">
        <f>DEC2HEX(Table1[[#This Row],[c inv sp mx idx]], 1)</f>
        <v>5</v>
      </c>
      <c r="AU84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00603CA55A3F51EB3FE8F523FA8F53F68F533FE8F53FA8F543F51EB3FE8F5502</v>
      </c>
      <c r="AV84" s="2">
        <f>LEN(Table1[[#This Row],[DRAM data]])</f>
        <v>64</v>
      </c>
    </row>
    <row r="85" spans="1:48" x14ac:dyDescent="0.25">
      <c r="A85">
        <v>83</v>
      </c>
      <c r="B85">
        <f>Table1[[#This Row],[ZMW num]]+1</f>
        <v>84</v>
      </c>
      <c r="C85">
        <v>6</v>
      </c>
      <c r="D85">
        <f t="shared" si="1"/>
        <v>64</v>
      </c>
      <c r="E85">
        <v>167</v>
      </c>
      <c r="F85">
        <v>88</v>
      </c>
      <c r="G85">
        <v>0</v>
      </c>
      <c r="H85">
        <f>Table1[[#This Row],[ZMW num]]*0.01</f>
        <v>0.83000000000000007</v>
      </c>
      <c r="I85">
        <f>1+Table1[[#This Row],[t bias]]</f>
        <v>1.83</v>
      </c>
      <c r="J85">
        <f>Table1[[#This Row],[t kinetic trace]]* String2Single(CONCATENATE(LEFT(Single2String(Table1[[#This Row],[t gain]]), 6), "00")) + String2Single(CONCATENATE(LEFT(Single2String(Table1[[#This Row],[t bias]]), 6), "00"))</f>
        <v>0.829986572265625</v>
      </c>
      <c r="K85" t="str">
        <f>Sng2String(Table1[[#This Row],[t ptrace]])</f>
        <v>3F547A00</v>
      </c>
      <c r="L85">
        <f>MOD(Table1[[#This Row],[ZMW num]], 2^4)</f>
        <v>3</v>
      </c>
      <c r="M85">
        <v>0</v>
      </c>
      <c r="N85">
        <f>Table1[[#This Row],[t bias]]+0.5</f>
        <v>1.33</v>
      </c>
      <c r="O85">
        <f>Table1[[#This Row],[t gain]]/2</f>
        <v>0.91500000000000004</v>
      </c>
      <c r="P85">
        <f>Table1[[#This Row],[g kinetic trace]] * String2Single(CONCATENATE(LEFT(Single2String(Table1[[#This Row],[g gain]]), 6), "00")) + String2Single(CONCATENATE(LEFT(Single2String(Table1[[#This Row],[g bias]]), 6), "00"))</f>
        <v>1.329986572265625</v>
      </c>
      <c r="Q85" t="str">
        <f xml:space="preserve"> Sng2String(Table1[[#This Row],[g ptrace]])</f>
        <v>3FAA3D00</v>
      </c>
      <c r="R85">
        <f>MOD(Table1[[#This Row],[t inv sp mx idx]]+1, 2^4)</f>
        <v>4</v>
      </c>
      <c r="S85">
        <v>0</v>
      </c>
      <c r="T85">
        <f>Table1[[#This Row],[t bias]]+1</f>
        <v>1.83</v>
      </c>
      <c r="U85">
        <f>Table1[[#This Row],[t gain]]-0.5</f>
        <v>1.33</v>
      </c>
      <c r="V85">
        <f>Table1[[#This Row],[a kinetic trace]] * String2Single(CONCATENATE(LEFT(Single2String(Table1[[#This Row],[a gain]]), 6), "00")) + String2Single(CONCATENATE(LEFT(Single2String(Table1[[#This Row],[a bias]]), 6), "00"))</f>
        <v>1.829986572265625</v>
      </c>
      <c r="W85" t="str">
        <f xml:space="preserve"> Sng2String(Table1[[#This Row],[a ptrace]])</f>
        <v>3FEA3D00</v>
      </c>
      <c r="X85">
        <f>MOD(Table1[[#This Row],[t inv sp mx idx]]+2, 2^4)</f>
        <v>5</v>
      </c>
      <c r="Y85">
        <v>0</v>
      </c>
      <c r="Z85">
        <f>Table1[[#This Row],[t bias]]</f>
        <v>0.83000000000000007</v>
      </c>
      <c r="AA85">
        <f>Table1[[#This Row],[t gain]]</f>
        <v>1.83</v>
      </c>
      <c r="AB85">
        <f>Table1[[#This Row],[c kinetic trace]]* String2Single(CONCATENATE(LEFT(Single2String(Table1[[#This Row],[c gain]]), 6), "00")) + String2Single(CONCATENATE(LEFT(Single2String(Table1[[#This Row],[c bias]]), 6), "00"))</f>
        <v>0.829986572265625</v>
      </c>
      <c r="AC85" t="str">
        <f xml:space="preserve"> Sng2String(Table1[[#This Row],[c ptrace]])</f>
        <v>3F547A00</v>
      </c>
      <c r="AD85">
        <f>MOD(Table1[[#This Row],[t inv sp mx idx]]+3, 2^4)</f>
        <v>6</v>
      </c>
      <c r="AE85" s="4" t="str">
        <f>DEC2HEX(Table1[[#This Row],[row]], 3)</f>
        <v>006</v>
      </c>
      <c r="AF85" s="2" t="str">
        <f>DEC2HEX(Table1[[#This Row],[col]], 3)</f>
        <v>040</v>
      </c>
      <c r="AG85" s="2" t="str">
        <f>DEC2HEX(Table1[[#This Row],[grn fsp idx]], 2)</f>
        <v>A7</v>
      </c>
      <c r="AH85" s="2" t="str">
        <f>DEC2HEX(Table1[[#This Row],[red fsp idx]], 2)</f>
        <v>58</v>
      </c>
      <c r="AI85" s="2" t="str">
        <f xml:space="preserve"> LEFT(Sng2String(Table1[[#This Row],[t bias]]), 6)</f>
        <v>3F547A</v>
      </c>
      <c r="AJ85" s="2" t="str">
        <f xml:space="preserve"> LEFT(Sng2String(Table1[[#This Row],[t gain]]), 6)</f>
        <v>3FEA3D</v>
      </c>
      <c r="AK85" s="2" t="str">
        <f>DEC2HEX(Table1[[#This Row],[t inv sp mx idx]], 1)</f>
        <v>3</v>
      </c>
      <c r="AL85" s="2" t="str">
        <f xml:space="preserve"> LEFT(Sng2String(Table1[[#This Row],[g bias]]), 6)</f>
        <v>3FAA3D</v>
      </c>
      <c r="AM85" s="2" t="str">
        <f xml:space="preserve"> LEFT(Sng2String(Table1[[#This Row],[g gain]]), 6)</f>
        <v>3F6A3D</v>
      </c>
      <c r="AN85" s="2" t="str">
        <f>DEC2HEX(Table1[[#This Row],[g inv sp mx idx]], 1)</f>
        <v>4</v>
      </c>
      <c r="AO85" s="2" t="str">
        <f xml:space="preserve"> LEFT(Sng2String(Table1[[#This Row],[a bias]]), 6)</f>
        <v>3FEA3D</v>
      </c>
      <c r="AP85" s="2" t="str">
        <f xml:space="preserve"> LEFT(Sng2String(Table1[[#This Row],[a gain]]), 6)</f>
        <v>3FAA3D</v>
      </c>
      <c r="AQ85" s="2" t="str">
        <f>DEC2HEX(Table1[[#This Row],[a inv sp mx idx]], 1)</f>
        <v>5</v>
      </c>
      <c r="AR85" s="2" t="str">
        <f xml:space="preserve"> LEFT(Sng2String(Table1[[#This Row],[c bias]]), 6)</f>
        <v>3F547A</v>
      </c>
      <c r="AS85" s="2" t="str">
        <f xml:space="preserve"> LEFT(Sng2String(Table1[[#This Row],[c gain]]), 6)</f>
        <v>3FEA3D</v>
      </c>
      <c r="AT85" s="2" t="str">
        <f>DEC2HEX(Table1[[#This Row],[c inv sp mx idx]], 1)</f>
        <v>6</v>
      </c>
      <c r="AU85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006040A7583F547A3FEA3D33FAA3D3F6A3D43FEA3D3FAA3D53F547A3FEA3D602</v>
      </c>
      <c r="AV85" s="2">
        <f>LEN(Table1[[#This Row],[DRAM data]])</f>
        <v>64</v>
      </c>
    </row>
    <row r="86" spans="1:48" x14ac:dyDescent="0.25">
      <c r="A86">
        <v>84</v>
      </c>
      <c r="B86">
        <f>Table1[[#This Row],[ZMW num]]+1</f>
        <v>85</v>
      </c>
      <c r="C86">
        <v>6</v>
      </c>
      <c r="D86">
        <f t="shared" si="1"/>
        <v>66</v>
      </c>
      <c r="E86">
        <v>169</v>
      </c>
      <c r="F86">
        <v>86</v>
      </c>
      <c r="G86">
        <v>0</v>
      </c>
      <c r="H86">
        <f>Table1[[#This Row],[ZMW num]]*0.01</f>
        <v>0.84</v>
      </c>
      <c r="I86">
        <f>1+Table1[[#This Row],[t bias]]</f>
        <v>1.8399999999999999</v>
      </c>
      <c r="J86">
        <f>Table1[[#This Row],[t kinetic trace]]* String2Single(CONCATENATE(LEFT(Single2String(Table1[[#This Row],[t gain]]), 6), "00")) + String2Single(CONCATENATE(LEFT(Single2String(Table1[[#This Row],[t bias]]), 6), "00"))</f>
        <v>0.839996337890625</v>
      </c>
      <c r="K86" t="str">
        <f>Sng2String(Table1[[#This Row],[t ptrace]])</f>
        <v>3F570A00</v>
      </c>
      <c r="L86">
        <f>MOD(Table1[[#This Row],[ZMW num]], 2^4)</f>
        <v>4</v>
      </c>
      <c r="M86">
        <v>0</v>
      </c>
      <c r="N86">
        <f>Table1[[#This Row],[t bias]]+0.5</f>
        <v>1.3399999999999999</v>
      </c>
      <c r="O86">
        <f>Table1[[#This Row],[t gain]]/2</f>
        <v>0.91999999999999993</v>
      </c>
      <c r="P86">
        <f>Table1[[#This Row],[g kinetic trace]] * String2Single(CONCATENATE(LEFT(Single2String(Table1[[#This Row],[g gain]]), 6), "00")) + String2Single(CONCATENATE(LEFT(Single2String(Table1[[#This Row],[g bias]]), 6), "00"))</f>
        <v>1.339996337890625</v>
      </c>
      <c r="Q86" t="str">
        <f xml:space="preserve"> Sng2String(Table1[[#This Row],[g ptrace]])</f>
        <v>3FAB8500</v>
      </c>
      <c r="R86">
        <f>MOD(Table1[[#This Row],[t inv sp mx idx]]+1, 2^4)</f>
        <v>5</v>
      </c>
      <c r="S86">
        <v>0</v>
      </c>
      <c r="T86">
        <f>Table1[[#This Row],[t bias]]+1</f>
        <v>1.8399999999999999</v>
      </c>
      <c r="U86">
        <f>Table1[[#This Row],[t gain]]-0.5</f>
        <v>1.3399999999999999</v>
      </c>
      <c r="V86">
        <f>Table1[[#This Row],[a kinetic trace]] * String2Single(CONCATENATE(LEFT(Single2String(Table1[[#This Row],[a gain]]), 6), "00")) + String2Single(CONCATENATE(LEFT(Single2String(Table1[[#This Row],[a bias]]), 6), "00"))</f>
        <v>1.839996337890625</v>
      </c>
      <c r="W86" t="str">
        <f xml:space="preserve"> Sng2String(Table1[[#This Row],[a ptrace]])</f>
        <v>3FEB8500</v>
      </c>
      <c r="X86">
        <f>MOD(Table1[[#This Row],[t inv sp mx idx]]+2, 2^4)</f>
        <v>6</v>
      </c>
      <c r="Y86">
        <v>0</v>
      </c>
      <c r="Z86">
        <f>Table1[[#This Row],[t bias]]</f>
        <v>0.84</v>
      </c>
      <c r="AA86">
        <f>Table1[[#This Row],[t gain]]</f>
        <v>1.8399999999999999</v>
      </c>
      <c r="AB86">
        <f>Table1[[#This Row],[c kinetic trace]]* String2Single(CONCATENATE(LEFT(Single2String(Table1[[#This Row],[c gain]]), 6), "00")) + String2Single(CONCATENATE(LEFT(Single2String(Table1[[#This Row],[c bias]]), 6), "00"))</f>
        <v>0.839996337890625</v>
      </c>
      <c r="AC86" t="str">
        <f xml:space="preserve"> Sng2String(Table1[[#This Row],[c ptrace]])</f>
        <v>3F570A00</v>
      </c>
      <c r="AD86">
        <f>MOD(Table1[[#This Row],[t inv sp mx idx]]+3, 2^4)</f>
        <v>7</v>
      </c>
      <c r="AE86" s="4" t="str">
        <f>DEC2HEX(Table1[[#This Row],[row]], 3)</f>
        <v>006</v>
      </c>
      <c r="AF86" s="2" t="str">
        <f>DEC2HEX(Table1[[#This Row],[col]], 3)</f>
        <v>042</v>
      </c>
      <c r="AG86" s="2" t="str">
        <f>DEC2HEX(Table1[[#This Row],[grn fsp idx]], 2)</f>
        <v>A9</v>
      </c>
      <c r="AH86" s="2" t="str">
        <f>DEC2HEX(Table1[[#This Row],[red fsp idx]], 2)</f>
        <v>56</v>
      </c>
      <c r="AI86" s="2" t="str">
        <f xml:space="preserve"> LEFT(Sng2String(Table1[[#This Row],[t bias]]), 6)</f>
        <v>3F570A</v>
      </c>
      <c r="AJ86" s="2" t="str">
        <f xml:space="preserve"> LEFT(Sng2String(Table1[[#This Row],[t gain]]), 6)</f>
        <v>3FEB85</v>
      </c>
      <c r="AK86" s="2" t="str">
        <f>DEC2HEX(Table1[[#This Row],[t inv sp mx idx]], 1)</f>
        <v>4</v>
      </c>
      <c r="AL86" s="2" t="str">
        <f xml:space="preserve"> LEFT(Sng2String(Table1[[#This Row],[g bias]]), 6)</f>
        <v>3FAB85</v>
      </c>
      <c r="AM86" s="2" t="str">
        <f xml:space="preserve"> LEFT(Sng2String(Table1[[#This Row],[g gain]]), 6)</f>
        <v>3F6B85</v>
      </c>
      <c r="AN86" s="2" t="str">
        <f>DEC2HEX(Table1[[#This Row],[g inv sp mx idx]], 1)</f>
        <v>5</v>
      </c>
      <c r="AO86" s="2" t="str">
        <f xml:space="preserve"> LEFT(Sng2String(Table1[[#This Row],[a bias]]), 6)</f>
        <v>3FEB85</v>
      </c>
      <c r="AP86" s="2" t="str">
        <f xml:space="preserve"> LEFT(Sng2String(Table1[[#This Row],[a gain]]), 6)</f>
        <v>3FAB85</v>
      </c>
      <c r="AQ86" s="2" t="str">
        <f>DEC2HEX(Table1[[#This Row],[a inv sp mx idx]], 1)</f>
        <v>6</v>
      </c>
      <c r="AR86" s="2" t="str">
        <f xml:space="preserve"> LEFT(Sng2String(Table1[[#This Row],[c bias]]), 6)</f>
        <v>3F570A</v>
      </c>
      <c r="AS86" s="2" t="str">
        <f xml:space="preserve"> LEFT(Sng2String(Table1[[#This Row],[c gain]]), 6)</f>
        <v>3FEB85</v>
      </c>
      <c r="AT86" s="2" t="str">
        <f>DEC2HEX(Table1[[#This Row],[c inv sp mx idx]], 1)</f>
        <v>7</v>
      </c>
      <c r="AU86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006042A9563F570A3FEB8543FAB853F6B8553FEB853FAB8563F570A3FEB85702</v>
      </c>
      <c r="AV86" s="2">
        <f>LEN(Table1[[#This Row],[DRAM data]])</f>
        <v>64</v>
      </c>
    </row>
    <row r="87" spans="1:48" x14ac:dyDescent="0.25">
      <c r="A87">
        <v>85</v>
      </c>
      <c r="B87">
        <f>Table1[[#This Row],[ZMW num]]+1</f>
        <v>86</v>
      </c>
      <c r="C87">
        <v>6</v>
      </c>
      <c r="D87">
        <f t="shared" si="1"/>
        <v>69</v>
      </c>
      <c r="E87">
        <v>171</v>
      </c>
      <c r="F87">
        <v>84</v>
      </c>
      <c r="G87">
        <v>0</v>
      </c>
      <c r="H87">
        <f>Table1[[#This Row],[ZMW num]]*0.01</f>
        <v>0.85</v>
      </c>
      <c r="I87">
        <f>1+Table1[[#This Row],[t bias]]</f>
        <v>1.85</v>
      </c>
      <c r="J87">
        <f>Table1[[#This Row],[t kinetic trace]]* String2Single(CONCATENATE(LEFT(Single2String(Table1[[#This Row],[t gain]]), 6), "00")) + String2Single(CONCATENATE(LEFT(Single2String(Table1[[#This Row],[t bias]]), 6), "00"))</f>
        <v>0.8499908447265625</v>
      </c>
      <c r="K87" t="str">
        <f>Sng2String(Table1[[#This Row],[t ptrace]])</f>
        <v>3F599900</v>
      </c>
      <c r="L87">
        <f>MOD(Table1[[#This Row],[ZMW num]], 2^4)</f>
        <v>5</v>
      </c>
      <c r="M87">
        <v>0</v>
      </c>
      <c r="N87">
        <f>Table1[[#This Row],[t bias]]+0.5</f>
        <v>1.35</v>
      </c>
      <c r="O87">
        <f>Table1[[#This Row],[t gain]]/2</f>
        <v>0.92500000000000004</v>
      </c>
      <c r="P87">
        <f>Table1[[#This Row],[g kinetic trace]] * String2Single(CONCATENATE(LEFT(Single2String(Table1[[#This Row],[g gain]]), 6), "00")) + String2Single(CONCATENATE(LEFT(Single2String(Table1[[#This Row],[g bias]]), 6), "00"))</f>
        <v>1.3499755859375</v>
      </c>
      <c r="Q87" t="str">
        <f xml:space="preserve"> Sng2String(Table1[[#This Row],[g ptrace]])</f>
        <v>3FACCC00</v>
      </c>
      <c r="R87">
        <f>MOD(Table1[[#This Row],[t inv sp mx idx]]+1, 2^4)</f>
        <v>6</v>
      </c>
      <c r="S87">
        <v>0</v>
      </c>
      <c r="T87">
        <f>Table1[[#This Row],[t bias]]+1</f>
        <v>1.85</v>
      </c>
      <c r="U87">
        <f>Table1[[#This Row],[t gain]]-0.5</f>
        <v>1.35</v>
      </c>
      <c r="V87">
        <f>Table1[[#This Row],[a kinetic trace]] * String2Single(CONCATENATE(LEFT(Single2String(Table1[[#This Row],[a gain]]), 6), "00")) + String2Single(CONCATENATE(LEFT(Single2String(Table1[[#This Row],[a bias]]), 6), "00"))</f>
        <v>1.8499755859375</v>
      </c>
      <c r="W87" t="str">
        <f xml:space="preserve"> Sng2String(Table1[[#This Row],[a ptrace]])</f>
        <v>3FECCC00</v>
      </c>
      <c r="X87">
        <f>MOD(Table1[[#This Row],[t inv sp mx idx]]+2, 2^4)</f>
        <v>7</v>
      </c>
      <c r="Y87">
        <v>0</v>
      </c>
      <c r="Z87">
        <f>Table1[[#This Row],[t bias]]</f>
        <v>0.85</v>
      </c>
      <c r="AA87">
        <f>Table1[[#This Row],[t gain]]</f>
        <v>1.85</v>
      </c>
      <c r="AB87">
        <f>Table1[[#This Row],[c kinetic trace]]* String2Single(CONCATENATE(LEFT(Single2String(Table1[[#This Row],[c gain]]), 6), "00")) + String2Single(CONCATENATE(LEFT(Single2String(Table1[[#This Row],[c bias]]), 6), "00"))</f>
        <v>0.8499908447265625</v>
      </c>
      <c r="AC87" t="str">
        <f xml:space="preserve"> Sng2String(Table1[[#This Row],[c ptrace]])</f>
        <v>3F599900</v>
      </c>
      <c r="AD87">
        <f>MOD(Table1[[#This Row],[t inv sp mx idx]]+3, 2^4)</f>
        <v>8</v>
      </c>
      <c r="AE87" s="4" t="str">
        <f>DEC2HEX(Table1[[#This Row],[row]], 3)</f>
        <v>006</v>
      </c>
      <c r="AF87" s="2" t="str">
        <f>DEC2HEX(Table1[[#This Row],[col]], 3)</f>
        <v>045</v>
      </c>
      <c r="AG87" s="2" t="str">
        <f>DEC2HEX(Table1[[#This Row],[grn fsp idx]], 2)</f>
        <v>AB</v>
      </c>
      <c r="AH87" s="2" t="str">
        <f>DEC2HEX(Table1[[#This Row],[red fsp idx]], 2)</f>
        <v>54</v>
      </c>
      <c r="AI87" s="2" t="str">
        <f xml:space="preserve"> LEFT(Sng2String(Table1[[#This Row],[t bias]]), 6)</f>
        <v>3F5999</v>
      </c>
      <c r="AJ87" s="2" t="str">
        <f xml:space="preserve"> LEFT(Sng2String(Table1[[#This Row],[t gain]]), 6)</f>
        <v>3FECCC</v>
      </c>
      <c r="AK87" s="2" t="str">
        <f>DEC2HEX(Table1[[#This Row],[t inv sp mx idx]], 1)</f>
        <v>5</v>
      </c>
      <c r="AL87" s="2" t="str">
        <f xml:space="preserve"> LEFT(Sng2String(Table1[[#This Row],[g bias]]), 6)</f>
        <v>3FACCC</v>
      </c>
      <c r="AM87" s="2" t="str">
        <f xml:space="preserve"> LEFT(Sng2String(Table1[[#This Row],[g gain]]), 6)</f>
        <v>3F6CCC</v>
      </c>
      <c r="AN87" s="2" t="str">
        <f>DEC2HEX(Table1[[#This Row],[g inv sp mx idx]], 1)</f>
        <v>6</v>
      </c>
      <c r="AO87" s="2" t="str">
        <f xml:space="preserve"> LEFT(Sng2String(Table1[[#This Row],[a bias]]), 6)</f>
        <v>3FECCC</v>
      </c>
      <c r="AP87" s="2" t="str">
        <f xml:space="preserve"> LEFT(Sng2String(Table1[[#This Row],[a gain]]), 6)</f>
        <v>3FACCC</v>
      </c>
      <c r="AQ87" s="2" t="str">
        <f>DEC2HEX(Table1[[#This Row],[a inv sp mx idx]], 1)</f>
        <v>7</v>
      </c>
      <c r="AR87" s="2" t="str">
        <f xml:space="preserve"> LEFT(Sng2String(Table1[[#This Row],[c bias]]), 6)</f>
        <v>3F5999</v>
      </c>
      <c r="AS87" s="2" t="str">
        <f xml:space="preserve"> LEFT(Sng2String(Table1[[#This Row],[c gain]]), 6)</f>
        <v>3FECCC</v>
      </c>
      <c r="AT87" s="2" t="str">
        <f>DEC2HEX(Table1[[#This Row],[c inv sp mx idx]], 1)</f>
        <v>8</v>
      </c>
      <c r="AU87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006045AB543F59993FECCC53FACCC3F6CCC63FECCC3FACCC73F59993FECCC802</v>
      </c>
      <c r="AV87" s="2">
        <f>LEN(Table1[[#This Row],[DRAM data]])</f>
        <v>64</v>
      </c>
    </row>
    <row r="88" spans="1:48" x14ac:dyDescent="0.25">
      <c r="A88">
        <v>86</v>
      </c>
      <c r="B88">
        <f>Table1[[#This Row],[ZMW num]]+1</f>
        <v>87</v>
      </c>
      <c r="C88">
        <v>6</v>
      </c>
      <c r="D88">
        <f t="shared" si="1"/>
        <v>72</v>
      </c>
      <c r="E88">
        <v>173</v>
      </c>
      <c r="F88">
        <v>82</v>
      </c>
      <c r="G88">
        <v>0</v>
      </c>
      <c r="H88">
        <f>Table1[[#This Row],[ZMW num]]*0.01</f>
        <v>0.86</v>
      </c>
      <c r="I88">
        <f>1+Table1[[#This Row],[t bias]]</f>
        <v>1.8599999999999999</v>
      </c>
      <c r="J88">
        <f>Table1[[#This Row],[t kinetic trace]]* String2Single(CONCATENATE(LEFT(Single2String(Table1[[#This Row],[t gain]]), 6), "00")) + String2Single(CONCATENATE(LEFT(Single2String(Table1[[#This Row],[t bias]]), 6), "00"))</f>
        <v>0.8599853515625</v>
      </c>
      <c r="K88" t="str">
        <f>Sng2String(Table1[[#This Row],[t ptrace]])</f>
        <v>3F5C2800</v>
      </c>
      <c r="L88">
        <f>MOD(Table1[[#This Row],[ZMW num]], 2^4)</f>
        <v>6</v>
      </c>
      <c r="M88">
        <v>0</v>
      </c>
      <c r="N88">
        <f>Table1[[#This Row],[t bias]]+0.5</f>
        <v>1.3599999999999999</v>
      </c>
      <c r="O88">
        <f>Table1[[#This Row],[t gain]]/2</f>
        <v>0.92999999999999994</v>
      </c>
      <c r="P88">
        <f>Table1[[#This Row],[g kinetic trace]] * String2Single(CONCATENATE(LEFT(Single2String(Table1[[#This Row],[g gain]]), 6), "00")) + String2Single(CONCATENATE(LEFT(Single2String(Table1[[#This Row],[g bias]]), 6), "00"))</f>
        <v>1.3599853515625</v>
      </c>
      <c r="Q88" t="str">
        <f xml:space="preserve"> Sng2String(Table1[[#This Row],[g ptrace]])</f>
        <v>3FAE1400</v>
      </c>
      <c r="R88">
        <f>MOD(Table1[[#This Row],[t inv sp mx idx]]+1, 2^4)</f>
        <v>7</v>
      </c>
      <c r="S88">
        <v>0</v>
      </c>
      <c r="T88">
        <f>Table1[[#This Row],[t bias]]+1</f>
        <v>1.8599999999999999</v>
      </c>
      <c r="U88">
        <f>Table1[[#This Row],[t gain]]-0.5</f>
        <v>1.3599999999999999</v>
      </c>
      <c r="V88">
        <f>Table1[[#This Row],[a kinetic trace]] * String2Single(CONCATENATE(LEFT(Single2String(Table1[[#This Row],[a gain]]), 6), "00")) + String2Single(CONCATENATE(LEFT(Single2String(Table1[[#This Row],[a bias]]), 6), "00"))</f>
        <v>1.8599853515625</v>
      </c>
      <c r="W88" t="str">
        <f xml:space="preserve"> Sng2String(Table1[[#This Row],[a ptrace]])</f>
        <v>3FEE1400</v>
      </c>
      <c r="X88">
        <f>MOD(Table1[[#This Row],[t inv sp mx idx]]+2, 2^4)</f>
        <v>8</v>
      </c>
      <c r="Y88">
        <v>0</v>
      </c>
      <c r="Z88">
        <f>Table1[[#This Row],[t bias]]</f>
        <v>0.86</v>
      </c>
      <c r="AA88">
        <f>Table1[[#This Row],[t gain]]</f>
        <v>1.8599999999999999</v>
      </c>
      <c r="AB88">
        <f>Table1[[#This Row],[c kinetic trace]]* String2Single(CONCATENATE(LEFT(Single2String(Table1[[#This Row],[c gain]]), 6), "00")) + String2Single(CONCATENATE(LEFT(Single2String(Table1[[#This Row],[c bias]]), 6), "00"))</f>
        <v>0.8599853515625</v>
      </c>
      <c r="AC88" t="str">
        <f xml:space="preserve"> Sng2String(Table1[[#This Row],[c ptrace]])</f>
        <v>3F5C2800</v>
      </c>
      <c r="AD88">
        <f>MOD(Table1[[#This Row],[t inv sp mx idx]]+3, 2^4)</f>
        <v>9</v>
      </c>
      <c r="AE88" s="4" t="str">
        <f>DEC2HEX(Table1[[#This Row],[row]], 3)</f>
        <v>006</v>
      </c>
      <c r="AF88" s="2" t="str">
        <f>DEC2HEX(Table1[[#This Row],[col]], 3)</f>
        <v>048</v>
      </c>
      <c r="AG88" s="2" t="str">
        <f>DEC2HEX(Table1[[#This Row],[grn fsp idx]], 2)</f>
        <v>AD</v>
      </c>
      <c r="AH88" s="2" t="str">
        <f>DEC2HEX(Table1[[#This Row],[red fsp idx]], 2)</f>
        <v>52</v>
      </c>
      <c r="AI88" s="2" t="str">
        <f xml:space="preserve"> LEFT(Sng2String(Table1[[#This Row],[t bias]]), 6)</f>
        <v>3F5C28</v>
      </c>
      <c r="AJ88" s="2" t="str">
        <f xml:space="preserve"> LEFT(Sng2String(Table1[[#This Row],[t gain]]), 6)</f>
        <v>3FEE14</v>
      </c>
      <c r="AK88" s="2" t="str">
        <f>DEC2HEX(Table1[[#This Row],[t inv sp mx idx]], 1)</f>
        <v>6</v>
      </c>
      <c r="AL88" s="2" t="str">
        <f xml:space="preserve"> LEFT(Sng2String(Table1[[#This Row],[g bias]]), 6)</f>
        <v>3FAE14</v>
      </c>
      <c r="AM88" s="2" t="str">
        <f xml:space="preserve"> LEFT(Sng2String(Table1[[#This Row],[g gain]]), 6)</f>
        <v>3F6E14</v>
      </c>
      <c r="AN88" s="2" t="str">
        <f>DEC2HEX(Table1[[#This Row],[g inv sp mx idx]], 1)</f>
        <v>7</v>
      </c>
      <c r="AO88" s="2" t="str">
        <f xml:space="preserve"> LEFT(Sng2String(Table1[[#This Row],[a bias]]), 6)</f>
        <v>3FEE14</v>
      </c>
      <c r="AP88" s="2" t="str">
        <f xml:space="preserve"> LEFT(Sng2String(Table1[[#This Row],[a gain]]), 6)</f>
        <v>3FAE14</v>
      </c>
      <c r="AQ88" s="2" t="str">
        <f>DEC2HEX(Table1[[#This Row],[a inv sp mx idx]], 1)</f>
        <v>8</v>
      </c>
      <c r="AR88" s="2" t="str">
        <f xml:space="preserve"> LEFT(Sng2String(Table1[[#This Row],[c bias]]), 6)</f>
        <v>3F5C28</v>
      </c>
      <c r="AS88" s="2" t="str">
        <f xml:space="preserve"> LEFT(Sng2String(Table1[[#This Row],[c gain]]), 6)</f>
        <v>3FEE14</v>
      </c>
      <c r="AT88" s="2" t="str">
        <f>DEC2HEX(Table1[[#This Row],[c inv sp mx idx]], 1)</f>
        <v>9</v>
      </c>
      <c r="AU88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006048AD523F5C283FEE1463FAE143F6E1473FEE143FAE1483F5C283FEE14902</v>
      </c>
      <c r="AV88" s="2">
        <f>LEN(Table1[[#This Row],[DRAM data]])</f>
        <v>64</v>
      </c>
    </row>
    <row r="89" spans="1:48" x14ac:dyDescent="0.25">
      <c r="A89">
        <v>87</v>
      </c>
      <c r="B89">
        <f>Table1[[#This Row],[ZMW num]]+1</f>
        <v>88</v>
      </c>
      <c r="C89">
        <v>6</v>
      </c>
      <c r="D89">
        <f t="shared" si="1"/>
        <v>75</v>
      </c>
      <c r="E89">
        <v>175</v>
      </c>
      <c r="F89">
        <v>80</v>
      </c>
      <c r="G89">
        <v>0</v>
      </c>
      <c r="H89">
        <f>Table1[[#This Row],[ZMW num]]*0.01</f>
        <v>0.87</v>
      </c>
      <c r="I89">
        <f>1+Table1[[#This Row],[t bias]]</f>
        <v>1.87</v>
      </c>
      <c r="J89">
        <f>Table1[[#This Row],[t kinetic trace]]* String2Single(CONCATENATE(LEFT(Single2String(Table1[[#This Row],[t gain]]), 6), "00")) + String2Single(CONCATENATE(LEFT(Single2String(Table1[[#This Row],[t bias]]), 6), "00"))</f>
        <v>0.8699951171875</v>
      </c>
      <c r="K89" t="str">
        <f>Sng2String(Table1[[#This Row],[t ptrace]])</f>
        <v>3F5EB800</v>
      </c>
      <c r="L89">
        <f>MOD(Table1[[#This Row],[ZMW num]], 2^4)</f>
        <v>7</v>
      </c>
      <c r="M89">
        <v>0</v>
      </c>
      <c r="N89">
        <f>Table1[[#This Row],[t bias]]+0.5</f>
        <v>1.37</v>
      </c>
      <c r="O89">
        <f>Table1[[#This Row],[t gain]]/2</f>
        <v>0.93500000000000005</v>
      </c>
      <c r="P89">
        <f>Table1[[#This Row],[g kinetic trace]] * String2Single(CONCATENATE(LEFT(Single2String(Table1[[#This Row],[g gain]]), 6), "00")) + String2Single(CONCATENATE(LEFT(Single2String(Table1[[#This Row],[g bias]]), 6), "00"))</f>
        <v>1.3699951171875</v>
      </c>
      <c r="Q89" t="str">
        <f xml:space="preserve"> Sng2String(Table1[[#This Row],[g ptrace]])</f>
        <v>3FAF5C00</v>
      </c>
      <c r="R89">
        <f>MOD(Table1[[#This Row],[t inv sp mx idx]]+1, 2^4)</f>
        <v>8</v>
      </c>
      <c r="S89">
        <v>0</v>
      </c>
      <c r="T89">
        <f>Table1[[#This Row],[t bias]]+1</f>
        <v>1.87</v>
      </c>
      <c r="U89">
        <f>Table1[[#This Row],[t gain]]-0.5</f>
        <v>1.37</v>
      </c>
      <c r="V89">
        <f>Table1[[#This Row],[a kinetic trace]] * String2Single(CONCATENATE(LEFT(Single2String(Table1[[#This Row],[a gain]]), 6), "00")) + String2Single(CONCATENATE(LEFT(Single2String(Table1[[#This Row],[a bias]]), 6), "00"))</f>
        <v>1.8699951171875</v>
      </c>
      <c r="W89" t="str">
        <f xml:space="preserve"> Sng2String(Table1[[#This Row],[a ptrace]])</f>
        <v>3FEF5C00</v>
      </c>
      <c r="X89">
        <f>MOD(Table1[[#This Row],[t inv sp mx idx]]+2, 2^4)</f>
        <v>9</v>
      </c>
      <c r="Y89">
        <v>0</v>
      </c>
      <c r="Z89">
        <f>Table1[[#This Row],[t bias]]</f>
        <v>0.87</v>
      </c>
      <c r="AA89">
        <f>Table1[[#This Row],[t gain]]</f>
        <v>1.87</v>
      </c>
      <c r="AB89">
        <f>Table1[[#This Row],[c kinetic trace]]* String2Single(CONCATENATE(LEFT(Single2String(Table1[[#This Row],[c gain]]), 6), "00")) + String2Single(CONCATENATE(LEFT(Single2String(Table1[[#This Row],[c bias]]), 6), "00"))</f>
        <v>0.8699951171875</v>
      </c>
      <c r="AC89" t="str">
        <f xml:space="preserve"> Sng2String(Table1[[#This Row],[c ptrace]])</f>
        <v>3F5EB800</v>
      </c>
      <c r="AD89">
        <f>MOD(Table1[[#This Row],[t inv sp mx idx]]+3, 2^4)</f>
        <v>10</v>
      </c>
      <c r="AE89" s="4" t="str">
        <f>DEC2HEX(Table1[[#This Row],[row]], 3)</f>
        <v>006</v>
      </c>
      <c r="AF89" s="2" t="str">
        <f>DEC2HEX(Table1[[#This Row],[col]], 3)</f>
        <v>04B</v>
      </c>
      <c r="AG89" s="2" t="str">
        <f>DEC2HEX(Table1[[#This Row],[grn fsp idx]], 2)</f>
        <v>AF</v>
      </c>
      <c r="AH89" s="2" t="str">
        <f>DEC2HEX(Table1[[#This Row],[red fsp idx]], 2)</f>
        <v>50</v>
      </c>
      <c r="AI89" s="2" t="str">
        <f xml:space="preserve"> LEFT(Sng2String(Table1[[#This Row],[t bias]]), 6)</f>
        <v>3F5EB8</v>
      </c>
      <c r="AJ89" s="2" t="str">
        <f xml:space="preserve"> LEFT(Sng2String(Table1[[#This Row],[t gain]]), 6)</f>
        <v>3FEF5C</v>
      </c>
      <c r="AK89" s="2" t="str">
        <f>DEC2HEX(Table1[[#This Row],[t inv sp mx idx]], 1)</f>
        <v>7</v>
      </c>
      <c r="AL89" s="2" t="str">
        <f xml:space="preserve"> LEFT(Sng2String(Table1[[#This Row],[g bias]]), 6)</f>
        <v>3FAF5C</v>
      </c>
      <c r="AM89" s="2" t="str">
        <f xml:space="preserve"> LEFT(Sng2String(Table1[[#This Row],[g gain]]), 6)</f>
        <v>3F6F5C</v>
      </c>
      <c r="AN89" s="2" t="str">
        <f>DEC2HEX(Table1[[#This Row],[g inv sp mx idx]], 1)</f>
        <v>8</v>
      </c>
      <c r="AO89" s="2" t="str">
        <f xml:space="preserve"> LEFT(Sng2String(Table1[[#This Row],[a bias]]), 6)</f>
        <v>3FEF5C</v>
      </c>
      <c r="AP89" s="2" t="str">
        <f xml:space="preserve"> LEFT(Sng2String(Table1[[#This Row],[a gain]]), 6)</f>
        <v>3FAF5C</v>
      </c>
      <c r="AQ89" s="2" t="str">
        <f>DEC2HEX(Table1[[#This Row],[a inv sp mx idx]], 1)</f>
        <v>9</v>
      </c>
      <c r="AR89" s="2" t="str">
        <f xml:space="preserve"> LEFT(Sng2String(Table1[[#This Row],[c bias]]), 6)</f>
        <v>3F5EB8</v>
      </c>
      <c r="AS89" s="2" t="str">
        <f xml:space="preserve"> LEFT(Sng2String(Table1[[#This Row],[c gain]]), 6)</f>
        <v>3FEF5C</v>
      </c>
      <c r="AT89" s="2" t="str">
        <f>DEC2HEX(Table1[[#This Row],[c inv sp mx idx]], 1)</f>
        <v>A</v>
      </c>
      <c r="AU89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00604BAF503F5EB83FEF5C73FAF5C3F6F5C83FEF5C3FAF5C93F5EB83FEF5CA02</v>
      </c>
      <c r="AV89" s="2">
        <f>LEN(Table1[[#This Row],[DRAM data]])</f>
        <v>64</v>
      </c>
    </row>
    <row r="90" spans="1:48" x14ac:dyDescent="0.25">
      <c r="A90">
        <v>88</v>
      </c>
      <c r="B90">
        <f>Table1[[#This Row],[ZMW num]]+1</f>
        <v>89</v>
      </c>
      <c r="C90">
        <v>6</v>
      </c>
      <c r="D90">
        <f t="shared" si="1"/>
        <v>80</v>
      </c>
      <c r="E90">
        <v>177</v>
      </c>
      <c r="F90">
        <v>78</v>
      </c>
      <c r="G90">
        <v>0</v>
      </c>
      <c r="H90">
        <f>Table1[[#This Row],[ZMW num]]*0.01</f>
        <v>0.88</v>
      </c>
      <c r="I90">
        <f>1+Table1[[#This Row],[t bias]]</f>
        <v>1.88</v>
      </c>
      <c r="J90">
        <f>Table1[[#This Row],[t kinetic trace]]* String2Single(CONCATENATE(LEFT(Single2String(Table1[[#This Row],[t gain]]), 6), "00")) + String2Single(CONCATENATE(LEFT(Single2String(Table1[[#This Row],[t bias]]), 6), "00"))</f>
        <v>0.8799896240234375</v>
      </c>
      <c r="K90" t="str">
        <f>Sng2String(Table1[[#This Row],[t ptrace]])</f>
        <v>3F614700</v>
      </c>
      <c r="L90">
        <f>MOD(Table1[[#This Row],[ZMW num]], 2^4)</f>
        <v>8</v>
      </c>
      <c r="M90">
        <v>0</v>
      </c>
      <c r="N90">
        <f>Table1[[#This Row],[t bias]]+0.5</f>
        <v>1.38</v>
      </c>
      <c r="O90">
        <f>Table1[[#This Row],[t gain]]/2</f>
        <v>0.94</v>
      </c>
      <c r="P90">
        <f>Table1[[#This Row],[g kinetic trace]] * String2Single(CONCATENATE(LEFT(Single2String(Table1[[#This Row],[g gain]]), 6), "00")) + String2Single(CONCATENATE(LEFT(Single2String(Table1[[#This Row],[g bias]]), 6), "00"))</f>
        <v>1.379974365234375</v>
      </c>
      <c r="Q90" t="str">
        <f xml:space="preserve"> Sng2String(Table1[[#This Row],[g ptrace]])</f>
        <v>3FB0A300</v>
      </c>
      <c r="R90">
        <f>MOD(Table1[[#This Row],[t inv sp mx idx]]+1, 2^4)</f>
        <v>9</v>
      </c>
      <c r="S90">
        <v>0</v>
      </c>
      <c r="T90">
        <f>Table1[[#This Row],[t bias]]+1</f>
        <v>1.88</v>
      </c>
      <c r="U90">
        <f>Table1[[#This Row],[t gain]]-0.5</f>
        <v>1.38</v>
      </c>
      <c r="V90">
        <f>Table1[[#This Row],[a kinetic trace]] * String2Single(CONCATENATE(LEFT(Single2String(Table1[[#This Row],[a gain]]), 6), "00")) + String2Single(CONCATENATE(LEFT(Single2String(Table1[[#This Row],[a bias]]), 6), "00"))</f>
        <v>1.879974365234375</v>
      </c>
      <c r="W90" t="str">
        <f xml:space="preserve"> Sng2String(Table1[[#This Row],[a ptrace]])</f>
        <v>3FF0A300</v>
      </c>
      <c r="X90">
        <f>MOD(Table1[[#This Row],[t inv sp mx idx]]+2, 2^4)</f>
        <v>10</v>
      </c>
      <c r="Y90">
        <v>0</v>
      </c>
      <c r="Z90">
        <f>Table1[[#This Row],[t bias]]</f>
        <v>0.88</v>
      </c>
      <c r="AA90">
        <f>Table1[[#This Row],[t gain]]</f>
        <v>1.88</v>
      </c>
      <c r="AB90">
        <f>Table1[[#This Row],[c kinetic trace]]* String2Single(CONCATENATE(LEFT(Single2String(Table1[[#This Row],[c gain]]), 6), "00")) + String2Single(CONCATENATE(LEFT(Single2String(Table1[[#This Row],[c bias]]), 6), "00"))</f>
        <v>0.8799896240234375</v>
      </c>
      <c r="AC90" t="str">
        <f xml:space="preserve"> Sng2String(Table1[[#This Row],[c ptrace]])</f>
        <v>3F614700</v>
      </c>
      <c r="AD90">
        <f>MOD(Table1[[#This Row],[t inv sp mx idx]]+3, 2^4)</f>
        <v>11</v>
      </c>
      <c r="AE90" s="4" t="str">
        <f>DEC2HEX(Table1[[#This Row],[row]], 3)</f>
        <v>006</v>
      </c>
      <c r="AF90" s="2" t="str">
        <f>DEC2HEX(Table1[[#This Row],[col]], 3)</f>
        <v>050</v>
      </c>
      <c r="AG90" s="2" t="str">
        <f>DEC2HEX(Table1[[#This Row],[grn fsp idx]], 2)</f>
        <v>B1</v>
      </c>
      <c r="AH90" s="2" t="str">
        <f>DEC2HEX(Table1[[#This Row],[red fsp idx]], 2)</f>
        <v>4E</v>
      </c>
      <c r="AI90" s="2" t="str">
        <f xml:space="preserve"> LEFT(Sng2String(Table1[[#This Row],[t bias]]), 6)</f>
        <v>3F6147</v>
      </c>
      <c r="AJ90" s="2" t="str">
        <f xml:space="preserve"> LEFT(Sng2String(Table1[[#This Row],[t gain]]), 6)</f>
        <v>3FF0A3</v>
      </c>
      <c r="AK90" s="2" t="str">
        <f>DEC2HEX(Table1[[#This Row],[t inv sp mx idx]], 1)</f>
        <v>8</v>
      </c>
      <c r="AL90" s="2" t="str">
        <f xml:space="preserve"> LEFT(Sng2String(Table1[[#This Row],[g bias]]), 6)</f>
        <v>3FB0A3</v>
      </c>
      <c r="AM90" s="2" t="str">
        <f xml:space="preserve"> LEFT(Sng2String(Table1[[#This Row],[g gain]]), 6)</f>
        <v>3F70A3</v>
      </c>
      <c r="AN90" s="2" t="str">
        <f>DEC2HEX(Table1[[#This Row],[g inv sp mx idx]], 1)</f>
        <v>9</v>
      </c>
      <c r="AO90" s="2" t="str">
        <f xml:space="preserve"> LEFT(Sng2String(Table1[[#This Row],[a bias]]), 6)</f>
        <v>3FF0A3</v>
      </c>
      <c r="AP90" s="2" t="str">
        <f xml:space="preserve"> LEFT(Sng2String(Table1[[#This Row],[a gain]]), 6)</f>
        <v>3FB0A3</v>
      </c>
      <c r="AQ90" s="2" t="str">
        <f>DEC2HEX(Table1[[#This Row],[a inv sp mx idx]], 1)</f>
        <v>A</v>
      </c>
      <c r="AR90" s="2" t="str">
        <f xml:space="preserve"> LEFT(Sng2String(Table1[[#This Row],[c bias]]), 6)</f>
        <v>3F6147</v>
      </c>
      <c r="AS90" s="2" t="str">
        <f xml:space="preserve"> LEFT(Sng2String(Table1[[#This Row],[c gain]]), 6)</f>
        <v>3FF0A3</v>
      </c>
      <c r="AT90" s="2" t="str">
        <f>DEC2HEX(Table1[[#This Row],[c inv sp mx idx]], 1)</f>
        <v>B</v>
      </c>
      <c r="AU90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006050B14E3F61473FF0A383FB0A33F70A393FF0A33FB0A3A3F61473FF0A3B02</v>
      </c>
      <c r="AV90" s="2">
        <f>LEN(Table1[[#This Row],[DRAM data]])</f>
        <v>64</v>
      </c>
    </row>
    <row r="91" spans="1:48" x14ac:dyDescent="0.25">
      <c r="A91">
        <v>89</v>
      </c>
      <c r="B91">
        <f>Table1[[#This Row],[ZMW num]]+1</f>
        <v>90</v>
      </c>
      <c r="C91">
        <v>6</v>
      </c>
      <c r="D91">
        <f t="shared" si="1"/>
        <v>87</v>
      </c>
      <c r="E91">
        <v>179</v>
      </c>
      <c r="F91">
        <v>76</v>
      </c>
      <c r="G91">
        <v>0</v>
      </c>
      <c r="H91">
        <f>Table1[[#This Row],[ZMW num]]*0.01</f>
        <v>0.89</v>
      </c>
      <c r="I91">
        <f>1+Table1[[#This Row],[t bias]]</f>
        <v>1.8900000000000001</v>
      </c>
      <c r="J91">
        <f>Table1[[#This Row],[t kinetic trace]]* String2Single(CONCATENATE(LEFT(Single2String(Table1[[#This Row],[t gain]]), 6), "00")) + String2Single(CONCATENATE(LEFT(Single2String(Table1[[#This Row],[t bias]]), 6), "00"))</f>
        <v>0.8899993896484375</v>
      </c>
      <c r="K91" t="str">
        <f>Sng2String(Table1[[#This Row],[t ptrace]])</f>
        <v>3F63D700</v>
      </c>
      <c r="L91">
        <f>MOD(Table1[[#This Row],[ZMW num]], 2^4)</f>
        <v>9</v>
      </c>
      <c r="M91">
        <v>0</v>
      </c>
      <c r="N91">
        <f>Table1[[#This Row],[t bias]]+0.5</f>
        <v>1.3900000000000001</v>
      </c>
      <c r="O91">
        <f>Table1[[#This Row],[t gain]]/2</f>
        <v>0.94500000000000006</v>
      </c>
      <c r="P91">
        <f>Table1[[#This Row],[g kinetic trace]] * String2Single(CONCATENATE(LEFT(Single2String(Table1[[#This Row],[g gain]]), 6), "00")) + String2Single(CONCATENATE(LEFT(Single2String(Table1[[#This Row],[g bias]]), 6), "00"))</f>
        <v>1.389984130859375</v>
      </c>
      <c r="Q91" t="str">
        <f xml:space="preserve"> Sng2String(Table1[[#This Row],[g ptrace]])</f>
        <v>3FB1EB00</v>
      </c>
      <c r="R91">
        <f>MOD(Table1[[#This Row],[t inv sp mx idx]]+1, 2^4)</f>
        <v>10</v>
      </c>
      <c r="S91">
        <v>0</v>
      </c>
      <c r="T91">
        <f>Table1[[#This Row],[t bias]]+1</f>
        <v>1.8900000000000001</v>
      </c>
      <c r="U91">
        <f>Table1[[#This Row],[t gain]]-0.5</f>
        <v>1.3900000000000001</v>
      </c>
      <c r="V91">
        <f>Table1[[#This Row],[a kinetic trace]] * String2Single(CONCATENATE(LEFT(Single2String(Table1[[#This Row],[a gain]]), 6), "00")) + String2Single(CONCATENATE(LEFT(Single2String(Table1[[#This Row],[a bias]]), 6), "00"))</f>
        <v>1.889984130859375</v>
      </c>
      <c r="W91" t="str">
        <f xml:space="preserve"> Sng2String(Table1[[#This Row],[a ptrace]])</f>
        <v>3FF1EB00</v>
      </c>
      <c r="X91">
        <f>MOD(Table1[[#This Row],[t inv sp mx idx]]+2, 2^4)</f>
        <v>11</v>
      </c>
      <c r="Y91">
        <v>0</v>
      </c>
      <c r="Z91">
        <f>Table1[[#This Row],[t bias]]</f>
        <v>0.89</v>
      </c>
      <c r="AA91">
        <f>Table1[[#This Row],[t gain]]</f>
        <v>1.8900000000000001</v>
      </c>
      <c r="AB91">
        <f>Table1[[#This Row],[c kinetic trace]]* String2Single(CONCATENATE(LEFT(Single2String(Table1[[#This Row],[c gain]]), 6), "00")) + String2Single(CONCATENATE(LEFT(Single2String(Table1[[#This Row],[c bias]]), 6), "00"))</f>
        <v>0.8899993896484375</v>
      </c>
      <c r="AC91" t="str">
        <f xml:space="preserve"> Sng2String(Table1[[#This Row],[c ptrace]])</f>
        <v>3F63D700</v>
      </c>
      <c r="AD91">
        <f>MOD(Table1[[#This Row],[t inv sp mx idx]]+3, 2^4)</f>
        <v>12</v>
      </c>
      <c r="AE91" s="4" t="str">
        <f>DEC2HEX(Table1[[#This Row],[row]], 3)</f>
        <v>006</v>
      </c>
      <c r="AF91" s="2" t="str">
        <f>DEC2HEX(Table1[[#This Row],[col]], 3)</f>
        <v>057</v>
      </c>
      <c r="AG91" s="2" t="str">
        <f>DEC2HEX(Table1[[#This Row],[grn fsp idx]], 2)</f>
        <v>B3</v>
      </c>
      <c r="AH91" s="2" t="str">
        <f>DEC2HEX(Table1[[#This Row],[red fsp idx]], 2)</f>
        <v>4C</v>
      </c>
      <c r="AI91" s="2" t="str">
        <f xml:space="preserve"> LEFT(Sng2String(Table1[[#This Row],[t bias]]), 6)</f>
        <v>3F63D7</v>
      </c>
      <c r="AJ91" s="2" t="str">
        <f xml:space="preserve"> LEFT(Sng2String(Table1[[#This Row],[t gain]]), 6)</f>
        <v>3FF1EB</v>
      </c>
      <c r="AK91" s="2" t="str">
        <f>DEC2HEX(Table1[[#This Row],[t inv sp mx idx]], 1)</f>
        <v>9</v>
      </c>
      <c r="AL91" s="2" t="str">
        <f xml:space="preserve"> LEFT(Sng2String(Table1[[#This Row],[g bias]]), 6)</f>
        <v>3FB1EB</v>
      </c>
      <c r="AM91" s="2" t="str">
        <f xml:space="preserve"> LEFT(Sng2String(Table1[[#This Row],[g gain]]), 6)</f>
        <v>3F71EB</v>
      </c>
      <c r="AN91" s="2" t="str">
        <f>DEC2HEX(Table1[[#This Row],[g inv sp mx idx]], 1)</f>
        <v>A</v>
      </c>
      <c r="AO91" s="2" t="str">
        <f xml:space="preserve"> LEFT(Sng2String(Table1[[#This Row],[a bias]]), 6)</f>
        <v>3FF1EB</v>
      </c>
      <c r="AP91" s="2" t="str">
        <f xml:space="preserve"> LEFT(Sng2String(Table1[[#This Row],[a gain]]), 6)</f>
        <v>3FB1EB</v>
      </c>
      <c r="AQ91" s="2" t="str">
        <f>DEC2HEX(Table1[[#This Row],[a inv sp mx idx]], 1)</f>
        <v>B</v>
      </c>
      <c r="AR91" s="2" t="str">
        <f xml:space="preserve"> LEFT(Sng2String(Table1[[#This Row],[c bias]]), 6)</f>
        <v>3F63D7</v>
      </c>
      <c r="AS91" s="2" t="str">
        <f xml:space="preserve"> LEFT(Sng2String(Table1[[#This Row],[c gain]]), 6)</f>
        <v>3FF1EB</v>
      </c>
      <c r="AT91" s="2" t="str">
        <f>DEC2HEX(Table1[[#This Row],[c inv sp mx idx]], 1)</f>
        <v>C</v>
      </c>
      <c r="AU91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006057B34C3F63D73FF1EB93FB1EB3F71EBA3FF1EB3FB1EBB3F63D73FF1EBC02</v>
      </c>
      <c r="AV91" s="2">
        <f>LEN(Table1[[#This Row],[DRAM data]])</f>
        <v>64</v>
      </c>
    </row>
    <row r="92" spans="1:48" x14ac:dyDescent="0.25">
      <c r="A92">
        <v>90</v>
      </c>
      <c r="B92">
        <f>Table1[[#This Row],[ZMW num]]+1</f>
        <v>91</v>
      </c>
      <c r="C92">
        <v>6</v>
      </c>
      <c r="D92">
        <f t="shared" si="1"/>
        <v>93</v>
      </c>
      <c r="E92">
        <v>181</v>
      </c>
      <c r="F92">
        <v>74</v>
      </c>
      <c r="G92">
        <v>0</v>
      </c>
      <c r="H92">
        <f>Table1[[#This Row],[ZMW num]]*0.01</f>
        <v>0.9</v>
      </c>
      <c r="I92">
        <f>1+Table1[[#This Row],[t bias]]</f>
        <v>1.9</v>
      </c>
      <c r="J92">
        <f>Table1[[#This Row],[t kinetic trace]]* String2Single(CONCATENATE(LEFT(Single2String(Table1[[#This Row],[t gain]]), 6), "00")) + String2Single(CONCATENATE(LEFT(Single2String(Table1[[#This Row],[t bias]]), 6), "00"))</f>
        <v>0.899993896484375</v>
      </c>
      <c r="K92" t="str">
        <f>Sng2String(Table1[[#This Row],[t ptrace]])</f>
        <v>3F666600</v>
      </c>
      <c r="L92">
        <f>MOD(Table1[[#This Row],[ZMW num]], 2^4)</f>
        <v>10</v>
      </c>
      <c r="M92">
        <v>0</v>
      </c>
      <c r="N92">
        <f>Table1[[#This Row],[t bias]]+0.5</f>
        <v>1.4</v>
      </c>
      <c r="O92">
        <f>Table1[[#This Row],[t gain]]/2</f>
        <v>0.95</v>
      </c>
      <c r="P92">
        <f>Table1[[#This Row],[g kinetic trace]] * String2Single(CONCATENATE(LEFT(Single2String(Table1[[#This Row],[g gain]]), 6), "00")) + String2Single(CONCATENATE(LEFT(Single2String(Table1[[#This Row],[g bias]]), 6), "00"))</f>
        <v>1.399993896484375</v>
      </c>
      <c r="Q92" t="str">
        <f xml:space="preserve"> Sng2String(Table1[[#This Row],[g ptrace]])</f>
        <v>3FB33300</v>
      </c>
      <c r="R92">
        <f>MOD(Table1[[#This Row],[t inv sp mx idx]]+1, 2^4)</f>
        <v>11</v>
      </c>
      <c r="S92">
        <v>0</v>
      </c>
      <c r="T92">
        <f>Table1[[#This Row],[t bias]]+1</f>
        <v>1.9</v>
      </c>
      <c r="U92">
        <f>Table1[[#This Row],[t gain]]-0.5</f>
        <v>1.4</v>
      </c>
      <c r="V92">
        <f>Table1[[#This Row],[a kinetic trace]] * String2Single(CONCATENATE(LEFT(Single2String(Table1[[#This Row],[a gain]]), 6), "00")) + String2Single(CONCATENATE(LEFT(Single2String(Table1[[#This Row],[a bias]]), 6), "00"))</f>
        <v>1.899993896484375</v>
      </c>
      <c r="W92" t="str">
        <f xml:space="preserve"> Sng2String(Table1[[#This Row],[a ptrace]])</f>
        <v>3FF33300</v>
      </c>
      <c r="X92">
        <f>MOD(Table1[[#This Row],[t inv sp mx idx]]+2, 2^4)</f>
        <v>12</v>
      </c>
      <c r="Y92">
        <v>0</v>
      </c>
      <c r="Z92">
        <f>Table1[[#This Row],[t bias]]</f>
        <v>0.9</v>
      </c>
      <c r="AA92">
        <f>Table1[[#This Row],[t gain]]</f>
        <v>1.9</v>
      </c>
      <c r="AB92">
        <f>Table1[[#This Row],[c kinetic trace]]* String2Single(CONCATENATE(LEFT(Single2String(Table1[[#This Row],[c gain]]), 6), "00")) + String2Single(CONCATENATE(LEFT(Single2String(Table1[[#This Row],[c bias]]), 6), "00"))</f>
        <v>0.899993896484375</v>
      </c>
      <c r="AC92" t="str">
        <f xml:space="preserve"> Sng2String(Table1[[#This Row],[c ptrace]])</f>
        <v>3F666600</v>
      </c>
      <c r="AD92">
        <f>MOD(Table1[[#This Row],[t inv sp mx idx]]+3, 2^4)</f>
        <v>13</v>
      </c>
      <c r="AE92" s="4" t="str">
        <f>DEC2HEX(Table1[[#This Row],[row]], 3)</f>
        <v>006</v>
      </c>
      <c r="AF92" s="2" t="str">
        <f>DEC2HEX(Table1[[#This Row],[col]], 3)</f>
        <v>05D</v>
      </c>
      <c r="AG92" s="2" t="str">
        <f>DEC2HEX(Table1[[#This Row],[grn fsp idx]], 2)</f>
        <v>B5</v>
      </c>
      <c r="AH92" s="2" t="str">
        <f>DEC2HEX(Table1[[#This Row],[red fsp idx]], 2)</f>
        <v>4A</v>
      </c>
      <c r="AI92" s="2" t="str">
        <f xml:space="preserve"> LEFT(Sng2String(Table1[[#This Row],[t bias]]), 6)</f>
        <v>3F6666</v>
      </c>
      <c r="AJ92" s="2" t="str">
        <f xml:space="preserve"> LEFT(Sng2String(Table1[[#This Row],[t gain]]), 6)</f>
        <v>3FF333</v>
      </c>
      <c r="AK92" s="2" t="str">
        <f>DEC2HEX(Table1[[#This Row],[t inv sp mx idx]], 1)</f>
        <v>A</v>
      </c>
      <c r="AL92" s="2" t="str">
        <f xml:space="preserve"> LEFT(Sng2String(Table1[[#This Row],[g bias]]), 6)</f>
        <v>3FB333</v>
      </c>
      <c r="AM92" s="2" t="str">
        <f xml:space="preserve"> LEFT(Sng2String(Table1[[#This Row],[g gain]]), 6)</f>
        <v>3F7333</v>
      </c>
      <c r="AN92" s="2" t="str">
        <f>DEC2HEX(Table1[[#This Row],[g inv sp mx idx]], 1)</f>
        <v>B</v>
      </c>
      <c r="AO92" s="2" t="str">
        <f xml:space="preserve"> LEFT(Sng2String(Table1[[#This Row],[a bias]]), 6)</f>
        <v>3FF333</v>
      </c>
      <c r="AP92" s="2" t="str">
        <f xml:space="preserve"> LEFT(Sng2String(Table1[[#This Row],[a gain]]), 6)</f>
        <v>3FB333</v>
      </c>
      <c r="AQ92" s="2" t="str">
        <f>DEC2HEX(Table1[[#This Row],[a inv sp mx idx]], 1)</f>
        <v>C</v>
      </c>
      <c r="AR92" s="2" t="str">
        <f xml:space="preserve"> LEFT(Sng2String(Table1[[#This Row],[c bias]]), 6)</f>
        <v>3F6666</v>
      </c>
      <c r="AS92" s="2" t="str">
        <f xml:space="preserve"> LEFT(Sng2String(Table1[[#This Row],[c gain]]), 6)</f>
        <v>3FF333</v>
      </c>
      <c r="AT92" s="2" t="str">
        <f>DEC2HEX(Table1[[#This Row],[c inv sp mx idx]], 1)</f>
        <v>D</v>
      </c>
      <c r="AU92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00605DB54A3F66663FF333A3FB3333F7333B3FF3333FB333C3F66663FF333D02</v>
      </c>
      <c r="AV92" s="2">
        <f>LEN(Table1[[#This Row],[DRAM data]])</f>
        <v>64</v>
      </c>
    </row>
    <row r="93" spans="1:48" x14ac:dyDescent="0.25">
      <c r="A93">
        <v>91</v>
      </c>
      <c r="B93">
        <f>Table1[[#This Row],[ZMW num]]+1</f>
        <v>92</v>
      </c>
      <c r="C93">
        <v>6</v>
      </c>
      <c r="D93">
        <f t="shared" si="1"/>
        <v>100</v>
      </c>
      <c r="E93">
        <v>183</v>
      </c>
      <c r="F93">
        <v>72</v>
      </c>
      <c r="G93">
        <v>0</v>
      </c>
      <c r="H93">
        <f>Table1[[#This Row],[ZMW num]]*0.01</f>
        <v>0.91</v>
      </c>
      <c r="I93">
        <f>1+Table1[[#This Row],[t bias]]</f>
        <v>1.9100000000000001</v>
      </c>
      <c r="J93">
        <f>Table1[[#This Row],[t kinetic trace]]* String2Single(CONCATENATE(LEFT(Single2String(Table1[[#This Row],[t gain]]), 6), "00")) + String2Single(CONCATENATE(LEFT(Single2String(Table1[[#This Row],[t bias]]), 6), "00"))</f>
        <v>0.9099884033203125</v>
      </c>
      <c r="K93" t="str">
        <f>Sng2String(Table1[[#This Row],[t ptrace]])</f>
        <v>3F68F500</v>
      </c>
      <c r="L93">
        <f>MOD(Table1[[#This Row],[ZMW num]], 2^4)</f>
        <v>11</v>
      </c>
      <c r="M93">
        <v>0</v>
      </c>
      <c r="N93">
        <f>Table1[[#This Row],[t bias]]+0.5</f>
        <v>1.4100000000000001</v>
      </c>
      <c r="O93">
        <f>Table1[[#This Row],[t gain]]/2</f>
        <v>0.95500000000000007</v>
      </c>
      <c r="P93">
        <f>Table1[[#This Row],[g kinetic trace]] * String2Single(CONCATENATE(LEFT(Single2String(Table1[[#This Row],[g gain]]), 6), "00")) + String2Single(CONCATENATE(LEFT(Single2String(Table1[[#This Row],[g bias]]), 6), "00"))</f>
        <v>1.40997314453125</v>
      </c>
      <c r="Q93" t="str">
        <f xml:space="preserve"> Sng2String(Table1[[#This Row],[g ptrace]])</f>
        <v>3FB47A00</v>
      </c>
      <c r="R93">
        <f>MOD(Table1[[#This Row],[t inv sp mx idx]]+1, 2^4)</f>
        <v>12</v>
      </c>
      <c r="S93">
        <v>0</v>
      </c>
      <c r="T93">
        <f>Table1[[#This Row],[t bias]]+1</f>
        <v>1.9100000000000001</v>
      </c>
      <c r="U93">
        <f>Table1[[#This Row],[t gain]]-0.5</f>
        <v>1.4100000000000001</v>
      </c>
      <c r="V93">
        <f>Table1[[#This Row],[a kinetic trace]] * String2Single(CONCATENATE(LEFT(Single2String(Table1[[#This Row],[a gain]]), 6), "00")) + String2Single(CONCATENATE(LEFT(Single2String(Table1[[#This Row],[a bias]]), 6), "00"))</f>
        <v>1.90997314453125</v>
      </c>
      <c r="W93" t="str">
        <f xml:space="preserve"> Sng2String(Table1[[#This Row],[a ptrace]])</f>
        <v>3FF47A00</v>
      </c>
      <c r="X93">
        <f>MOD(Table1[[#This Row],[t inv sp mx idx]]+2, 2^4)</f>
        <v>13</v>
      </c>
      <c r="Y93">
        <v>0</v>
      </c>
      <c r="Z93">
        <f>Table1[[#This Row],[t bias]]</f>
        <v>0.91</v>
      </c>
      <c r="AA93">
        <f>Table1[[#This Row],[t gain]]</f>
        <v>1.9100000000000001</v>
      </c>
      <c r="AB93">
        <f>Table1[[#This Row],[c kinetic trace]]* String2Single(CONCATENATE(LEFT(Single2String(Table1[[#This Row],[c gain]]), 6), "00")) + String2Single(CONCATENATE(LEFT(Single2String(Table1[[#This Row],[c bias]]), 6), "00"))</f>
        <v>0.9099884033203125</v>
      </c>
      <c r="AC93" t="str">
        <f xml:space="preserve"> Sng2String(Table1[[#This Row],[c ptrace]])</f>
        <v>3F68F500</v>
      </c>
      <c r="AD93">
        <f>MOD(Table1[[#This Row],[t inv sp mx idx]]+3, 2^4)</f>
        <v>14</v>
      </c>
      <c r="AE93" s="4" t="str">
        <f>DEC2HEX(Table1[[#This Row],[row]], 3)</f>
        <v>006</v>
      </c>
      <c r="AF93" s="2" t="str">
        <f>DEC2HEX(Table1[[#This Row],[col]], 3)</f>
        <v>064</v>
      </c>
      <c r="AG93" s="2" t="str">
        <f>DEC2HEX(Table1[[#This Row],[grn fsp idx]], 2)</f>
        <v>B7</v>
      </c>
      <c r="AH93" s="2" t="str">
        <f>DEC2HEX(Table1[[#This Row],[red fsp idx]], 2)</f>
        <v>48</v>
      </c>
      <c r="AI93" s="2" t="str">
        <f xml:space="preserve"> LEFT(Sng2String(Table1[[#This Row],[t bias]]), 6)</f>
        <v>3F68F5</v>
      </c>
      <c r="AJ93" s="2" t="str">
        <f xml:space="preserve"> LEFT(Sng2String(Table1[[#This Row],[t gain]]), 6)</f>
        <v>3FF47A</v>
      </c>
      <c r="AK93" s="2" t="str">
        <f>DEC2HEX(Table1[[#This Row],[t inv sp mx idx]], 1)</f>
        <v>B</v>
      </c>
      <c r="AL93" s="2" t="str">
        <f xml:space="preserve"> LEFT(Sng2String(Table1[[#This Row],[g bias]]), 6)</f>
        <v>3FB47A</v>
      </c>
      <c r="AM93" s="2" t="str">
        <f xml:space="preserve"> LEFT(Sng2String(Table1[[#This Row],[g gain]]), 6)</f>
        <v>3F747A</v>
      </c>
      <c r="AN93" s="2" t="str">
        <f>DEC2HEX(Table1[[#This Row],[g inv sp mx idx]], 1)</f>
        <v>C</v>
      </c>
      <c r="AO93" s="2" t="str">
        <f xml:space="preserve"> LEFT(Sng2String(Table1[[#This Row],[a bias]]), 6)</f>
        <v>3FF47A</v>
      </c>
      <c r="AP93" s="2" t="str">
        <f xml:space="preserve"> LEFT(Sng2String(Table1[[#This Row],[a gain]]), 6)</f>
        <v>3FB47A</v>
      </c>
      <c r="AQ93" s="2" t="str">
        <f>DEC2HEX(Table1[[#This Row],[a inv sp mx idx]], 1)</f>
        <v>D</v>
      </c>
      <c r="AR93" s="2" t="str">
        <f xml:space="preserve"> LEFT(Sng2String(Table1[[#This Row],[c bias]]), 6)</f>
        <v>3F68F5</v>
      </c>
      <c r="AS93" s="2" t="str">
        <f xml:space="preserve"> LEFT(Sng2String(Table1[[#This Row],[c gain]]), 6)</f>
        <v>3FF47A</v>
      </c>
      <c r="AT93" s="2" t="str">
        <f>DEC2HEX(Table1[[#This Row],[c inv sp mx idx]], 1)</f>
        <v>E</v>
      </c>
      <c r="AU93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006064B7483F68F53FF47AB3FB47A3F747AC3FF47A3FB47AD3F68F53FF47AE02</v>
      </c>
      <c r="AV93" s="2">
        <f>LEN(Table1[[#This Row],[DRAM data]])</f>
        <v>64</v>
      </c>
    </row>
    <row r="94" spans="1:48" x14ac:dyDescent="0.25">
      <c r="A94">
        <v>92</v>
      </c>
      <c r="B94">
        <f>Table1[[#This Row],[ZMW num]]+1</f>
        <v>93</v>
      </c>
      <c r="C94">
        <v>6</v>
      </c>
      <c r="D94">
        <f t="shared" si="1"/>
        <v>105</v>
      </c>
      <c r="E94">
        <v>185</v>
      </c>
      <c r="F94">
        <v>70</v>
      </c>
      <c r="G94">
        <v>0</v>
      </c>
      <c r="H94">
        <f>Table1[[#This Row],[ZMW num]]*0.01</f>
        <v>0.92</v>
      </c>
      <c r="I94">
        <f>1+Table1[[#This Row],[t bias]]</f>
        <v>1.92</v>
      </c>
      <c r="J94">
        <f>Table1[[#This Row],[t kinetic trace]]* String2Single(CONCATENATE(LEFT(Single2String(Table1[[#This Row],[t gain]]), 6), "00")) + String2Single(CONCATENATE(LEFT(Single2String(Table1[[#This Row],[t bias]]), 6), "00"))</f>
        <v>0.9199981689453125</v>
      </c>
      <c r="K94" t="str">
        <f>Sng2String(Table1[[#This Row],[t ptrace]])</f>
        <v>3F6B8500</v>
      </c>
      <c r="L94">
        <f>MOD(Table1[[#This Row],[ZMW num]], 2^4)</f>
        <v>12</v>
      </c>
      <c r="M94">
        <v>0</v>
      </c>
      <c r="N94">
        <f>Table1[[#This Row],[t bias]]+0.5</f>
        <v>1.42</v>
      </c>
      <c r="O94">
        <f>Table1[[#This Row],[t gain]]/2</f>
        <v>0.96</v>
      </c>
      <c r="P94">
        <f>Table1[[#This Row],[g kinetic trace]] * String2Single(CONCATENATE(LEFT(Single2String(Table1[[#This Row],[g gain]]), 6), "00")) + String2Single(CONCATENATE(LEFT(Single2String(Table1[[#This Row],[g bias]]), 6), "00"))</f>
        <v>1.41998291015625</v>
      </c>
      <c r="Q94" t="str">
        <f xml:space="preserve"> Sng2String(Table1[[#This Row],[g ptrace]])</f>
        <v>3FB5C200</v>
      </c>
      <c r="R94">
        <f>MOD(Table1[[#This Row],[t inv sp mx idx]]+1, 2^4)</f>
        <v>13</v>
      </c>
      <c r="S94">
        <v>0</v>
      </c>
      <c r="T94">
        <f>Table1[[#This Row],[t bias]]+1</f>
        <v>1.92</v>
      </c>
      <c r="U94">
        <f>Table1[[#This Row],[t gain]]-0.5</f>
        <v>1.42</v>
      </c>
      <c r="V94">
        <f>Table1[[#This Row],[a kinetic trace]] * String2Single(CONCATENATE(LEFT(Single2String(Table1[[#This Row],[a gain]]), 6), "00")) + String2Single(CONCATENATE(LEFT(Single2String(Table1[[#This Row],[a bias]]), 6), "00"))</f>
        <v>1.91998291015625</v>
      </c>
      <c r="W94" t="str">
        <f xml:space="preserve"> Sng2String(Table1[[#This Row],[a ptrace]])</f>
        <v>3FF5C200</v>
      </c>
      <c r="X94">
        <f>MOD(Table1[[#This Row],[t inv sp mx idx]]+2, 2^4)</f>
        <v>14</v>
      </c>
      <c r="Y94">
        <v>0</v>
      </c>
      <c r="Z94">
        <f>Table1[[#This Row],[t bias]]</f>
        <v>0.92</v>
      </c>
      <c r="AA94">
        <f>Table1[[#This Row],[t gain]]</f>
        <v>1.92</v>
      </c>
      <c r="AB94">
        <f>Table1[[#This Row],[c kinetic trace]]* String2Single(CONCATENATE(LEFT(Single2String(Table1[[#This Row],[c gain]]), 6), "00")) + String2Single(CONCATENATE(LEFT(Single2String(Table1[[#This Row],[c bias]]), 6), "00"))</f>
        <v>0.9199981689453125</v>
      </c>
      <c r="AC94" t="str">
        <f xml:space="preserve"> Sng2String(Table1[[#This Row],[c ptrace]])</f>
        <v>3F6B8500</v>
      </c>
      <c r="AD94">
        <f>MOD(Table1[[#This Row],[t inv sp mx idx]]+3, 2^4)</f>
        <v>15</v>
      </c>
      <c r="AE94" s="4" t="str">
        <f>DEC2HEX(Table1[[#This Row],[row]], 3)</f>
        <v>006</v>
      </c>
      <c r="AF94" s="2" t="str">
        <f>DEC2HEX(Table1[[#This Row],[col]], 3)</f>
        <v>069</v>
      </c>
      <c r="AG94" s="2" t="str">
        <f>DEC2HEX(Table1[[#This Row],[grn fsp idx]], 2)</f>
        <v>B9</v>
      </c>
      <c r="AH94" s="2" t="str">
        <f>DEC2HEX(Table1[[#This Row],[red fsp idx]], 2)</f>
        <v>46</v>
      </c>
      <c r="AI94" s="2" t="str">
        <f xml:space="preserve"> LEFT(Sng2String(Table1[[#This Row],[t bias]]), 6)</f>
        <v>3F6B85</v>
      </c>
      <c r="AJ94" s="2" t="str">
        <f xml:space="preserve"> LEFT(Sng2String(Table1[[#This Row],[t gain]]), 6)</f>
        <v>3FF5C2</v>
      </c>
      <c r="AK94" s="2" t="str">
        <f>DEC2HEX(Table1[[#This Row],[t inv sp mx idx]], 1)</f>
        <v>C</v>
      </c>
      <c r="AL94" s="2" t="str">
        <f xml:space="preserve"> LEFT(Sng2String(Table1[[#This Row],[g bias]]), 6)</f>
        <v>3FB5C2</v>
      </c>
      <c r="AM94" s="2" t="str">
        <f xml:space="preserve"> LEFT(Sng2String(Table1[[#This Row],[g gain]]), 6)</f>
        <v>3F75C2</v>
      </c>
      <c r="AN94" s="2" t="str">
        <f>DEC2HEX(Table1[[#This Row],[g inv sp mx idx]], 1)</f>
        <v>D</v>
      </c>
      <c r="AO94" s="2" t="str">
        <f xml:space="preserve"> LEFT(Sng2String(Table1[[#This Row],[a bias]]), 6)</f>
        <v>3FF5C2</v>
      </c>
      <c r="AP94" s="2" t="str">
        <f xml:space="preserve"> LEFT(Sng2String(Table1[[#This Row],[a gain]]), 6)</f>
        <v>3FB5C2</v>
      </c>
      <c r="AQ94" s="2" t="str">
        <f>DEC2HEX(Table1[[#This Row],[a inv sp mx idx]], 1)</f>
        <v>E</v>
      </c>
      <c r="AR94" s="2" t="str">
        <f xml:space="preserve"> LEFT(Sng2String(Table1[[#This Row],[c bias]]), 6)</f>
        <v>3F6B85</v>
      </c>
      <c r="AS94" s="2" t="str">
        <f xml:space="preserve"> LEFT(Sng2String(Table1[[#This Row],[c gain]]), 6)</f>
        <v>3FF5C2</v>
      </c>
      <c r="AT94" s="2" t="str">
        <f>DEC2HEX(Table1[[#This Row],[c inv sp mx idx]], 1)</f>
        <v>F</v>
      </c>
      <c r="AU94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006069B9463F6B853FF5C2C3FB5C23F75C2D3FF5C23FB5C2E3F6B853FF5C2F02</v>
      </c>
      <c r="AV94" s="2">
        <f>LEN(Table1[[#This Row],[DRAM data]])</f>
        <v>64</v>
      </c>
    </row>
    <row r="95" spans="1:48" x14ac:dyDescent="0.25">
      <c r="A95">
        <v>93</v>
      </c>
      <c r="B95">
        <f>Table1[[#This Row],[ZMW num]]+1</f>
        <v>94</v>
      </c>
      <c r="C95">
        <v>6</v>
      </c>
      <c r="D95">
        <f t="shared" si="1"/>
        <v>110</v>
      </c>
      <c r="E95">
        <v>187</v>
      </c>
      <c r="F95">
        <v>68</v>
      </c>
      <c r="G95">
        <v>0</v>
      </c>
      <c r="H95">
        <f>Table1[[#This Row],[ZMW num]]*0.01</f>
        <v>0.93</v>
      </c>
      <c r="I95">
        <f>1+Table1[[#This Row],[t bias]]</f>
        <v>1.9300000000000002</v>
      </c>
      <c r="J95">
        <f>Table1[[#This Row],[t kinetic trace]]* String2Single(CONCATENATE(LEFT(Single2String(Table1[[#This Row],[t gain]]), 6), "00")) + String2Single(CONCATENATE(LEFT(Single2String(Table1[[#This Row],[t bias]]), 6), "00"))</f>
        <v>0.92999267578125</v>
      </c>
      <c r="K95" t="str">
        <f>Sng2String(Table1[[#This Row],[t ptrace]])</f>
        <v>3F6E1400</v>
      </c>
      <c r="L95">
        <f>MOD(Table1[[#This Row],[ZMW num]], 2^4)</f>
        <v>13</v>
      </c>
      <c r="M95">
        <v>0</v>
      </c>
      <c r="N95">
        <f>Table1[[#This Row],[t bias]]+0.5</f>
        <v>1.4300000000000002</v>
      </c>
      <c r="O95">
        <f>Table1[[#This Row],[t gain]]/2</f>
        <v>0.96500000000000008</v>
      </c>
      <c r="P95">
        <f>Table1[[#This Row],[g kinetic trace]] * String2Single(CONCATENATE(LEFT(Single2String(Table1[[#This Row],[g gain]]), 6), "00")) + String2Single(CONCATENATE(LEFT(Single2String(Table1[[#This Row],[g bias]]), 6), "00"))</f>
        <v>1.42999267578125</v>
      </c>
      <c r="Q95" t="str">
        <f xml:space="preserve"> Sng2String(Table1[[#This Row],[g ptrace]])</f>
        <v>3FB70A00</v>
      </c>
      <c r="R95">
        <f>MOD(Table1[[#This Row],[t inv sp mx idx]]+1, 2^4)</f>
        <v>14</v>
      </c>
      <c r="S95">
        <v>0</v>
      </c>
      <c r="T95">
        <f>Table1[[#This Row],[t bias]]+1</f>
        <v>1.9300000000000002</v>
      </c>
      <c r="U95">
        <f>Table1[[#This Row],[t gain]]-0.5</f>
        <v>1.4300000000000002</v>
      </c>
      <c r="V95">
        <f>Table1[[#This Row],[a kinetic trace]] * String2Single(CONCATENATE(LEFT(Single2String(Table1[[#This Row],[a gain]]), 6), "00")) + String2Single(CONCATENATE(LEFT(Single2String(Table1[[#This Row],[a bias]]), 6), "00"))</f>
        <v>1.92999267578125</v>
      </c>
      <c r="W95" t="str">
        <f xml:space="preserve"> Sng2String(Table1[[#This Row],[a ptrace]])</f>
        <v>3FF70A00</v>
      </c>
      <c r="X95">
        <f>MOD(Table1[[#This Row],[t inv sp mx idx]]+2, 2^4)</f>
        <v>15</v>
      </c>
      <c r="Y95">
        <v>0</v>
      </c>
      <c r="Z95">
        <f>Table1[[#This Row],[t bias]]</f>
        <v>0.93</v>
      </c>
      <c r="AA95">
        <f>Table1[[#This Row],[t gain]]</f>
        <v>1.9300000000000002</v>
      </c>
      <c r="AB95">
        <f>Table1[[#This Row],[c kinetic trace]]* String2Single(CONCATENATE(LEFT(Single2String(Table1[[#This Row],[c gain]]), 6), "00")) + String2Single(CONCATENATE(LEFT(Single2String(Table1[[#This Row],[c bias]]), 6), "00"))</f>
        <v>0.92999267578125</v>
      </c>
      <c r="AC95" t="str">
        <f xml:space="preserve"> Sng2String(Table1[[#This Row],[c ptrace]])</f>
        <v>3F6E1400</v>
      </c>
      <c r="AD95">
        <f>MOD(Table1[[#This Row],[t inv sp mx idx]]+3, 2^4)</f>
        <v>0</v>
      </c>
      <c r="AE95" s="4" t="str">
        <f>DEC2HEX(Table1[[#This Row],[row]], 3)</f>
        <v>006</v>
      </c>
      <c r="AF95" s="2" t="str">
        <f>DEC2HEX(Table1[[#This Row],[col]], 3)</f>
        <v>06E</v>
      </c>
      <c r="AG95" s="2" t="str">
        <f>DEC2HEX(Table1[[#This Row],[grn fsp idx]], 2)</f>
        <v>BB</v>
      </c>
      <c r="AH95" s="2" t="str">
        <f>DEC2HEX(Table1[[#This Row],[red fsp idx]], 2)</f>
        <v>44</v>
      </c>
      <c r="AI95" s="2" t="str">
        <f xml:space="preserve"> LEFT(Sng2String(Table1[[#This Row],[t bias]]), 6)</f>
        <v>3F6E14</v>
      </c>
      <c r="AJ95" s="2" t="str">
        <f xml:space="preserve"> LEFT(Sng2String(Table1[[#This Row],[t gain]]), 6)</f>
        <v>3FF70A</v>
      </c>
      <c r="AK95" s="2" t="str">
        <f>DEC2HEX(Table1[[#This Row],[t inv sp mx idx]], 1)</f>
        <v>D</v>
      </c>
      <c r="AL95" s="2" t="str">
        <f xml:space="preserve"> LEFT(Sng2String(Table1[[#This Row],[g bias]]), 6)</f>
        <v>3FB70A</v>
      </c>
      <c r="AM95" s="2" t="str">
        <f xml:space="preserve"> LEFT(Sng2String(Table1[[#This Row],[g gain]]), 6)</f>
        <v>3F770A</v>
      </c>
      <c r="AN95" s="2" t="str">
        <f>DEC2HEX(Table1[[#This Row],[g inv sp mx idx]], 1)</f>
        <v>E</v>
      </c>
      <c r="AO95" s="2" t="str">
        <f xml:space="preserve"> LEFT(Sng2String(Table1[[#This Row],[a bias]]), 6)</f>
        <v>3FF70A</v>
      </c>
      <c r="AP95" s="2" t="str">
        <f xml:space="preserve"> LEFT(Sng2String(Table1[[#This Row],[a gain]]), 6)</f>
        <v>3FB70A</v>
      </c>
      <c r="AQ95" s="2" t="str">
        <f>DEC2HEX(Table1[[#This Row],[a inv sp mx idx]], 1)</f>
        <v>F</v>
      </c>
      <c r="AR95" s="2" t="str">
        <f xml:space="preserve"> LEFT(Sng2String(Table1[[#This Row],[c bias]]), 6)</f>
        <v>3F6E14</v>
      </c>
      <c r="AS95" s="2" t="str">
        <f xml:space="preserve"> LEFT(Sng2String(Table1[[#This Row],[c gain]]), 6)</f>
        <v>3FF70A</v>
      </c>
      <c r="AT95" s="2" t="str">
        <f>DEC2HEX(Table1[[#This Row],[c inv sp mx idx]], 1)</f>
        <v>0</v>
      </c>
      <c r="AU95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00606EBB443F6E143FF70AD3FB70A3F770AE3FF70A3FB70AF3F6E143FF70A002</v>
      </c>
      <c r="AV95" s="2">
        <f>LEN(Table1[[#This Row],[DRAM data]])</f>
        <v>64</v>
      </c>
    </row>
    <row r="96" spans="1:48" x14ac:dyDescent="0.25">
      <c r="A96">
        <v>94</v>
      </c>
      <c r="B96">
        <f>Table1[[#This Row],[ZMW num]]+1</f>
        <v>95</v>
      </c>
      <c r="C96">
        <v>6</v>
      </c>
      <c r="D96">
        <f t="shared" si="1"/>
        <v>118</v>
      </c>
      <c r="E96">
        <v>189</v>
      </c>
      <c r="F96">
        <v>66</v>
      </c>
      <c r="G96">
        <v>0</v>
      </c>
      <c r="H96">
        <f>Table1[[#This Row],[ZMW num]]*0.01</f>
        <v>0.94000000000000006</v>
      </c>
      <c r="I96">
        <f>1+Table1[[#This Row],[t bias]]</f>
        <v>1.94</v>
      </c>
      <c r="J96">
        <f>Table1[[#This Row],[t kinetic trace]]* String2Single(CONCATENATE(LEFT(Single2String(Table1[[#This Row],[t gain]]), 6), "00")) + String2Single(CONCATENATE(LEFT(Single2String(Table1[[#This Row],[t bias]]), 6), "00"))</f>
        <v>0.9399871826171875</v>
      </c>
      <c r="K96" t="str">
        <f>Sng2String(Table1[[#This Row],[t ptrace]])</f>
        <v>3F70A300</v>
      </c>
      <c r="L96">
        <f>MOD(Table1[[#This Row],[ZMW num]], 2^4)</f>
        <v>14</v>
      </c>
      <c r="M96">
        <v>0</v>
      </c>
      <c r="N96">
        <f>Table1[[#This Row],[t bias]]+0.5</f>
        <v>1.44</v>
      </c>
      <c r="O96">
        <f>Table1[[#This Row],[t gain]]/2</f>
        <v>0.97</v>
      </c>
      <c r="P96">
        <f>Table1[[#This Row],[g kinetic trace]] * String2Single(CONCATENATE(LEFT(Single2String(Table1[[#This Row],[g gain]]), 6), "00")) + String2Single(CONCATENATE(LEFT(Single2String(Table1[[#This Row],[g bias]]), 6), "00"))</f>
        <v>1.439971923828125</v>
      </c>
      <c r="Q96" t="str">
        <f xml:space="preserve"> Sng2String(Table1[[#This Row],[g ptrace]])</f>
        <v>3FB85100</v>
      </c>
      <c r="R96">
        <f>MOD(Table1[[#This Row],[t inv sp mx idx]]+1, 2^4)</f>
        <v>15</v>
      </c>
      <c r="S96">
        <v>0</v>
      </c>
      <c r="T96">
        <f>Table1[[#This Row],[t bias]]+1</f>
        <v>1.94</v>
      </c>
      <c r="U96">
        <f>Table1[[#This Row],[t gain]]-0.5</f>
        <v>1.44</v>
      </c>
      <c r="V96">
        <f>Table1[[#This Row],[a kinetic trace]] * String2Single(CONCATENATE(LEFT(Single2String(Table1[[#This Row],[a gain]]), 6), "00")) + String2Single(CONCATENATE(LEFT(Single2String(Table1[[#This Row],[a bias]]), 6), "00"))</f>
        <v>1.939971923828125</v>
      </c>
      <c r="W96" t="str">
        <f xml:space="preserve"> Sng2String(Table1[[#This Row],[a ptrace]])</f>
        <v>3FF85100</v>
      </c>
      <c r="X96">
        <f>MOD(Table1[[#This Row],[t inv sp mx idx]]+2, 2^4)</f>
        <v>0</v>
      </c>
      <c r="Y96">
        <v>0</v>
      </c>
      <c r="Z96">
        <f>Table1[[#This Row],[t bias]]</f>
        <v>0.94000000000000006</v>
      </c>
      <c r="AA96">
        <f>Table1[[#This Row],[t gain]]</f>
        <v>1.94</v>
      </c>
      <c r="AB96">
        <f>Table1[[#This Row],[c kinetic trace]]* String2Single(CONCATENATE(LEFT(Single2String(Table1[[#This Row],[c gain]]), 6), "00")) + String2Single(CONCATENATE(LEFT(Single2String(Table1[[#This Row],[c bias]]), 6), "00"))</f>
        <v>0.9399871826171875</v>
      </c>
      <c r="AC96" t="str">
        <f xml:space="preserve"> Sng2String(Table1[[#This Row],[c ptrace]])</f>
        <v>3F70A300</v>
      </c>
      <c r="AD96">
        <f>MOD(Table1[[#This Row],[t inv sp mx idx]]+3, 2^4)</f>
        <v>1</v>
      </c>
      <c r="AE96" s="4" t="str">
        <f>DEC2HEX(Table1[[#This Row],[row]], 3)</f>
        <v>006</v>
      </c>
      <c r="AF96" s="2" t="str">
        <f>DEC2HEX(Table1[[#This Row],[col]], 3)</f>
        <v>076</v>
      </c>
      <c r="AG96" s="2" t="str">
        <f>DEC2HEX(Table1[[#This Row],[grn fsp idx]], 2)</f>
        <v>BD</v>
      </c>
      <c r="AH96" s="2" t="str">
        <f>DEC2HEX(Table1[[#This Row],[red fsp idx]], 2)</f>
        <v>42</v>
      </c>
      <c r="AI96" s="2" t="str">
        <f xml:space="preserve"> LEFT(Sng2String(Table1[[#This Row],[t bias]]), 6)</f>
        <v>3F70A3</v>
      </c>
      <c r="AJ96" s="2" t="str">
        <f xml:space="preserve"> LEFT(Sng2String(Table1[[#This Row],[t gain]]), 6)</f>
        <v>3FF851</v>
      </c>
      <c r="AK96" s="2" t="str">
        <f>DEC2HEX(Table1[[#This Row],[t inv sp mx idx]], 1)</f>
        <v>E</v>
      </c>
      <c r="AL96" s="2" t="str">
        <f xml:space="preserve"> LEFT(Sng2String(Table1[[#This Row],[g bias]]), 6)</f>
        <v>3FB851</v>
      </c>
      <c r="AM96" s="2" t="str">
        <f xml:space="preserve"> LEFT(Sng2String(Table1[[#This Row],[g gain]]), 6)</f>
        <v>3F7851</v>
      </c>
      <c r="AN96" s="2" t="str">
        <f>DEC2HEX(Table1[[#This Row],[g inv sp mx idx]], 1)</f>
        <v>F</v>
      </c>
      <c r="AO96" s="2" t="str">
        <f xml:space="preserve"> LEFT(Sng2String(Table1[[#This Row],[a bias]]), 6)</f>
        <v>3FF851</v>
      </c>
      <c r="AP96" s="2" t="str">
        <f xml:space="preserve"> LEFT(Sng2String(Table1[[#This Row],[a gain]]), 6)</f>
        <v>3FB851</v>
      </c>
      <c r="AQ96" s="2" t="str">
        <f>DEC2HEX(Table1[[#This Row],[a inv sp mx idx]], 1)</f>
        <v>0</v>
      </c>
      <c r="AR96" s="2" t="str">
        <f xml:space="preserve"> LEFT(Sng2String(Table1[[#This Row],[c bias]]), 6)</f>
        <v>3F70A3</v>
      </c>
      <c r="AS96" s="2" t="str">
        <f xml:space="preserve"> LEFT(Sng2String(Table1[[#This Row],[c gain]]), 6)</f>
        <v>3FF851</v>
      </c>
      <c r="AT96" s="2" t="str">
        <f>DEC2HEX(Table1[[#This Row],[c inv sp mx idx]], 1)</f>
        <v>1</v>
      </c>
      <c r="AU96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006076BD423F70A33FF851E3FB8513F7851F3FF8513FB85103F70A33FF851102</v>
      </c>
      <c r="AV96" s="2">
        <f>LEN(Table1[[#This Row],[DRAM data]])</f>
        <v>64</v>
      </c>
    </row>
    <row r="97" spans="1:48" x14ac:dyDescent="0.25">
      <c r="A97">
        <v>95</v>
      </c>
      <c r="B97">
        <f>Table1[[#This Row],[ZMW num]]+1</f>
        <v>96</v>
      </c>
      <c r="C97">
        <v>6</v>
      </c>
      <c r="D97">
        <f t="shared" si="1"/>
        <v>124</v>
      </c>
      <c r="E97">
        <v>191</v>
      </c>
      <c r="F97">
        <v>64</v>
      </c>
      <c r="G97">
        <v>0</v>
      </c>
      <c r="H97">
        <f>Table1[[#This Row],[ZMW num]]*0.01</f>
        <v>0.95000000000000007</v>
      </c>
      <c r="I97">
        <f>1+Table1[[#This Row],[t bias]]</f>
        <v>1.9500000000000002</v>
      </c>
      <c r="J97">
        <f>Table1[[#This Row],[t kinetic trace]]* String2Single(CONCATENATE(LEFT(Single2String(Table1[[#This Row],[t gain]]), 6), "00")) + String2Single(CONCATENATE(LEFT(Single2String(Table1[[#This Row],[t bias]]), 6), "00"))</f>
        <v>0.9499969482421875</v>
      </c>
      <c r="K97" t="str">
        <f>Sng2String(Table1[[#This Row],[t ptrace]])</f>
        <v>3F733300</v>
      </c>
      <c r="L97">
        <f>MOD(Table1[[#This Row],[ZMW num]], 2^4)</f>
        <v>15</v>
      </c>
      <c r="M97">
        <v>0</v>
      </c>
      <c r="N97">
        <f>Table1[[#This Row],[t bias]]+0.5</f>
        <v>1.4500000000000002</v>
      </c>
      <c r="O97">
        <f>Table1[[#This Row],[t gain]]/2</f>
        <v>0.97500000000000009</v>
      </c>
      <c r="P97">
        <f>Table1[[#This Row],[g kinetic trace]] * String2Single(CONCATENATE(LEFT(Single2String(Table1[[#This Row],[g gain]]), 6), "00")) + String2Single(CONCATENATE(LEFT(Single2String(Table1[[#This Row],[g bias]]), 6), "00"))</f>
        <v>1.449981689453125</v>
      </c>
      <c r="Q97" t="str">
        <f xml:space="preserve"> Sng2String(Table1[[#This Row],[g ptrace]])</f>
        <v>3FB99900</v>
      </c>
      <c r="R97">
        <f>MOD(Table1[[#This Row],[t inv sp mx idx]]+1, 2^4)</f>
        <v>0</v>
      </c>
      <c r="S97">
        <v>0</v>
      </c>
      <c r="T97">
        <f>Table1[[#This Row],[t bias]]+1</f>
        <v>1.9500000000000002</v>
      </c>
      <c r="U97">
        <f>Table1[[#This Row],[t gain]]-0.5</f>
        <v>1.4500000000000002</v>
      </c>
      <c r="V97">
        <f>Table1[[#This Row],[a kinetic trace]] * String2Single(CONCATENATE(LEFT(Single2String(Table1[[#This Row],[a gain]]), 6), "00")) + String2Single(CONCATENATE(LEFT(Single2String(Table1[[#This Row],[a bias]]), 6), "00"))</f>
        <v>1.949981689453125</v>
      </c>
      <c r="W97" t="str">
        <f xml:space="preserve"> Sng2String(Table1[[#This Row],[a ptrace]])</f>
        <v>3FF99900</v>
      </c>
      <c r="X97">
        <f>MOD(Table1[[#This Row],[t inv sp mx idx]]+2, 2^4)</f>
        <v>1</v>
      </c>
      <c r="Y97">
        <v>0</v>
      </c>
      <c r="Z97">
        <f>Table1[[#This Row],[t bias]]</f>
        <v>0.95000000000000007</v>
      </c>
      <c r="AA97">
        <f>Table1[[#This Row],[t gain]]</f>
        <v>1.9500000000000002</v>
      </c>
      <c r="AB97">
        <f>Table1[[#This Row],[c kinetic trace]]* String2Single(CONCATENATE(LEFT(Single2String(Table1[[#This Row],[c gain]]), 6), "00")) + String2Single(CONCATENATE(LEFT(Single2String(Table1[[#This Row],[c bias]]), 6), "00"))</f>
        <v>0.9499969482421875</v>
      </c>
      <c r="AC97" t="str">
        <f xml:space="preserve"> Sng2String(Table1[[#This Row],[c ptrace]])</f>
        <v>3F733300</v>
      </c>
      <c r="AD97">
        <f>MOD(Table1[[#This Row],[t inv sp mx idx]]+3, 2^4)</f>
        <v>2</v>
      </c>
      <c r="AE97" s="4" t="str">
        <f>DEC2HEX(Table1[[#This Row],[row]], 3)</f>
        <v>006</v>
      </c>
      <c r="AF97" s="2" t="str">
        <f>DEC2HEX(Table1[[#This Row],[col]], 3)</f>
        <v>07C</v>
      </c>
      <c r="AG97" s="2" t="str">
        <f>DEC2HEX(Table1[[#This Row],[grn fsp idx]], 2)</f>
        <v>BF</v>
      </c>
      <c r="AH97" s="2" t="str">
        <f>DEC2HEX(Table1[[#This Row],[red fsp idx]], 2)</f>
        <v>40</v>
      </c>
      <c r="AI97" s="2" t="str">
        <f xml:space="preserve"> LEFT(Sng2String(Table1[[#This Row],[t bias]]), 6)</f>
        <v>3F7333</v>
      </c>
      <c r="AJ97" s="2" t="str">
        <f xml:space="preserve"> LEFT(Sng2String(Table1[[#This Row],[t gain]]), 6)</f>
        <v>3FF999</v>
      </c>
      <c r="AK97" s="2" t="str">
        <f>DEC2HEX(Table1[[#This Row],[t inv sp mx idx]], 1)</f>
        <v>F</v>
      </c>
      <c r="AL97" s="2" t="str">
        <f xml:space="preserve"> LEFT(Sng2String(Table1[[#This Row],[g bias]]), 6)</f>
        <v>3FB999</v>
      </c>
      <c r="AM97" s="2" t="str">
        <f xml:space="preserve"> LEFT(Sng2String(Table1[[#This Row],[g gain]]), 6)</f>
        <v>3F7999</v>
      </c>
      <c r="AN97" s="2" t="str">
        <f>DEC2HEX(Table1[[#This Row],[g inv sp mx idx]], 1)</f>
        <v>0</v>
      </c>
      <c r="AO97" s="2" t="str">
        <f xml:space="preserve"> LEFT(Sng2String(Table1[[#This Row],[a bias]]), 6)</f>
        <v>3FF999</v>
      </c>
      <c r="AP97" s="2" t="str">
        <f xml:space="preserve"> LEFT(Sng2String(Table1[[#This Row],[a gain]]), 6)</f>
        <v>3FB999</v>
      </c>
      <c r="AQ97" s="2" t="str">
        <f>DEC2HEX(Table1[[#This Row],[a inv sp mx idx]], 1)</f>
        <v>1</v>
      </c>
      <c r="AR97" s="2" t="str">
        <f xml:space="preserve"> LEFT(Sng2String(Table1[[#This Row],[c bias]]), 6)</f>
        <v>3F7333</v>
      </c>
      <c r="AS97" s="2" t="str">
        <f xml:space="preserve"> LEFT(Sng2String(Table1[[#This Row],[c gain]]), 6)</f>
        <v>3FF999</v>
      </c>
      <c r="AT97" s="2" t="str">
        <f>DEC2HEX(Table1[[#This Row],[c inv sp mx idx]], 1)</f>
        <v>2</v>
      </c>
      <c r="AU97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00607CBF403F73333FF999F3FB9993F799903FF9993FB99913F73333FF999202</v>
      </c>
      <c r="AV97" s="2">
        <f>LEN(Table1[[#This Row],[DRAM data]])</f>
        <v>64</v>
      </c>
    </row>
    <row r="98" spans="1:48" x14ac:dyDescent="0.25">
      <c r="A98">
        <v>96</v>
      </c>
      <c r="B98">
        <f>Table1[[#This Row],[ZMW num]]+1</f>
        <v>97</v>
      </c>
      <c r="C98">
        <v>9</v>
      </c>
      <c r="D98">
        <f>D66</f>
        <v>3</v>
      </c>
      <c r="E98">
        <v>193</v>
      </c>
      <c r="F98">
        <v>62</v>
      </c>
      <c r="G98">
        <v>0</v>
      </c>
      <c r="H98">
        <f>Table1[[#This Row],[ZMW num]]*0.01</f>
        <v>0.96</v>
      </c>
      <c r="I98">
        <f>1+Table1[[#This Row],[t bias]]</f>
        <v>1.96</v>
      </c>
      <c r="J98">
        <f>Table1[[#This Row],[t kinetic trace]]* String2Single(CONCATENATE(LEFT(Single2String(Table1[[#This Row],[t gain]]), 6), "00")) + String2Single(CONCATENATE(LEFT(Single2String(Table1[[#This Row],[t bias]]), 6), "00"))</f>
        <v>0.959991455078125</v>
      </c>
      <c r="K98" t="str">
        <f>Sng2String(Table1[[#This Row],[t ptrace]])</f>
        <v>3F75C200</v>
      </c>
      <c r="L98">
        <f>MOD(Table1[[#This Row],[ZMW num]], 2^4)</f>
        <v>0</v>
      </c>
      <c r="M98">
        <v>0</v>
      </c>
      <c r="N98">
        <f>Table1[[#This Row],[t bias]]+0.5</f>
        <v>1.46</v>
      </c>
      <c r="O98">
        <f>Table1[[#This Row],[t gain]]/2</f>
        <v>0.98</v>
      </c>
      <c r="P98">
        <f>Table1[[#This Row],[g kinetic trace]] * String2Single(CONCATENATE(LEFT(Single2String(Table1[[#This Row],[g gain]]), 6), "00")) + String2Single(CONCATENATE(LEFT(Single2String(Table1[[#This Row],[g bias]]), 6), "00"))</f>
        <v>1.459991455078125</v>
      </c>
      <c r="Q98" t="str">
        <f xml:space="preserve"> Sng2String(Table1[[#This Row],[g ptrace]])</f>
        <v>3FBAE100</v>
      </c>
      <c r="R98">
        <f>MOD(Table1[[#This Row],[t inv sp mx idx]]+1, 2^4)</f>
        <v>1</v>
      </c>
      <c r="S98">
        <v>0</v>
      </c>
      <c r="T98">
        <f>Table1[[#This Row],[t bias]]+1</f>
        <v>1.96</v>
      </c>
      <c r="U98">
        <f>Table1[[#This Row],[t gain]]-0.5</f>
        <v>1.46</v>
      </c>
      <c r="V98">
        <f>Table1[[#This Row],[a kinetic trace]] * String2Single(CONCATENATE(LEFT(Single2String(Table1[[#This Row],[a gain]]), 6), "00")) + String2Single(CONCATENATE(LEFT(Single2String(Table1[[#This Row],[a bias]]), 6), "00"))</f>
        <v>1.959991455078125</v>
      </c>
      <c r="W98" t="str">
        <f xml:space="preserve"> Sng2String(Table1[[#This Row],[a ptrace]])</f>
        <v>3FFAE100</v>
      </c>
      <c r="X98">
        <f>MOD(Table1[[#This Row],[t inv sp mx idx]]+2, 2^4)</f>
        <v>2</v>
      </c>
      <c r="Y98">
        <v>0</v>
      </c>
      <c r="Z98">
        <f>Table1[[#This Row],[t bias]]</f>
        <v>0.96</v>
      </c>
      <c r="AA98">
        <f>Table1[[#This Row],[t gain]]</f>
        <v>1.96</v>
      </c>
      <c r="AB98">
        <f>Table1[[#This Row],[c kinetic trace]]* String2Single(CONCATENATE(LEFT(Single2String(Table1[[#This Row],[c gain]]), 6), "00")) + String2Single(CONCATENATE(LEFT(Single2String(Table1[[#This Row],[c bias]]), 6), "00"))</f>
        <v>0.959991455078125</v>
      </c>
      <c r="AC98" t="str">
        <f xml:space="preserve"> Sng2String(Table1[[#This Row],[c ptrace]])</f>
        <v>3F75C200</v>
      </c>
      <c r="AD98">
        <f>MOD(Table1[[#This Row],[t inv sp mx idx]]+3, 2^4)</f>
        <v>3</v>
      </c>
      <c r="AE98" s="4" t="str">
        <f>DEC2HEX(Table1[[#This Row],[row]], 3)</f>
        <v>009</v>
      </c>
      <c r="AF98" s="2" t="str">
        <f>DEC2HEX(Table1[[#This Row],[col]], 3)</f>
        <v>003</v>
      </c>
      <c r="AG98" s="2" t="str">
        <f>DEC2HEX(Table1[[#This Row],[grn fsp idx]], 2)</f>
        <v>C1</v>
      </c>
      <c r="AH98" s="2" t="str">
        <f>DEC2HEX(Table1[[#This Row],[red fsp idx]], 2)</f>
        <v>3E</v>
      </c>
      <c r="AI98" s="2" t="str">
        <f xml:space="preserve"> LEFT(Sng2String(Table1[[#This Row],[t bias]]), 6)</f>
        <v>3F75C2</v>
      </c>
      <c r="AJ98" s="2" t="str">
        <f xml:space="preserve"> LEFT(Sng2String(Table1[[#This Row],[t gain]]), 6)</f>
        <v>3FFAE1</v>
      </c>
      <c r="AK98" s="2" t="str">
        <f>DEC2HEX(Table1[[#This Row],[t inv sp mx idx]], 1)</f>
        <v>0</v>
      </c>
      <c r="AL98" s="2" t="str">
        <f xml:space="preserve"> LEFT(Sng2String(Table1[[#This Row],[g bias]]), 6)</f>
        <v>3FBAE1</v>
      </c>
      <c r="AM98" s="2" t="str">
        <f xml:space="preserve"> LEFT(Sng2String(Table1[[#This Row],[g gain]]), 6)</f>
        <v>3F7AE1</v>
      </c>
      <c r="AN98" s="2" t="str">
        <f>DEC2HEX(Table1[[#This Row],[g inv sp mx idx]], 1)</f>
        <v>1</v>
      </c>
      <c r="AO98" s="2" t="str">
        <f xml:space="preserve"> LEFT(Sng2String(Table1[[#This Row],[a bias]]), 6)</f>
        <v>3FFAE1</v>
      </c>
      <c r="AP98" s="2" t="str">
        <f xml:space="preserve"> LEFT(Sng2String(Table1[[#This Row],[a gain]]), 6)</f>
        <v>3FBAE1</v>
      </c>
      <c r="AQ98" s="2" t="str">
        <f>DEC2HEX(Table1[[#This Row],[a inv sp mx idx]], 1)</f>
        <v>2</v>
      </c>
      <c r="AR98" s="2" t="str">
        <f xml:space="preserve"> LEFT(Sng2String(Table1[[#This Row],[c bias]]), 6)</f>
        <v>3F75C2</v>
      </c>
      <c r="AS98" s="2" t="str">
        <f xml:space="preserve"> LEFT(Sng2String(Table1[[#This Row],[c gain]]), 6)</f>
        <v>3FFAE1</v>
      </c>
      <c r="AT98" s="2" t="str">
        <f>DEC2HEX(Table1[[#This Row],[c inv sp mx idx]], 1)</f>
        <v>3</v>
      </c>
      <c r="AU98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009003C13E3F75C23FFAE103FBAE13F7AE113FFAE13FBAE123F75C23FFAE1302</v>
      </c>
      <c r="AV98" s="2">
        <f>LEN(Table1[[#This Row],[DRAM data]])</f>
        <v>64</v>
      </c>
    </row>
    <row r="99" spans="1:48" x14ac:dyDescent="0.25">
      <c r="A99">
        <v>97</v>
      </c>
      <c r="B99">
        <f>Table1[[#This Row],[ZMW num]]+1</f>
        <v>98</v>
      </c>
      <c r="C99">
        <v>9</v>
      </c>
      <c r="D99">
        <f t="shared" ref="D99:D129" si="2">D67</f>
        <v>5</v>
      </c>
      <c r="E99">
        <v>195</v>
      </c>
      <c r="F99">
        <v>60</v>
      </c>
      <c r="G99">
        <v>0</v>
      </c>
      <c r="H99">
        <f>Table1[[#This Row],[ZMW num]]*0.01</f>
        <v>0.97</v>
      </c>
      <c r="I99">
        <f>1+Table1[[#This Row],[t bias]]</f>
        <v>1.97</v>
      </c>
      <c r="J99">
        <f>Table1[[#This Row],[t kinetic trace]]* String2Single(CONCATENATE(LEFT(Single2String(Table1[[#This Row],[t gain]]), 6), "00")) + String2Single(CONCATENATE(LEFT(Single2String(Table1[[#This Row],[t bias]]), 6), "00"))</f>
        <v>0.9699859619140625</v>
      </c>
      <c r="K99" t="str">
        <f>Sng2String(Table1[[#This Row],[t ptrace]])</f>
        <v>3F785100</v>
      </c>
      <c r="L99">
        <f>MOD(Table1[[#This Row],[ZMW num]], 2^4)</f>
        <v>1</v>
      </c>
      <c r="M99">
        <v>0</v>
      </c>
      <c r="N99">
        <f>Table1[[#This Row],[t bias]]+0.5</f>
        <v>1.47</v>
      </c>
      <c r="O99">
        <f>Table1[[#This Row],[t gain]]/2</f>
        <v>0.98499999999999999</v>
      </c>
      <c r="P99">
        <f>Table1[[#This Row],[g kinetic trace]] * String2Single(CONCATENATE(LEFT(Single2String(Table1[[#This Row],[g gain]]), 6), "00")) + String2Single(CONCATENATE(LEFT(Single2String(Table1[[#This Row],[g bias]]), 6), "00"))</f>
        <v>1.469970703125</v>
      </c>
      <c r="Q99" t="str">
        <f xml:space="preserve"> Sng2String(Table1[[#This Row],[g ptrace]])</f>
        <v>3FBC2800</v>
      </c>
      <c r="R99">
        <f>MOD(Table1[[#This Row],[t inv sp mx idx]]+1, 2^4)</f>
        <v>2</v>
      </c>
      <c r="S99">
        <v>0</v>
      </c>
      <c r="T99">
        <f>Table1[[#This Row],[t bias]]+1</f>
        <v>1.97</v>
      </c>
      <c r="U99">
        <f>Table1[[#This Row],[t gain]]-0.5</f>
        <v>1.47</v>
      </c>
      <c r="V99">
        <f>Table1[[#This Row],[a kinetic trace]] * String2Single(CONCATENATE(LEFT(Single2String(Table1[[#This Row],[a gain]]), 6), "00")) + String2Single(CONCATENATE(LEFT(Single2String(Table1[[#This Row],[a bias]]), 6), "00"))</f>
        <v>1.969970703125</v>
      </c>
      <c r="W99" t="str">
        <f xml:space="preserve"> Sng2String(Table1[[#This Row],[a ptrace]])</f>
        <v>3FFC2800</v>
      </c>
      <c r="X99">
        <f>MOD(Table1[[#This Row],[t inv sp mx idx]]+2, 2^4)</f>
        <v>3</v>
      </c>
      <c r="Y99">
        <v>0</v>
      </c>
      <c r="Z99">
        <f>Table1[[#This Row],[t bias]]</f>
        <v>0.97</v>
      </c>
      <c r="AA99">
        <f>Table1[[#This Row],[t gain]]</f>
        <v>1.97</v>
      </c>
      <c r="AB99">
        <f>Table1[[#This Row],[c kinetic trace]]* String2Single(CONCATENATE(LEFT(Single2String(Table1[[#This Row],[c gain]]), 6), "00")) + String2Single(CONCATENATE(LEFT(Single2String(Table1[[#This Row],[c bias]]), 6), "00"))</f>
        <v>0.9699859619140625</v>
      </c>
      <c r="AC99" t="str">
        <f xml:space="preserve"> Sng2String(Table1[[#This Row],[c ptrace]])</f>
        <v>3F785100</v>
      </c>
      <c r="AD99">
        <f>MOD(Table1[[#This Row],[t inv sp mx idx]]+3, 2^4)</f>
        <v>4</v>
      </c>
      <c r="AE99" s="4" t="str">
        <f>DEC2HEX(Table1[[#This Row],[row]], 3)</f>
        <v>009</v>
      </c>
      <c r="AF99" s="2" t="str">
        <f>DEC2HEX(Table1[[#This Row],[col]], 3)</f>
        <v>005</v>
      </c>
      <c r="AG99" s="2" t="str">
        <f>DEC2HEX(Table1[[#This Row],[grn fsp idx]], 2)</f>
        <v>C3</v>
      </c>
      <c r="AH99" s="2" t="str">
        <f>DEC2HEX(Table1[[#This Row],[red fsp idx]], 2)</f>
        <v>3C</v>
      </c>
      <c r="AI99" s="2" t="str">
        <f xml:space="preserve"> LEFT(Sng2String(Table1[[#This Row],[t bias]]), 6)</f>
        <v>3F7851</v>
      </c>
      <c r="AJ99" s="2" t="str">
        <f xml:space="preserve"> LEFT(Sng2String(Table1[[#This Row],[t gain]]), 6)</f>
        <v>3FFC28</v>
      </c>
      <c r="AK99" s="2" t="str">
        <f>DEC2HEX(Table1[[#This Row],[t inv sp mx idx]], 1)</f>
        <v>1</v>
      </c>
      <c r="AL99" s="2" t="str">
        <f xml:space="preserve"> LEFT(Sng2String(Table1[[#This Row],[g bias]]), 6)</f>
        <v>3FBC28</v>
      </c>
      <c r="AM99" s="2" t="str">
        <f xml:space="preserve"> LEFT(Sng2String(Table1[[#This Row],[g gain]]), 6)</f>
        <v>3F7C28</v>
      </c>
      <c r="AN99" s="2" t="str">
        <f>DEC2HEX(Table1[[#This Row],[g inv sp mx idx]], 1)</f>
        <v>2</v>
      </c>
      <c r="AO99" s="2" t="str">
        <f xml:space="preserve"> LEFT(Sng2String(Table1[[#This Row],[a bias]]), 6)</f>
        <v>3FFC28</v>
      </c>
      <c r="AP99" s="2" t="str">
        <f xml:space="preserve"> LEFT(Sng2String(Table1[[#This Row],[a gain]]), 6)</f>
        <v>3FBC28</v>
      </c>
      <c r="AQ99" s="2" t="str">
        <f>DEC2HEX(Table1[[#This Row],[a inv sp mx idx]], 1)</f>
        <v>3</v>
      </c>
      <c r="AR99" s="2" t="str">
        <f xml:space="preserve"> LEFT(Sng2String(Table1[[#This Row],[c bias]]), 6)</f>
        <v>3F7851</v>
      </c>
      <c r="AS99" s="2" t="str">
        <f xml:space="preserve"> LEFT(Sng2String(Table1[[#This Row],[c gain]]), 6)</f>
        <v>3FFC28</v>
      </c>
      <c r="AT99" s="2" t="str">
        <f>DEC2HEX(Table1[[#This Row],[c inv sp mx idx]], 1)</f>
        <v>4</v>
      </c>
      <c r="AU99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009005C33C3F78513FFC2813FBC283F7C2823FFC283FBC2833F78513FFC28402</v>
      </c>
      <c r="AV99" s="2">
        <f>LEN(Table1[[#This Row],[DRAM data]])</f>
        <v>64</v>
      </c>
    </row>
    <row r="100" spans="1:48" x14ac:dyDescent="0.25">
      <c r="A100">
        <v>98</v>
      </c>
      <c r="B100">
        <f>Table1[[#This Row],[ZMW num]]+1</f>
        <v>99</v>
      </c>
      <c r="C100">
        <v>9</v>
      </c>
      <c r="D100">
        <f t="shared" si="2"/>
        <v>8</v>
      </c>
      <c r="E100">
        <v>197</v>
      </c>
      <c r="F100">
        <v>58</v>
      </c>
      <c r="G100">
        <v>0</v>
      </c>
      <c r="H100">
        <f>Table1[[#This Row],[ZMW num]]*0.01</f>
        <v>0.98</v>
      </c>
      <c r="I100">
        <f>1+Table1[[#This Row],[t bias]]</f>
        <v>1.98</v>
      </c>
      <c r="J100">
        <f>Table1[[#This Row],[t kinetic trace]]* String2Single(CONCATENATE(LEFT(Single2String(Table1[[#This Row],[t gain]]), 6), "00")) + String2Single(CONCATENATE(LEFT(Single2String(Table1[[#This Row],[t bias]]), 6), "00"))</f>
        <v>0.9799957275390625</v>
      </c>
      <c r="K100" t="str">
        <f>Sng2String(Table1[[#This Row],[t ptrace]])</f>
        <v>3F7AE100</v>
      </c>
      <c r="L100">
        <f>MOD(Table1[[#This Row],[ZMW num]], 2^4)</f>
        <v>2</v>
      </c>
      <c r="M100">
        <v>0</v>
      </c>
      <c r="N100">
        <f>Table1[[#This Row],[t bias]]+0.5</f>
        <v>1.48</v>
      </c>
      <c r="O100">
        <f>Table1[[#This Row],[t gain]]/2</f>
        <v>0.99</v>
      </c>
      <c r="P100">
        <f>Table1[[#This Row],[g kinetic trace]] * String2Single(CONCATENATE(LEFT(Single2String(Table1[[#This Row],[g gain]]), 6), "00")) + String2Single(CONCATENATE(LEFT(Single2String(Table1[[#This Row],[g bias]]), 6), "00"))</f>
        <v>1.47998046875</v>
      </c>
      <c r="Q100" t="str">
        <f xml:space="preserve"> Sng2String(Table1[[#This Row],[g ptrace]])</f>
        <v>3FBD7000</v>
      </c>
      <c r="R100">
        <f>MOD(Table1[[#This Row],[t inv sp mx idx]]+1, 2^4)</f>
        <v>3</v>
      </c>
      <c r="S100">
        <v>0</v>
      </c>
      <c r="T100">
        <f>Table1[[#This Row],[t bias]]+1</f>
        <v>1.98</v>
      </c>
      <c r="U100">
        <f>Table1[[#This Row],[t gain]]-0.5</f>
        <v>1.48</v>
      </c>
      <c r="V100">
        <f>Table1[[#This Row],[a kinetic trace]] * String2Single(CONCATENATE(LEFT(Single2String(Table1[[#This Row],[a gain]]), 6), "00")) + String2Single(CONCATENATE(LEFT(Single2String(Table1[[#This Row],[a bias]]), 6), "00"))</f>
        <v>1.97998046875</v>
      </c>
      <c r="W100" t="str">
        <f xml:space="preserve"> Sng2String(Table1[[#This Row],[a ptrace]])</f>
        <v>3FFD7000</v>
      </c>
      <c r="X100">
        <f>MOD(Table1[[#This Row],[t inv sp mx idx]]+2, 2^4)</f>
        <v>4</v>
      </c>
      <c r="Y100">
        <v>0</v>
      </c>
      <c r="Z100">
        <f>Table1[[#This Row],[t bias]]</f>
        <v>0.98</v>
      </c>
      <c r="AA100">
        <f>Table1[[#This Row],[t gain]]</f>
        <v>1.98</v>
      </c>
      <c r="AB100">
        <f>Table1[[#This Row],[c kinetic trace]]* String2Single(CONCATENATE(LEFT(Single2String(Table1[[#This Row],[c gain]]), 6), "00")) + String2Single(CONCATENATE(LEFT(Single2String(Table1[[#This Row],[c bias]]), 6), "00"))</f>
        <v>0.9799957275390625</v>
      </c>
      <c r="AC100" t="str">
        <f xml:space="preserve"> Sng2String(Table1[[#This Row],[c ptrace]])</f>
        <v>3F7AE100</v>
      </c>
      <c r="AD100">
        <f>MOD(Table1[[#This Row],[t inv sp mx idx]]+3, 2^4)</f>
        <v>5</v>
      </c>
      <c r="AE100" s="4" t="str">
        <f>DEC2HEX(Table1[[#This Row],[row]], 3)</f>
        <v>009</v>
      </c>
      <c r="AF100" s="2" t="str">
        <f>DEC2HEX(Table1[[#This Row],[col]], 3)</f>
        <v>008</v>
      </c>
      <c r="AG100" s="2" t="str">
        <f>DEC2HEX(Table1[[#This Row],[grn fsp idx]], 2)</f>
        <v>C5</v>
      </c>
      <c r="AH100" s="2" t="str">
        <f>DEC2HEX(Table1[[#This Row],[red fsp idx]], 2)</f>
        <v>3A</v>
      </c>
      <c r="AI100" s="2" t="str">
        <f xml:space="preserve"> LEFT(Sng2String(Table1[[#This Row],[t bias]]), 6)</f>
        <v>3F7AE1</v>
      </c>
      <c r="AJ100" s="2" t="str">
        <f xml:space="preserve"> LEFT(Sng2String(Table1[[#This Row],[t gain]]), 6)</f>
        <v>3FFD70</v>
      </c>
      <c r="AK100" s="2" t="str">
        <f>DEC2HEX(Table1[[#This Row],[t inv sp mx idx]], 1)</f>
        <v>2</v>
      </c>
      <c r="AL100" s="2" t="str">
        <f xml:space="preserve"> LEFT(Sng2String(Table1[[#This Row],[g bias]]), 6)</f>
        <v>3FBD70</v>
      </c>
      <c r="AM100" s="2" t="str">
        <f xml:space="preserve"> LEFT(Sng2String(Table1[[#This Row],[g gain]]), 6)</f>
        <v>3F7D70</v>
      </c>
      <c r="AN100" s="2" t="str">
        <f>DEC2HEX(Table1[[#This Row],[g inv sp mx idx]], 1)</f>
        <v>3</v>
      </c>
      <c r="AO100" s="2" t="str">
        <f xml:space="preserve"> LEFT(Sng2String(Table1[[#This Row],[a bias]]), 6)</f>
        <v>3FFD70</v>
      </c>
      <c r="AP100" s="2" t="str">
        <f xml:space="preserve"> LEFT(Sng2String(Table1[[#This Row],[a gain]]), 6)</f>
        <v>3FBD70</v>
      </c>
      <c r="AQ100" s="2" t="str">
        <f>DEC2HEX(Table1[[#This Row],[a inv sp mx idx]], 1)</f>
        <v>4</v>
      </c>
      <c r="AR100" s="2" t="str">
        <f xml:space="preserve"> LEFT(Sng2String(Table1[[#This Row],[c bias]]), 6)</f>
        <v>3F7AE1</v>
      </c>
      <c r="AS100" s="2" t="str">
        <f xml:space="preserve"> LEFT(Sng2String(Table1[[#This Row],[c gain]]), 6)</f>
        <v>3FFD70</v>
      </c>
      <c r="AT100" s="2" t="str">
        <f>DEC2HEX(Table1[[#This Row],[c inv sp mx idx]], 1)</f>
        <v>5</v>
      </c>
      <c r="AU100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009008C53A3F7AE13FFD7023FBD703F7D7033FFD703FBD7043F7AE13FFD70502</v>
      </c>
      <c r="AV100" s="2">
        <f>LEN(Table1[[#This Row],[DRAM data]])</f>
        <v>64</v>
      </c>
    </row>
    <row r="101" spans="1:48" x14ac:dyDescent="0.25">
      <c r="A101">
        <v>99</v>
      </c>
      <c r="B101">
        <f>Table1[[#This Row],[ZMW num]]+1</f>
        <v>100</v>
      </c>
      <c r="C101">
        <v>9</v>
      </c>
      <c r="D101">
        <f t="shared" si="2"/>
        <v>10</v>
      </c>
      <c r="E101">
        <v>199</v>
      </c>
      <c r="F101">
        <v>56</v>
      </c>
      <c r="G101">
        <v>0</v>
      </c>
      <c r="H101">
        <f>Table1[[#This Row],[ZMW num]]*0.01</f>
        <v>0.99</v>
      </c>
      <c r="I101">
        <f>1+Table1[[#This Row],[t bias]]</f>
        <v>1.99</v>
      </c>
      <c r="J101">
        <f>Table1[[#This Row],[t kinetic trace]]* String2Single(CONCATENATE(LEFT(Single2String(Table1[[#This Row],[t gain]]), 6), "00")) + String2Single(CONCATENATE(LEFT(Single2String(Table1[[#This Row],[t bias]]), 6), "00"))</f>
        <v>0.989990234375</v>
      </c>
      <c r="K101" t="str">
        <f>Sng2String(Table1[[#This Row],[t ptrace]])</f>
        <v>3F7D7000</v>
      </c>
      <c r="L101">
        <f>MOD(Table1[[#This Row],[ZMW num]], 2^4)</f>
        <v>3</v>
      </c>
      <c r="M101">
        <v>0</v>
      </c>
      <c r="N101">
        <f>Table1[[#This Row],[t bias]]+0.5</f>
        <v>1.49</v>
      </c>
      <c r="O101">
        <f>Table1[[#This Row],[t gain]]/2</f>
        <v>0.995</v>
      </c>
      <c r="P101">
        <f>Table1[[#This Row],[g kinetic trace]] * String2Single(CONCATENATE(LEFT(Single2String(Table1[[#This Row],[g gain]]), 6), "00")) + String2Single(CONCATENATE(LEFT(Single2String(Table1[[#This Row],[g bias]]), 6), "00"))</f>
        <v>1.489990234375</v>
      </c>
      <c r="Q101" t="str">
        <f xml:space="preserve"> Sng2String(Table1[[#This Row],[g ptrace]])</f>
        <v>3FBEB800</v>
      </c>
      <c r="R101">
        <f>MOD(Table1[[#This Row],[t inv sp mx idx]]+1, 2^4)</f>
        <v>4</v>
      </c>
      <c r="S101">
        <v>0</v>
      </c>
      <c r="T101">
        <f>Table1[[#This Row],[t bias]]+1</f>
        <v>1.99</v>
      </c>
      <c r="U101">
        <f>Table1[[#This Row],[t gain]]-0.5</f>
        <v>1.49</v>
      </c>
      <c r="V101">
        <f>Table1[[#This Row],[a kinetic trace]] * String2Single(CONCATENATE(LEFT(Single2String(Table1[[#This Row],[a gain]]), 6), "00")) + String2Single(CONCATENATE(LEFT(Single2String(Table1[[#This Row],[a bias]]), 6), "00"))</f>
        <v>1.989990234375</v>
      </c>
      <c r="W101" t="str">
        <f xml:space="preserve"> Sng2String(Table1[[#This Row],[a ptrace]])</f>
        <v>3FFEB800</v>
      </c>
      <c r="X101">
        <f>MOD(Table1[[#This Row],[t inv sp mx idx]]+2, 2^4)</f>
        <v>5</v>
      </c>
      <c r="Y101">
        <v>0</v>
      </c>
      <c r="Z101">
        <f>Table1[[#This Row],[t bias]]</f>
        <v>0.99</v>
      </c>
      <c r="AA101">
        <f>Table1[[#This Row],[t gain]]</f>
        <v>1.99</v>
      </c>
      <c r="AB101">
        <f>Table1[[#This Row],[c kinetic trace]]* String2Single(CONCATENATE(LEFT(Single2String(Table1[[#This Row],[c gain]]), 6), "00")) + String2Single(CONCATENATE(LEFT(Single2String(Table1[[#This Row],[c bias]]), 6), "00"))</f>
        <v>0.989990234375</v>
      </c>
      <c r="AC101" t="str">
        <f xml:space="preserve"> Sng2String(Table1[[#This Row],[c ptrace]])</f>
        <v>3F7D7000</v>
      </c>
      <c r="AD101">
        <f>MOD(Table1[[#This Row],[t inv sp mx idx]]+3, 2^4)</f>
        <v>6</v>
      </c>
      <c r="AE101" s="4" t="str">
        <f>DEC2HEX(Table1[[#This Row],[row]], 3)</f>
        <v>009</v>
      </c>
      <c r="AF101" s="2" t="str">
        <f>DEC2HEX(Table1[[#This Row],[col]], 3)</f>
        <v>00A</v>
      </c>
      <c r="AG101" s="2" t="str">
        <f>DEC2HEX(Table1[[#This Row],[grn fsp idx]], 2)</f>
        <v>C7</v>
      </c>
      <c r="AH101" s="2" t="str">
        <f>DEC2HEX(Table1[[#This Row],[red fsp idx]], 2)</f>
        <v>38</v>
      </c>
      <c r="AI101" s="2" t="str">
        <f xml:space="preserve"> LEFT(Sng2String(Table1[[#This Row],[t bias]]), 6)</f>
        <v>3F7D70</v>
      </c>
      <c r="AJ101" s="2" t="str">
        <f xml:space="preserve"> LEFT(Sng2String(Table1[[#This Row],[t gain]]), 6)</f>
        <v>3FFEB8</v>
      </c>
      <c r="AK101" s="2" t="str">
        <f>DEC2HEX(Table1[[#This Row],[t inv sp mx idx]], 1)</f>
        <v>3</v>
      </c>
      <c r="AL101" s="2" t="str">
        <f xml:space="preserve"> LEFT(Sng2String(Table1[[#This Row],[g bias]]), 6)</f>
        <v>3FBEB8</v>
      </c>
      <c r="AM101" s="2" t="str">
        <f xml:space="preserve"> LEFT(Sng2String(Table1[[#This Row],[g gain]]), 6)</f>
        <v>3F7EB8</v>
      </c>
      <c r="AN101" s="2" t="str">
        <f>DEC2HEX(Table1[[#This Row],[g inv sp mx idx]], 1)</f>
        <v>4</v>
      </c>
      <c r="AO101" s="2" t="str">
        <f xml:space="preserve"> LEFT(Sng2String(Table1[[#This Row],[a bias]]), 6)</f>
        <v>3FFEB8</v>
      </c>
      <c r="AP101" s="2" t="str">
        <f xml:space="preserve"> LEFT(Sng2String(Table1[[#This Row],[a gain]]), 6)</f>
        <v>3FBEB8</v>
      </c>
      <c r="AQ101" s="2" t="str">
        <f>DEC2HEX(Table1[[#This Row],[a inv sp mx idx]], 1)</f>
        <v>5</v>
      </c>
      <c r="AR101" s="2" t="str">
        <f xml:space="preserve"> LEFT(Sng2String(Table1[[#This Row],[c bias]]), 6)</f>
        <v>3F7D70</v>
      </c>
      <c r="AS101" s="2" t="str">
        <f xml:space="preserve"> LEFT(Sng2String(Table1[[#This Row],[c gain]]), 6)</f>
        <v>3FFEB8</v>
      </c>
      <c r="AT101" s="2" t="str">
        <f>DEC2HEX(Table1[[#This Row],[c inv sp mx idx]], 1)</f>
        <v>6</v>
      </c>
      <c r="AU101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00900AC7383F7D703FFEB833FBEB83F7EB843FFEB83FBEB853F7D703FFEB8602</v>
      </c>
      <c r="AV101" s="2">
        <f>LEN(Table1[[#This Row],[DRAM data]])</f>
        <v>64</v>
      </c>
    </row>
    <row r="102" spans="1:48" x14ac:dyDescent="0.25">
      <c r="A102">
        <v>100</v>
      </c>
      <c r="B102">
        <f>Table1[[#This Row],[ZMW num]]+1</f>
        <v>101</v>
      </c>
      <c r="C102">
        <v>9</v>
      </c>
      <c r="D102">
        <f t="shared" si="2"/>
        <v>14</v>
      </c>
      <c r="E102">
        <v>201</v>
      </c>
      <c r="F102">
        <v>54</v>
      </c>
      <c r="G102">
        <v>0</v>
      </c>
      <c r="H102">
        <f>Table1[[#This Row],[ZMW num]]*0.01</f>
        <v>1</v>
      </c>
      <c r="I102">
        <f>1+Table1[[#This Row],[t bias]]</f>
        <v>2</v>
      </c>
      <c r="J102">
        <f>Table1[[#This Row],[t kinetic trace]]* String2Single(CONCATENATE(LEFT(Single2String(Table1[[#This Row],[t gain]]), 6), "00")) + String2Single(CONCATENATE(LEFT(Single2String(Table1[[#This Row],[t bias]]), 6), "00"))</f>
        <v>1</v>
      </c>
      <c r="K102" t="str">
        <f>Sng2String(Table1[[#This Row],[t ptrace]])</f>
        <v>3F800000</v>
      </c>
      <c r="L102">
        <f>MOD(Table1[[#This Row],[ZMW num]], 2^4)</f>
        <v>4</v>
      </c>
      <c r="M102">
        <v>0</v>
      </c>
      <c r="N102">
        <f>Table1[[#This Row],[t bias]]+0.5</f>
        <v>1.5</v>
      </c>
      <c r="O102">
        <f>Table1[[#This Row],[t gain]]/2</f>
        <v>1</v>
      </c>
      <c r="P102">
        <f>Table1[[#This Row],[g kinetic trace]] * String2Single(CONCATENATE(LEFT(Single2String(Table1[[#This Row],[g gain]]), 6), "00")) + String2Single(CONCATENATE(LEFT(Single2String(Table1[[#This Row],[g bias]]), 6), "00"))</f>
        <v>1.5</v>
      </c>
      <c r="Q102" t="str">
        <f xml:space="preserve"> Sng2String(Table1[[#This Row],[g ptrace]])</f>
        <v>3FC00000</v>
      </c>
      <c r="R102">
        <f>MOD(Table1[[#This Row],[t inv sp mx idx]]+1, 2^4)</f>
        <v>5</v>
      </c>
      <c r="S102">
        <v>0</v>
      </c>
      <c r="T102">
        <f>Table1[[#This Row],[t bias]]+1</f>
        <v>2</v>
      </c>
      <c r="U102">
        <f>Table1[[#This Row],[t gain]]-0.5</f>
        <v>1.5</v>
      </c>
      <c r="V102">
        <f>Table1[[#This Row],[a kinetic trace]] * String2Single(CONCATENATE(LEFT(Single2String(Table1[[#This Row],[a gain]]), 6), "00")) + String2Single(CONCATENATE(LEFT(Single2String(Table1[[#This Row],[a bias]]), 6), "00"))</f>
        <v>2</v>
      </c>
      <c r="W102" t="str">
        <f xml:space="preserve"> Sng2String(Table1[[#This Row],[a ptrace]])</f>
        <v>40000000</v>
      </c>
      <c r="X102">
        <f>MOD(Table1[[#This Row],[t inv sp mx idx]]+2, 2^4)</f>
        <v>6</v>
      </c>
      <c r="Y102">
        <v>0</v>
      </c>
      <c r="Z102">
        <f>Table1[[#This Row],[t bias]]</f>
        <v>1</v>
      </c>
      <c r="AA102">
        <f>Table1[[#This Row],[t gain]]</f>
        <v>2</v>
      </c>
      <c r="AB102">
        <f>Table1[[#This Row],[c kinetic trace]]* String2Single(CONCATENATE(LEFT(Single2String(Table1[[#This Row],[c gain]]), 6), "00")) + String2Single(CONCATENATE(LEFT(Single2String(Table1[[#This Row],[c bias]]), 6), "00"))</f>
        <v>1</v>
      </c>
      <c r="AC102" t="str">
        <f xml:space="preserve"> Sng2String(Table1[[#This Row],[c ptrace]])</f>
        <v>3F800000</v>
      </c>
      <c r="AD102">
        <f>MOD(Table1[[#This Row],[t inv sp mx idx]]+3, 2^4)</f>
        <v>7</v>
      </c>
      <c r="AE102" s="4" t="str">
        <f>DEC2HEX(Table1[[#This Row],[row]], 3)</f>
        <v>009</v>
      </c>
      <c r="AF102" s="2" t="str">
        <f>DEC2HEX(Table1[[#This Row],[col]], 3)</f>
        <v>00E</v>
      </c>
      <c r="AG102" s="2" t="str">
        <f>DEC2HEX(Table1[[#This Row],[grn fsp idx]], 2)</f>
        <v>C9</v>
      </c>
      <c r="AH102" s="2" t="str">
        <f>DEC2HEX(Table1[[#This Row],[red fsp idx]], 2)</f>
        <v>36</v>
      </c>
      <c r="AI102" s="2" t="str">
        <f xml:space="preserve"> LEFT(Sng2String(Table1[[#This Row],[t bias]]), 6)</f>
        <v>3F8000</v>
      </c>
      <c r="AJ102" s="2" t="str">
        <f xml:space="preserve"> LEFT(Sng2String(Table1[[#This Row],[t gain]]), 6)</f>
        <v>400000</v>
      </c>
      <c r="AK102" s="2" t="str">
        <f>DEC2HEX(Table1[[#This Row],[t inv sp mx idx]], 1)</f>
        <v>4</v>
      </c>
      <c r="AL102" s="2" t="str">
        <f xml:space="preserve"> LEFT(Sng2String(Table1[[#This Row],[g bias]]), 6)</f>
        <v>3FC000</v>
      </c>
      <c r="AM102" s="2" t="str">
        <f xml:space="preserve"> LEFT(Sng2String(Table1[[#This Row],[g gain]]), 6)</f>
        <v>3F8000</v>
      </c>
      <c r="AN102" s="2" t="str">
        <f>DEC2HEX(Table1[[#This Row],[g inv sp mx idx]], 1)</f>
        <v>5</v>
      </c>
      <c r="AO102" s="2" t="str">
        <f xml:space="preserve"> LEFT(Sng2String(Table1[[#This Row],[a bias]]), 6)</f>
        <v>400000</v>
      </c>
      <c r="AP102" s="2" t="str">
        <f xml:space="preserve"> LEFT(Sng2String(Table1[[#This Row],[a gain]]), 6)</f>
        <v>3FC000</v>
      </c>
      <c r="AQ102" s="2" t="str">
        <f>DEC2HEX(Table1[[#This Row],[a inv sp mx idx]], 1)</f>
        <v>6</v>
      </c>
      <c r="AR102" s="2" t="str">
        <f xml:space="preserve"> LEFT(Sng2String(Table1[[#This Row],[c bias]]), 6)</f>
        <v>3F8000</v>
      </c>
      <c r="AS102" s="2" t="str">
        <f xml:space="preserve"> LEFT(Sng2String(Table1[[#This Row],[c gain]]), 6)</f>
        <v>400000</v>
      </c>
      <c r="AT102" s="2" t="str">
        <f>DEC2HEX(Table1[[#This Row],[c inv sp mx idx]], 1)</f>
        <v>7</v>
      </c>
      <c r="AU102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00900EC9363F800040000043FC0003F800054000003FC00063F8000400000702</v>
      </c>
      <c r="AV102" s="2">
        <f>LEN(Table1[[#This Row],[DRAM data]])</f>
        <v>64</v>
      </c>
    </row>
    <row r="103" spans="1:48" x14ac:dyDescent="0.25">
      <c r="A103">
        <v>101</v>
      </c>
      <c r="B103">
        <f>Table1[[#This Row],[ZMW num]]+1</f>
        <v>102</v>
      </c>
      <c r="C103">
        <v>9</v>
      </c>
      <c r="D103">
        <f t="shared" si="2"/>
        <v>15</v>
      </c>
      <c r="E103">
        <v>203</v>
      </c>
      <c r="F103">
        <v>52</v>
      </c>
      <c r="G103">
        <v>0</v>
      </c>
      <c r="H103">
        <f>Table1[[#This Row],[ZMW num]]*0.01</f>
        <v>1.01</v>
      </c>
      <c r="I103">
        <f>1+Table1[[#This Row],[t bias]]</f>
        <v>2.0099999999999998</v>
      </c>
      <c r="J103">
        <f>Table1[[#This Row],[t kinetic trace]]* String2Single(CONCATENATE(LEFT(Single2String(Table1[[#This Row],[t gain]]), 6), "00")) + String2Single(CONCATENATE(LEFT(Single2String(Table1[[#This Row],[t bias]]), 6), "00"))</f>
        <v>1.009979248046875</v>
      </c>
      <c r="K103" t="str">
        <f>Sng2String(Table1[[#This Row],[t ptrace]])</f>
        <v>3F814700</v>
      </c>
      <c r="L103">
        <f>MOD(Table1[[#This Row],[ZMW num]], 2^4)</f>
        <v>5</v>
      </c>
      <c r="M103">
        <v>0</v>
      </c>
      <c r="N103">
        <f>Table1[[#This Row],[t bias]]+0.5</f>
        <v>1.51</v>
      </c>
      <c r="O103">
        <f>Table1[[#This Row],[t gain]]/2</f>
        <v>1.0049999999999999</v>
      </c>
      <c r="P103">
        <f>Table1[[#This Row],[g kinetic trace]] * String2Single(CONCATENATE(LEFT(Single2String(Table1[[#This Row],[g gain]]), 6), "00")) + String2Single(CONCATENATE(LEFT(Single2String(Table1[[#This Row],[g bias]]), 6), "00"))</f>
        <v>1.509979248046875</v>
      </c>
      <c r="Q103" t="str">
        <f xml:space="preserve"> Sng2String(Table1[[#This Row],[g ptrace]])</f>
        <v>3FC14700</v>
      </c>
      <c r="R103">
        <f>MOD(Table1[[#This Row],[t inv sp mx idx]]+1, 2^4)</f>
        <v>6</v>
      </c>
      <c r="S103">
        <v>0</v>
      </c>
      <c r="T103">
        <f>Table1[[#This Row],[t bias]]+1</f>
        <v>2.0099999999999998</v>
      </c>
      <c r="U103">
        <f>Table1[[#This Row],[t gain]]-0.5</f>
        <v>1.5099999999999998</v>
      </c>
      <c r="V103">
        <f>Table1[[#This Row],[a kinetic trace]] * String2Single(CONCATENATE(LEFT(Single2String(Table1[[#This Row],[a gain]]), 6), "00")) + String2Single(CONCATENATE(LEFT(Single2String(Table1[[#This Row],[a bias]]), 6), "00"))</f>
        <v>2.00994873046875</v>
      </c>
      <c r="W103" t="str">
        <f xml:space="preserve"> Sng2String(Table1[[#This Row],[a ptrace]])</f>
        <v>4000A300</v>
      </c>
      <c r="X103">
        <f>MOD(Table1[[#This Row],[t inv sp mx idx]]+2, 2^4)</f>
        <v>7</v>
      </c>
      <c r="Y103">
        <v>0</v>
      </c>
      <c r="Z103">
        <f>Table1[[#This Row],[t bias]]</f>
        <v>1.01</v>
      </c>
      <c r="AA103">
        <f>Table1[[#This Row],[t gain]]</f>
        <v>2.0099999999999998</v>
      </c>
      <c r="AB103">
        <f>Table1[[#This Row],[c kinetic trace]]* String2Single(CONCATENATE(LEFT(Single2String(Table1[[#This Row],[c gain]]), 6), "00")) + String2Single(CONCATENATE(LEFT(Single2String(Table1[[#This Row],[c bias]]), 6), "00"))</f>
        <v>1.009979248046875</v>
      </c>
      <c r="AC103" t="str">
        <f xml:space="preserve"> Sng2String(Table1[[#This Row],[c ptrace]])</f>
        <v>3F814700</v>
      </c>
      <c r="AD103">
        <f>MOD(Table1[[#This Row],[t inv sp mx idx]]+3, 2^4)</f>
        <v>8</v>
      </c>
      <c r="AE103" s="4" t="str">
        <f>DEC2HEX(Table1[[#This Row],[row]], 3)</f>
        <v>009</v>
      </c>
      <c r="AF103" s="2" t="str">
        <f>DEC2HEX(Table1[[#This Row],[col]], 3)</f>
        <v>00F</v>
      </c>
      <c r="AG103" s="2" t="str">
        <f>DEC2HEX(Table1[[#This Row],[grn fsp idx]], 2)</f>
        <v>CB</v>
      </c>
      <c r="AH103" s="2" t="str">
        <f>DEC2HEX(Table1[[#This Row],[red fsp idx]], 2)</f>
        <v>34</v>
      </c>
      <c r="AI103" s="2" t="str">
        <f xml:space="preserve"> LEFT(Sng2String(Table1[[#This Row],[t bias]]), 6)</f>
        <v>3F8147</v>
      </c>
      <c r="AJ103" s="2" t="str">
        <f xml:space="preserve"> LEFT(Sng2String(Table1[[#This Row],[t gain]]), 6)</f>
        <v>4000A3</v>
      </c>
      <c r="AK103" s="2" t="str">
        <f>DEC2HEX(Table1[[#This Row],[t inv sp mx idx]], 1)</f>
        <v>5</v>
      </c>
      <c r="AL103" s="2" t="str">
        <f xml:space="preserve"> LEFT(Sng2String(Table1[[#This Row],[g bias]]), 6)</f>
        <v>3FC147</v>
      </c>
      <c r="AM103" s="2" t="str">
        <f xml:space="preserve"> LEFT(Sng2String(Table1[[#This Row],[g gain]]), 6)</f>
        <v>3F80A3</v>
      </c>
      <c r="AN103" s="2" t="str">
        <f>DEC2HEX(Table1[[#This Row],[g inv sp mx idx]], 1)</f>
        <v>6</v>
      </c>
      <c r="AO103" s="2" t="str">
        <f xml:space="preserve"> LEFT(Sng2String(Table1[[#This Row],[a bias]]), 6)</f>
        <v>4000A3</v>
      </c>
      <c r="AP103" s="2" t="str">
        <f xml:space="preserve"> LEFT(Sng2String(Table1[[#This Row],[a gain]]), 6)</f>
        <v>3FC147</v>
      </c>
      <c r="AQ103" s="2" t="str">
        <f>DEC2HEX(Table1[[#This Row],[a inv sp mx idx]], 1)</f>
        <v>7</v>
      </c>
      <c r="AR103" s="2" t="str">
        <f xml:space="preserve"> LEFT(Sng2String(Table1[[#This Row],[c bias]]), 6)</f>
        <v>3F8147</v>
      </c>
      <c r="AS103" s="2" t="str">
        <f xml:space="preserve"> LEFT(Sng2String(Table1[[#This Row],[c gain]]), 6)</f>
        <v>4000A3</v>
      </c>
      <c r="AT103" s="2" t="str">
        <f>DEC2HEX(Table1[[#This Row],[c inv sp mx idx]], 1)</f>
        <v>8</v>
      </c>
      <c r="AU103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00900FCB343F81474000A353FC1473F80A364000A33FC14773F81474000A3802</v>
      </c>
      <c r="AV103" s="2">
        <f>LEN(Table1[[#This Row],[DRAM data]])</f>
        <v>64</v>
      </c>
    </row>
    <row r="104" spans="1:48" x14ac:dyDescent="0.25">
      <c r="A104">
        <v>102</v>
      </c>
      <c r="B104">
        <f>Table1[[#This Row],[ZMW num]]+1</f>
        <v>103</v>
      </c>
      <c r="C104">
        <v>9</v>
      </c>
      <c r="D104">
        <f t="shared" si="2"/>
        <v>18</v>
      </c>
      <c r="E104">
        <v>205</v>
      </c>
      <c r="F104">
        <v>50</v>
      </c>
      <c r="G104">
        <v>0</v>
      </c>
      <c r="H104">
        <f>Table1[[#This Row],[ZMW num]]*0.01</f>
        <v>1.02</v>
      </c>
      <c r="I104">
        <f>1+Table1[[#This Row],[t bias]]</f>
        <v>2.02</v>
      </c>
      <c r="J104">
        <f>Table1[[#This Row],[t kinetic trace]]* String2Single(CONCATENATE(LEFT(Single2String(Table1[[#This Row],[t gain]]), 6), "00")) + String2Single(CONCATENATE(LEFT(Single2String(Table1[[#This Row],[t bias]]), 6), "00"))</f>
        <v>1.019989013671875</v>
      </c>
      <c r="K104" t="str">
        <f>Sng2String(Table1[[#This Row],[t ptrace]])</f>
        <v>3F828F00</v>
      </c>
      <c r="L104">
        <f>MOD(Table1[[#This Row],[ZMW num]], 2^4)</f>
        <v>6</v>
      </c>
      <c r="M104">
        <v>0</v>
      </c>
      <c r="N104">
        <f>Table1[[#This Row],[t bias]]+0.5</f>
        <v>1.52</v>
      </c>
      <c r="O104">
        <f>Table1[[#This Row],[t gain]]/2</f>
        <v>1.01</v>
      </c>
      <c r="P104">
        <f>Table1[[#This Row],[g kinetic trace]] * String2Single(CONCATENATE(LEFT(Single2String(Table1[[#This Row],[g gain]]), 6), "00")) + String2Single(CONCATENATE(LEFT(Single2String(Table1[[#This Row],[g bias]]), 6), "00"))</f>
        <v>1.519989013671875</v>
      </c>
      <c r="Q104" t="str">
        <f xml:space="preserve"> Sng2String(Table1[[#This Row],[g ptrace]])</f>
        <v>3FC28F00</v>
      </c>
      <c r="R104">
        <f>MOD(Table1[[#This Row],[t inv sp mx idx]]+1, 2^4)</f>
        <v>7</v>
      </c>
      <c r="S104">
        <v>0</v>
      </c>
      <c r="T104">
        <f>Table1[[#This Row],[t bias]]+1</f>
        <v>2.02</v>
      </c>
      <c r="U104">
        <f>Table1[[#This Row],[t gain]]-0.5</f>
        <v>1.52</v>
      </c>
      <c r="V104">
        <f>Table1[[#This Row],[a kinetic trace]] * String2Single(CONCATENATE(LEFT(Single2String(Table1[[#This Row],[a gain]]), 6), "00")) + String2Single(CONCATENATE(LEFT(Single2String(Table1[[#This Row],[a bias]]), 6), "00"))</f>
        <v>2.01995849609375</v>
      </c>
      <c r="W104" t="str">
        <f xml:space="preserve"> Sng2String(Table1[[#This Row],[a ptrace]])</f>
        <v>40014700</v>
      </c>
      <c r="X104">
        <f>MOD(Table1[[#This Row],[t inv sp mx idx]]+2, 2^4)</f>
        <v>8</v>
      </c>
      <c r="Y104">
        <v>0</v>
      </c>
      <c r="Z104">
        <f>Table1[[#This Row],[t bias]]</f>
        <v>1.02</v>
      </c>
      <c r="AA104">
        <f>Table1[[#This Row],[t gain]]</f>
        <v>2.02</v>
      </c>
      <c r="AB104">
        <f>Table1[[#This Row],[c kinetic trace]]* String2Single(CONCATENATE(LEFT(Single2String(Table1[[#This Row],[c gain]]), 6), "00")) + String2Single(CONCATENATE(LEFT(Single2String(Table1[[#This Row],[c bias]]), 6), "00"))</f>
        <v>1.019989013671875</v>
      </c>
      <c r="AC104" t="str">
        <f xml:space="preserve"> Sng2String(Table1[[#This Row],[c ptrace]])</f>
        <v>3F828F00</v>
      </c>
      <c r="AD104">
        <f>MOD(Table1[[#This Row],[t inv sp mx idx]]+3, 2^4)</f>
        <v>9</v>
      </c>
      <c r="AE104" s="4" t="str">
        <f>DEC2HEX(Table1[[#This Row],[row]], 3)</f>
        <v>009</v>
      </c>
      <c r="AF104" s="2" t="str">
        <f>DEC2HEX(Table1[[#This Row],[col]], 3)</f>
        <v>012</v>
      </c>
      <c r="AG104" s="2" t="str">
        <f>DEC2HEX(Table1[[#This Row],[grn fsp idx]], 2)</f>
        <v>CD</v>
      </c>
      <c r="AH104" s="2" t="str">
        <f>DEC2HEX(Table1[[#This Row],[red fsp idx]], 2)</f>
        <v>32</v>
      </c>
      <c r="AI104" s="2" t="str">
        <f xml:space="preserve"> LEFT(Sng2String(Table1[[#This Row],[t bias]]), 6)</f>
        <v>3F828F</v>
      </c>
      <c r="AJ104" s="2" t="str">
        <f xml:space="preserve"> LEFT(Sng2String(Table1[[#This Row],[t gain]]), 6)</f>
        <v>400147</v>
      </c>
      <c r="AK104" s="2" t="str">
        <f>DEC2HEX(Table1[[#This Row],[t inv sp mx idx]], 1)</f>
        <v>6</v>
      </c>
      <c r="AL104" s="2" t="str">
        <f xml:space="preserve"> LEFT(Sng2String(Table1[[#This Row],[g bias]]), 6)</f>
        <v>3FC28F</v>
      </c>
      <c r="AM104" s="2" t="str">
        <f xml:space="preserve"> LEFT(Sng2String(Table1[[#This Row],[g gain]]), 6)</f>
        <v>3F8147</v>
      </c>
      <c r="AN104" s="2" t="str">
        <f>DEC2HEX(Table1[[#This Row],[g inv sp mx idx]], 1)</f>
        <v>7</v>
      </c>
      <c r="AO104" s="2" t="str">
        <f xml:space="preserve"> LEFT(Sng2String(Table1[[#This Row],[a bias]]), 6)</f>
        <v>400147</v>
      </c>
      <c r="AP104" s="2" t="str">
        <f xml:space="preserve"> LEFT(Sng2String(Table1[[#This Row],[a gain]]), 6)</f>
        <v>3FC28F</v>
      </c>
      <c r="AQ104" s="2" t="str">
        <f>DEC2HEX(Table1[[#This Row],[a inv sp mx idx]], 1)</f>
        <v>8</v>
      </c>
      <c r="AR104" s="2" t="str">
        <f xml:space="preserve"> LEFT(Sng2String(Table1[[#This Row],[c bias]]), 6)</f>
        <v>3F828F</v>
      </c>
      <c r="AS104" s="2" t="str">
        <f xml:space="preserve"> LEFT(Sng2String(Table1[[#This Row],[c gain]]), 6)</f>
        <v>400147</v>
      </c>
      <c r="AT104" s="2" t="str">
        <f>DEC2HEX(Table1[[#This Row],[c inv sp mx idx]], 1)</f>
        <v>9</v>
      </c>
      <c r="AU104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009012CD323F828F40014763FC28F3F814774001473FC28F83F828F400147902</v>
      </c>
      <c r="AV104" s="2">
        <f>LEN(Table1[[#This Row],[DRAM data]])</f>
        <v>64</v>
      </c>
    </row>
    <row r="105" spans="1:48" x14ac:dyDescent="0.25">
      <c r="A105">
        <v>103</v>
      </c>
      <c r="B105">
        <f>Table1[[#This Row],[ZMW num]]+1</f>
        <v>104</v>
      </c>
      <c r="C105">
        <v>9</v>
      </c>
      <c r="D105">
        <f t="shared" si="2"/>
        <v>21</v>
      </c>
      <c r="E105">
        <v>207</v>
      </c>
      <c r="F105">
        <v>48</v>
      </c>
      <c r="G105">
        <v>0</v>
      </c>
      <c r="H105">
        <f>Table1[[#This Row],[ZMW num]]*0.01</f>
        <v>1.03</v>
      </c>
      <c r="I105">
        <f>1+Table1[[#This Row],[t bias]]</f>
        <v>2.0300000000000002</v>
      </c>
      <c r="J105">
        <f>Table1[[#This Row],[t kinetic trace]]* String2Single(CONCATENATE(LEFT(Single2String(Table1[[#This Row],[t gain]]), 6), "00")) + String2Single(CONCATENATE(LEFT(Single2String(Table1[[#This Row],[t bias]]), 6), "00"))</f>
        <v>1.029998779296875</v>
      </c>
      <c r="K105" t="str">
        <f>Sng2String(Table1[[#This Row],[t ptrace]])</f>
        <v>3F83D700</v>
      </c>
      <c r="L105">
        <f>MOD(Table1[[#This Row],[ZMW num]], 2^4)</f>
        <v>7</v>
      </c>
      <c r="M105">
        <v>0</v>
      </c>
      <c r="N105">
        <f>Table1[[#This Row],[t bias]]+0.5</f>
        <v>1.53</v>
      </c>
      <c r="O105">
        <f>Table1[[#This Row],[t gain]]/2</f>
        <v>1.0150000000000001</v>
      </c>
      <c r="P105">
        <f>Table1[[#This Row],[g kinetic trace]] * String2Single(CONCATENATE(LEFT(Single2String(Table1[[#This Row],[g gain]]), 6), "00")) + String2Single(CONCATENATE(LEFT(Single2String(Table1[[#This Row],[g bias]]), 6), "00"))</f>
        <v>1.529998779296875</v>
      </c>
      <c r="Q105" t="str">
        <f xml:space="preserve"> Sng2String(Table1[[#This Row],[g ptrace]])</f>
        <v>3FC3D700</v>
      </c>
      <c r="R105">
        <f>MOD(Table1[[#This Row],[t inv sp mx idx]]+1, 2^4)</f>
        <v>8</v>
      </c>
      <c r="S105">
        <v>0</v>
      </c>
      <c r="T105">
        <f>Table1[[#This Row],[t bias]]+1</f>
        <v>2.0300000000000002</v>
      </c>
      <c r="U105">
        <f>Table1[[#This Row],[t gain]]-0.5</f>
        <v>1.5300000000000002</v>
      </c>
      <c r="V105">
        <f>Table1[[#This Row],[a kinetic trace]] * String2Single(CONCATENATE(LEFT(Single2String(Table1[[#This Row],[a gain]]), 6), "00")) + String2Single(CONCATENATE(LEFT(Single2String(Table1[[#This Row],[a bias]]), 6), "00"))</f>
        <v>2.02996826171875</v>
      </c>
      <c r="W105" t="str">
        <f xml:space="preserve"> Sng2String(Table1[[#This Row],[a ptrace]])</f>
        <v>4001EB00</v>
      </c>
      <c r="X105">
        <f>MOD(Table1[[#This Row],[t inv sp mx idx]]+2, 2^4)</f>
        <v>9</v>
      </c>
      <c r="Y105">
        <v>0</v>
      </c>
      <c r="Z105">
        <f>Table1[[#This Row],[t bias]]</f>
        <v>1.03</v>
      </c>
      <c r="AA105">
        <f>Table1[[#This Row],[t gain]]</f>
        <v>2.0300000000000002</v>
      </c>
      <c r="AB105">
        <f>Table1[[#This Row],[c kinetic trace]]* String2Single(CONCATENATE(LEFT(Single2String(Table1[[#This Row],[c gain]]), 6), "00")) + String2Single(CONCATENATE(LEFT(Single2String(Table1[[#This Row],[c bias]]), 6), "00"))</f>
        <v>1.029998779296875</v>
      </c>
      <c r="AC105" t="str">
        <f xml:space="preserve"> Sng2String(Table1[[#This Row],[c ptrace]])</f>
        <v>3F83D700</v>
      </c>
      <c r="AD105">
        <f>MOD(Table1[[#This Row],[t inv sp mx idx]]+3, 2^4)</f>
        <v>10</v>
      </c>
      <c r="AE105" s="4" t="str">
        <f>DEC2HEX(Table1[[#This Row],[row]], 3)</f>
        <v>009</v>
      </c>
      <c r="AF105" s="2" t="str">
        <f>DEC2HEX(Table1[[#This Row],[col]], 3)</f>
        <v>015</v>
      </c>
      <c r="AG105" s="2" t="str">
        <f>DEC2HEX(Table1[[#This Row],[grn fsp idx]], 2)</f>
        <v>CF</v>
      </c>
      <c r="AH105" s="2" t="str">
        <f>DEC2HEX(Table1[[#This Row],[red fsp idx]], 2)</f>
        <v>30</v>
      </c>
      <c r="AI105" s="2" t="str">
        <f xml:space="preserve"> LEFT(Sng2String(Table1[[#This Row],[t bias]]), 6)</f>
        <v>3F83D7</v>
      </c>
      <c r="AJ105" s="2" t="str">
        <f xml:space="preserve"> LEFT(Sng2String(Table1[[#This Row],[t gain]]), 6)</f>
        <v>4001EB</v>
      </c>
      <c r="AK105" s="2" t="str">
        <f>DEC2HEX(Table1[[#This Row],[t inv sp mx idx]], 1)</f>
        <v>7</v>
      </c>
      <c r="AL105" s="2" t="str">
        <f xml:space="preserve"> LEFT(Sng2String(Table1[[#This Row],[g bias]]), 6)</f>
        <v>3FC3D7</v>
      </c>
      <c r="AM105" s="2" t="str">
        <f xml:space="preserve"> LEFT(Sng2String(Table1[[#This Row],[g gain]]), 6)</f>
        <v>3F81EB</v>
      </c>
      <c r="AN105" s="2" t="str">
        <f>DEC2HEX(Table1[[#This Row],[g inv sp mx idx]], 1)</f>
        <v>8</v>
      </c>
      <c r="AO105" s="2" t="str">
        <f xml:space="preserve"> LEFT(Sng2String(Table1[[#This Row],[a bias]]), 6)</f>
        <v>4001EB</v>
      </c>
      <c r="AP105" s="2" t="str">
        <f xml:space="preserve"> LEFT(Sng2String(Table1[[#This Row],[a gain]]), 6)</f>
        <v>3FC3D7</v>
      </c>
      <c r="AQ105" s="2" t="str">
        <f>DEC2HEX(Table1[[#This Row],[a inv sp mx idx]], 1)</f>
        <v>9</v>
      </c>
      <c r="AR105" s="2" t="str">
        <f xml:space="preserve"> LEFT(Sng2String(Table1[[#This Row],[c bias]]), 6)</f>
        <v>3F83D7</v>
      </c>
      <c r="AS105" s="2" t="str">
        <f xml:space="preserve"> LEFT(Sng2String(Table1[[#This Row],[c gain]]), 6)</f>
        <v>4001EB</v>
      </c>
      <c r="AT105" s="2" t="str">
        <f>DEC2HEX(Table1[[#This Row],[c inv sp mx idx]], 1)</f>
        <v>A</v>
      </c>
      <c r="AU105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009015CF303F83D74001EB73FC3D73F81EB84001EB3FC3D793F83D74001EBA02</v>
      </c>
      <c r="AV105" s="2">
        <f>LEN(Table1[[#This Row],[DRAM data]])</f>
        <v>64</v>
      </c>
    </row>
    <row r="106" spans="1:48" x14ac:dyDescent="0.25">
      <c r="A106">
        <v>104</v>
      </c>
      <c r="B106">
        <f>Table1[[#This Row],[ZMW num]]+1</f>
        <v>105</v>
      </c>
      <c r="C106">
        <v>9</v>
      </c>
      <c r="D106">
        <f t="shared" si="2"/>
        <v>24</v>
      </c>
      <c r="E106">
        <v>209</v>
      </c>
      <c r="F106">
        <v>46</v>
      </c>
      <c r="G106">
        <v>0</v>
      </c>
      <c r="H106">
        <f>Table1[[#This Row],[ZMW num]]*0.01</f>
        <v>1.04</v>
      </c>
      <c r="I106">
        <f>1+Table1[[#This Row],[t bias]]</f>
        <v>2.04</v>
      </c>
      <c r="J106">
        <f>Table1[[#This Row],[t kinetic trace]]* String2Single(CONCATENATE(LEFT(Single2String(Table1[[#This Row],[t gain]]), 6), "00")) + String2Single(CONCATENATE(LEFT(Single2String(Table1[[#This Row],[t bias]]), 6), "00"))</f>
        <v>1.03997802734375</v>
      </c>
      <c r="K106" t="str">
        <f>Sng2String(Table1[[#This Row],[t ptrace]])</f>
        <v>3F851E00</v>
      </c>
      <c r="L106">
        <f>MOD(Table1[[#This Row],[ZMW num]], 2^4)</f>
        <v>8</v>
      </c>
      <c r="M106">
        <v>0</v>
      </c>
      <c r="N106">
        <f>Table1[[#This Row],[t bias]]+0.5</f>
        <v>1.54</v>
      </c>
      <c r="O106">
        <f>Table1[[#This Row],[t gain]]/2</f>
        <v>1.02</v>
      </c>
      <c r="P106">
        <f>Table1[[#This Row],[g kinetic trace]] * String2Single(CONCATENATE(LEFT(Single2String(Table1[[#This Row],[g gain]]), 6), "00")) + String2Single(CONCATENATE(LEFT(Single2String(Table1[[#This Row],[g bias]]), 6), "00"))</f>
        <v>1.53997802734375</v>
      </c>
      <c r="Q106" t="str">
        <f xml:space="preserve"> Sng2String(Table1[[#This Row],[g ptrace]])</f>
        <v>3FC51E00</v>
      </c>
      <c r="R106">
        <f>MOD(Table1[[#This Row],[t inv sp mx idx]]+1, 2^4)</f>
        <v>9</v>
      </c>
      <c r="S106">
        <v>0</v>
      </c>
      <c r="T106">
        <f>Table1[[#This Row],[t bias]]+1</f>
        <v>2.04</v>
      </c>
      <c r="U106">
        <f>Table1[[#This Row],[t gain]]-0.5</f>
        <v>1.54</v>
      </c>
      <c r="V106">
        <f>Table1[[#This Row],[a kinetic trace]] * String2Single(CONCATENATE(LEFT(Single2String(Table1[[#This Row],[a gain]]), 6), "00")) + String2Single(CONCATENATE(LEFT(Single2String(Table1[[#This Row],[a bias]]), 6), "00"))</f>
        <v>2.03997802734375</v>
      </c>
      <c r="W106" t="str">
        <f xml:space="preserve"> Sng2String(Table1[[#This Row],[a ptrace]])</f>
        <v>40028F00</v>
      </c>
      <c r="X106">
        <f>MOD(Table1[[#This Row],[t inv sp mx idx]]+2, 2^4)</f>
        <v>10</v>
      </c>
      <c r="Y106">
        <v>0</v>
      </c>
      <c r="Z106">
        <f>Table1[[#This Row],[t bias]]</f>
        <v>1.04</v>
      </c>
      <c r="AA106">
        <f>Table1[[#This Row],[t gain]]</f>
        <v>2.04</v>
      </c>
      <c r="AB106">
        <f>Table1[[#This Row],[c kinetic trace]]* String2Single(CONCATENATE(LEFT(Single2String(Table1[[#This Row],[c gain]]), 6), "00")) + String2Single(CONCATENATE(LEFT(Single2String(Table1[[#This Row],[c bias]]), 6), "00"))</f>
        <v>1.03997802734375</v>
      </c>
      <c r="AC106" t="str">
        <f xml:space="preserve"> Sng2String(Table1[[#This Row],[c ptrace]])</f>
        <v>3F851E00</v>
      </c>
      <c r="AD106">
        <f>MOD(Table1[[#This Row],[t inv sp mx idx]]+3, 2^4)</f>
        <v>11</v>
      </c>
      <c r="AE106" s="4" t="str">
        <f>DEC2HEX(Table1[[#This Row],[row]], 3)</f>
        <v>009</v>
      </c>
      <c r="AF106" s="2" t="str">
        <f>DEC2HEX(Table1[[#This Row],[col]], 3)</f>
        <v>018</v>
      </c>
      <c r="AG106" s="2" t="str">
        <f>DEC2HEX(Table1[[#This Row],[grn fsp idx]], 2)</f>
        <v>D1</v>
      </c>
      <c r="AH106" s="2" t="str">
        <f>DEC2HEX(Table1[[#This Row],[red fsp idx]], 2)</f>
        <v>2E</v>
      </c>
      <c r="AI106" s="2" t="str">
        <f xml:space="preserve"> LEFT(Sng2String(Table1[[#This Row],[t bias]]), 6)</f>
        <v>3F851E</v>
      </c>
      <c r="AJ106" s="2" t="str">
        <f xml:space="preserve"> LEFT(Sng2String(Table1[[#This Row],[t gain]]), 6)</f>
        <v>40028F</v>
      </c>
      <c r="AK106" s="2" t="str">
        <f>DEC2HEX(Table1[[#This Row],[t inv sp mx idx]], 1)</f>
        <v>8</v>
      </c>
      <c r="AL106" s="2" t="str">
        <f xml:space="preserve"> LEFT(Sng2String(Table1[[#This Row],[g bias]]), 6)</f>
        <v>3FC51E</v>
      </c>
      <c r="AM106" s="2" t="str">
        <f xml:space="preserve"> LEFT(Sng2String(Table1[[#This Row],[g gain]]), 6)</f>
        <v>3F828F</v>
      </c>
      <c r="AN106" s="2" t="str">
        <f>DEC2HEX(Table1[[#This Row],[g inv sp mx idx]], 1)</f>
        <v>9</v>
      </c>
      <c r="AO106" s="2" t="str">
        <f xml:space="preserve"> LEFT(Sng2String(Table1[[#This Row],[a bias]]), 6)</f>
        <v>40028F</v>
      </c>
      <c r="AP106" s="2" t="str">
        <f xml:space="preserve"> LEFT(Sng2String(Table1[[#This Row],[a gain]]), 6)</f>
        <v>3FC51E</v>
      </c>
      <c r="AQ106" s="2" t="str">
        <f>DEC2HEX(Table1[[#This Row],[a inv sp mx idx]], 1)</f>
        <v>A</v>
      </c>
      <c r="AR106" s="2" t="str">
        <f xml:space="preserve"> LEFT(Sng2String(Table1[[#This Row],[c bias]]), 6)</f>
        <v>3F851E</v>
      </c>
      <c r="AS106" s="2" t="str">
        <f xml:space="preserve"> LEFT(Sng2String(Table1[[#This Row],[c gain]]), 6)</f>
        <v>40028F</v>
      </c>
      <c r="AT106" s="2" t="str">
        <f>DEC2HEX(Table1[[#This Row],[c inv sp mx idx]], 1)</f>
        <v>B</v>
      </c>
      <c r="AU106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009018D12E3F851E40028F83FC51E3F828F940028F3FC51EA3F851E40028FB02</v>
      </c>
      <c r="AV106" s="2">
        <f>LEN(Table1[[#This Row],[DRAM data]])</f>
        <v>64</v>
      </c>
    </row>
    <row r="107" spans="1:48" x14ac:dyDescent="0.25">
      <c r="A107">
        <v>105</v>
      </c>
      <c r="B107">
        <f>Table1[[#This Row],[ZMW num]]+1</f>
        <v>106</v>
      </c>
      <c r="C107">
        <v>9</v>
      </c>
      <c r="D107">
        <f t="shared" si="2"/>
        <v>28</v>
      </c>
      <c r="E107">
        <v>211</v>
      </c>
      <c r="F107">
        <v>44</v>
      </c>
      <c r="G107">
        <v>0</v>
      </c>
      <c r="H107">
        <f>Table1[[#This Row],[ZMW num]]*0.01</f>
        <v>1.05</v>
      </c>
      <c r="I107">
        <f>1+Table1[[#This Row],[t bias]]</f>
        <v>2.0499999999999998</v>
      </c>
      <c r="J107">
        <f>Table1[[#This Row],[t kinetic trace]]* String2Single(CONCATENATE(LEFT(Single2String(Table1[[#This Row],[t gain]]), 6), "00")) + String2Single(CONCATENATE(LEFT(Single2String(Table1[[#This Row],[t bias]]), 6), "00"))</f>
        <v>1.04998779296875</v>
      </c>
      <c r="K107" t="str">
        <f>Sng2String(Table1[[#This Row],[t ptrace]])</f>
        <v>3F866600</v>
      </c>
      <c r="L107">
        <f>MOD(Table1[[#This Row],[ZMW num]], 2^4)</f>
        <v>9</v>
      </c>
      <c r="M107">
        <v>0</v>
      </c>
      <c r="N107">
        <f>Table1[[#This Row],[t bias]]+0.5</f>
        <v>1.55</v>
      </c>
      <c r="O107">
        <f>Table1[[#This Row],[t gain]]/2</f>
        <v>1.0249999999999999</v>
      </c>
      <c r="P107">
        <f>Table1[[#This Row],[g kinetic trace]] * String2Single(CONCATENATE(LEFT(Single2String(Table1[[#This Row],[g gain]]), 6), "00")) + String2Single(CONCATENATE(LEFT(Single2String(Table1[[#This Row],[g bias]]), 6), "00"))</f>
        <v>1.54998779296875</v>
      </c>
      <c r="Q107" t="str">
        <f xml:space="preserve"> Sng2String(Table1[[#This Row],[g ptrace]])</f>
        <v>3FC66600</v>
      </c>
      <c r="R107">
        <f>MOD(Table1[[#This Row],[t inv sp mx idx]]+1, 2^4)</f>
        <v>10</v>
      </c>
      <c r="S107">
        <v>0</v>
      </c>
      <c r="T107">
        <f>Table1[[#This Row],[t bias]]+1</f>
        <v>2.0499999999999998</v>
      </c>
      <c r="U107">
        <f>Table1[[#This Row],[t gain]]-0.5</f>
        <v>1.5499999999999998</v>
      </c>
      <c r="V107">
        <f>Table1[[#This Row],[a kinetic trace]] * String2Single(CONCATENATE(LEFT(Single2String(Table1[[#This Row],[a gain]]), 6), "00")) + String2Single(CONCATENATE(LEFT(Single2String(Table1[[#This Row],[a bias]]), 6), "00"))</f>
        <v>2.04998779296875</v>
      </c>
      <c r="W107" t="str">
        <f xml:space="preserve"> Sng2String(Table1[[#This Row],[a ptrace]])</f>
        <v>40033300</v>
      </c>
      <c r="X107">
        <f>MOD(Table1[[#This Row],[t inv sp mx idx]]+2, 2^4)</f>
        <v>11</v>
      </c>
      <c r="Y107">
        <v>0</v>
      </c>
      <c r="Z107">
        <f>Table1[[#This Row],[t bias]]</f>
        <v>1.05</v>
      </c>
      <c r="AA107">
        <f>Table1[[#This Row],[t gain]]</f>
        <v>2.0499999999999998</v>
      </c>
      <c r="AB107">
        <f>Table1[[#This Row],[c kinetic trace]]* String2Single(CONCATENATE(LEFT(Single2String(Table1[[#This Row],[c gain]]), 6), "00")) + String2Single(CONCATENATE(LEFT(Single2String(Table1[[#This Row],[c bias]]), 6), "00"))</f>
        <v>1.04998779296875</v>
      </c>
      <c r="AC107" t="str">
        <f xml:space="preserve"> Sng2String(Table1[[#This Row],[c ptrace]])</f>
        <v>3F866600</v>
      </c>
      <c r="AD107">
        <f>MOD(Table1[[#This Row],[t inv sp mx idx]]+3, 2^4)</f>
        <v>12</v>
      </c>
      <c r="AE107" s="4" t="str">
        <f>DEC2HEX(Table1[[#This Row],[row]], 3)</f>
        <v>009</v>
      </c>
      <c r="AF107" s="2" t="str">
        <f>DEC2HEX(Table1[[#This Row],[col]], 3)</f>
        <v>01C</v>
      </c>
      <c r="AG107" s="2" t="str">
        <f>DEC2HEX(Table1[[#This Row],[grn fsp idx]], 2)</f>
        <v>D3</v>
      </c>
      <c r="AH107" s="2" t="str">
        <f>DEC2HEX(Table1[[#This Row],[red fsp idx]], 2)</f>
        <v>2C</v>
      </c>
      <c r="AI107" s="2" t="str">
        <f xml:space="preserve"> LEFT(Sng2String(Table1[[#This Row],[t bias]]), 6)</f>
        <v>3F8666</v>
      </c>
      <c r="AJ107" s="2" t="str">
        <f xml:space="preserve"> LEFT(Sng2String(Table1[[#This Row],[t gain]]), 6)</f>
        <v>400333</v>
      </c>
      <c r="AK107" s="2" t="str">
        <f>DEC2HEX(Table1[[#This Row],[t inv sp mx idx]], 1)</f>
        <v>9</v>
      </c>
      <c r="AL107" s="2" t="str">
        <f xml:space="preserve"> LEFT(Sng2String(Table1[[#This Row],[g bias]]), 6)</f>
        <v>3FC666</v>
      </c>
      <c r="AM107" s="2" t="str">
        <f xml:space="preserve"> LEFT(Sng2String(Table1[[#This Row],[g gain]]), 6)</f>
        <v>3F8333</v>
      </c>
      <c r="AN107" s="2" t="str">
        <f>DEC2HEX(Table1[[#This Row],[g inv sp mx idx]], 1)</f>
        <v>A</v>
      </c>
      <c r="AO107" s="2" t="str">
        <f xml:space="preserve"> LEFT(Sng2String(Table1[[#This Row],[a bias]]), 6)</f>
        <v>400333</v>
      </c>
      <c r="AP107" s="2" t="str">
        <f xml:space="preserve"> LEFT(Sng2String(Table1[[#This Row],[a gain]]), 6)</f>
        <v>3FC666</v>
      </c>
      <c r="AQ107" s="2" t="str">
        <f>DEC2HEX(Table1[[#This Row],[a inv sp mx idx]], 1)</f>
        <v>B</v>
      </c>
      <c r="AR107" s="2" t="str">
        <f xml:space="preserve"> LEFT(Sng2String(Table1[[#This Row],[c bias]]), 6)</f>
        <v>3F8666</v>
      </c>
      <c r="AS107" s="2" t="str">
        <f xml:space="preserve"> LEFT(Sng2String(Table1[[#This Row],[c gain]]), 6)</f>
        <v>400333</v>
      </c>
      <c r="AT107" s="2" t="str">
        <f>DEC2HEX(Table1[[#This Row],[c inv sp mx idx]], 1)</f>
        <v>C</v>
      </c>
      <c r="AU107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00901CD32C3F866640033393FC6663F8333A4003333FC666B3F8666400333C02</v>
      </c>
      <c r="AV107" s="2">
        <f>LEN(Table1[[#This Row],[DRAM data]])</f>
        <v>64</v>
      </c>
    </row>
    <row r="108" spans="1:48" x14ac:dyDescent="0.25">
      <c r="A108">
        <v>106</v>
      </c>
      <c r="B108">
        <f>Table1[[#This Row],[ZMW num]]+1</f>
        <v>107</v>
      </c>
      <c r="C108">
        <v>9</v>
      </c>
      <c r="D108">
        <f t="shared" si="2"/>
        <v>32</v>
      </c>
      <c r="E108">
        <v>213</v>
      </c>
      <c r="F108">
        <v>42</v>
      </c>
      <c r="G108">
        <v>0</v>
      </c>
      <c r="H108">
        <f>Table1[[#This Row],[ZMW num]]*0.01</f>
        <v>1.06</v>
      </c>
      <c r="I108">
        <f>1+Table1[[#This Row],[t bias]]</f>
        <v>2.06</v>
      </c>
      <c r="J108">
        <f>Table1[[#This Row],[t kinetic trace]]* String2Single(CONCATENATE(LEFT(Single2String(Table1[[#This Row],[t gain]]), 6), "00")) + String2Single(CONCATENATE(LEFT(Single2String(Table1[[#This Row],[t bias]]), 6), "00"))</f>
        <v>1.05999755859375</v>
      </c>
      <c r="K108" t="str">
        <f>Sng2String(Table1[[#This Row],[t ptrace]])</f>
        <v>3F87AE00</v>
      </c>
      <c r="L108">
        <f>MOD(Table1[[#This Row],[ZMW num]], 2^4)</f>
        <v>10</v>
      </c>
      <c r="M108">
        <v>0</v>
      </c>
      <c r="N108">
        <f>Table1[[#This Row],[t bias]]+0.5</f>
        <v>1.56</v>
      </c>
      <c r="O108">
        <f>Table1[[#This Row],[t gain]]/2</f>
        <v>1.03</v>
      </c>
      <c r="P108">
        <f>Table1[[#This Row],[g kinetic trace]] * String2Single(CONCATENATE(LEFT(Single2String(Table1[[#This Row],[g gain]]), 6), "00")) + String2Single(CONCATENATE(LEFT(Single2String(Table1[[#This Row],[g bias]]), 6), "00"))</f>
        <v>1.55999755859375</v>
      </c>
      <c r="Q108" t="str">
        <f xml:space="preserve"> Sng2String(Table1[[#This Row],[g ptrace]])</f>
        <v>3FC7AE00</v>
      </c>
      <c r="R108">
        <f>MOD(Table1[[#This Row],[t inv sp mx idx]]+1, 2^4)</f>
        <v>11</v>
      </c>
      <c r="S108">
        <v>0</v>
      </c>
      <c r="T108">
        <f>Table1[[#This Row],[t bias]]+1</f>
        <v>2.06</v>
      </c>
      <c r="U108">
        <f>Table1[[#This Row],[t gain]]-0.5</f>
        <v>1.56</v>
      </c>
      <c r="V108">
        <f>Table1[[#This Row],[a kinetic trace]] * String2Single(CONCATENATE(LEFT(Single2String(Table1[[#This Row],[a gain]]), 6), "00")) + String2Single(CONCATENATE(LEFT(Single2String(Table1[[#This Row],[a bias]]), 6), "00"))</f>
        <v>2.05999755859375</v>
      </c>
      <c r="W108" t="str">
        <f xml:space="preserve"> Sng2String(Table1[[#This Row],[a ptrace]])</f>
        <v>4003D700</v>
      </c>
      <c r="X108">
        <f>MOD(Table1[[#This Row],[t inv sp mx idx]]+2, 2^4)</f>
        <v>12</v>
      </c>
      <c r="Y108">
        <v>0</v>
      </c>
      <c r="Z108">
        <f>Table1[[#This Row],[t bias]]</f>
        <v>1.06</v>
      </c>
      <c r="AA108">
        <f>Table1[[#This Row],[t gain]]</f>
        <v>2.06</v>
      </c>
      <c r="AB108">
        <f>Table1[[#This Row],[c kinetic trace]]* String2Single(CONCATENATE(LEFT(Single2String(Table1[[#This Row],[c gain]]), 6), "00")) + String2Single(CONCATENATE(LEFT(Single2String(Table1[[#This Row],[c bias]]), 6), "00"))</f>
        <v>1.05999755859375</v>
      </c>
      <c r="AC108" t="str">
        <f xml:space="preserve"> Sng2String(Table1[[#This Row],[c ptrace]])</f>
        <v>3F87AE00</v>
      </c>
      <c r="AD108">
        <f>MOD(Table1[[#This Row],[t inv sp mx idx]]+3, 2^4)</f>
        <v>13</v>
      </c>
      <c r="AE108" s="4" t="str">
        <f>DEC2HEX(Table1[[#This Row],[row]], 3)</f>
        <v>009</v>
      </c>
      <c r="AF108" s="2" t="str">
        <f>DEC2HEX(Table1[[#This Row],[col]], 3)</f>
        <v>020</v>
      </c>
      <c r="AG108" s="2" t="str">
        <f>DEC2HEX(Table1[[#This Row],[grn fsp idx]], 2)</f>
        <v>D5</v>
      </c>
      <c r="AH108" s="2" t="str">
        <f>DEC2HEX(Table1[[#This Row],[red fsp idx]], 2)</f>
        <v>2A</v>
      </c>
      <c r="AI108" s="2" t="str">
        <f xml:space="preserve"> LEFT(Sng2String(Table1[[#This Row],[t bias]]), 6)</f>
        <v>3F87AE</v>
      </c>
      <c r="AJ108" s="2" t="str">
        <f xml:space="preserve"> LEFT(Sng2String(Table1[[#This Row],[t gain]]), 6)</f>
        <v>4003D7</v>
      </c>
      <c r="AK108" s="2" t="str">
        <f>DEC2HEX(Table1[[#This Row],[t inv sp mx idx]], 1)</f>
        <v>A</v>
      </c>
      <c r="AL108" s="2" t="str">
        <f xml:space="preserve"> LEFT(Sng2String(Table1[[#This Row],[g bias]]), 6)</f>
        <v>3FC7AE</v>
      </c>
      <c r="AM108" s="2" t="str">
        <f xml:space="preserve"> LEFT(Sng2String(Table1[[#This Row],[g gain]]), 6)</f>
        <v>3F83D7</v>
      </c>
      <c r="AN108" s="2" t="str">
        <f>DEC2HEX(Table1[[#This Row],[g inv sp mx idx]], 1)</f>
        <v>B</v>
      </c>
      <c r="AO108" s="2" t="str">
        <f xml:space="preserve"> LEFT(Sng2String(Table1[[#This Row],[a bias]]), 6)</f>
        <v>4003D7</v>
      </c>
      <c r="AP108" s="2" t="str">
        <f xml:space="preserve"> LEFT(Sng2String(Table1[[#This Row],[a gain]]), 6)</f>
        <v>3FC7AE</v>
      </c>
      <c r="AQ108" s="2" t="str">
        <f>DEC2HEX(Table1[[#This Row],[a inv sp mx idx]], 1)</f>
        <v>C</v>
      </c>
      <c r="AR108" s="2" t="str">
        <f xml:space="preserve"> LEFT(Sng2String(Table1[[#This Row],[c bias]]), 6)</f>
        <v>3F87AE</v>
      </c>
      <c r="AS108" s="2" t="str">
        <f xml:space="preserve"> LEFT(Sng2String(Table1[[#This Row],[c gain]]), 6)</f>
        <v>4003D7</v>
      </c>
      <c r="AT108" s="2" t="str">
        <f>DEC2HEX(Table1[[#This Row],[c inv sp mx idx]], 1)</f>
        <v>D</v>
      </c>
      <c r="AU108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009020D52A3F87AE4003D7A3FC7AE3F83D7B4003D73FC7AEC3F87AE4003D7D02</v>
      </c>
      <c r="AV108" s="2">
        <f>LEN(Table1[[#This Row],[DRAM data]])</f>
        <v>64</v>
      </c>
    </row>
    <row r="109" spans="1:48" x14ac:dyDescent="0.25">
      <c r="A109">
        <v>107</v>
      </c>
      <c r="B109">
        <f>Table1[[#This Row],[ZMW num]]+1</f>
        <v>108</v>
      </c>
      <c r="C109">
        <v>9</v>
      </c>
      <c r="D109">
        <f t="shared" si="2"/>
        <v>35</v>
      </c>
      <c r="E109">
        <v>215</v>
      </c>
      <c r="F109">
        <v>40</v>
      </c>
      <c r="G109">
        <v>0</v>
      </c>
      <c r="H109">
        <f>Table1[[#This Row],[ZMW num]]*0.01</f>
        <v>1.07</v>
      </c>
      <c r="I109">
        <f>1+Table1[[#This Row],[t bias]]</f>
        <v>2.0700000000000003</v>
      </c>
      <c r="J109">
        <f>Table1[[#This Row],[t kinetic trace]]* String2Single(CONCATENATE(LEFT(Single2String(Table1[[#This Row],[t gain]]), 6), "00")) + String2Single(CONCATENATE(LEFT(Single2String(Table1[[#This Row],[t bias]]), 6), "00"))</f>
        <v>1.069976806640625</v>
      </c>
      <c r="K109" t="str">
        <f>Sng2String(Table1[[#This Row],[t ptrace]])</f>
        <v>3F88F500</v>
      </c>
      <c r="L109">
        <f>MOD(Table1[[#This Row],[ZMW num]], 2^4)</f>
        <v>11</v>
      </c>
      <c r="M109">
        <v>0</v>
      </c>
      <c r="N109">
        <f>Table1[[#This Row],[t bias]]+0.5</f>
        <v>1.57</v>
      </c>
      <c r="O109">
        <f>Table1[[#This Row],[t gain]]/2</f>
        <v>1.0350000000000001</v>
      </c>
      <c r="P109">
        <f>Table1[[#This Row],[g kinetic trace]] * String2Single(CONCATENATE(LEFT(Single2String(Table1[[#This Row],[g gain]]), 6), "00")) + String2Single(CONCATENATE(LEFT(Single2String(Table1[[#This Row],[g bias]]), 6), "00"))</f>
        <v>1.569976806640625</v>
      </c>
      <c r="Q109" t="str">
        <f xml:space="preserve"> Sng2String(Table1[[#This Row],[g ptrace]])</f>
        <v>3FC8F500</v>
      </c>
      <c r="R109">
        <f>MOD(Table1[[#This Row],[t inv sp mx idx]]+1, 2^4)</f>
        <v>12</v>
      </c>
      <c r="S109">
        <v>0</v>
      </c>
      <c r="T109">
        <f>Table1[[#This Row],[t bias]]+1</f>
        <v>2.0700000000000003</v>
      </c>
      <c r="U109">
        <f>Table1[[#This Row],[t gain]]-0.5</f>
        <v>1.5700000000000003</v>
      </c>
      <c r="V109">
        <f>Table1[[#This Row],[a kinetic trace]] * String2Single(CONCATENATE(LEFT(Single2String(Table1[[#This Row],[a gain]]), 6), "00")) + String2Single(CONCATENATE(LEFT(Single2String(Table1[[#This Row],[a bias]]), 6), "00"))</f>
        <v>2.0699462890625</v>
      </c>
      <c r="W109" t="str">
        <f xml:space="preserve"> Sng2String(Table1[[#This Row],[a ptrace]])</f>
        <v>40047A00</v>
      </c>
      <c r="X109">
        <f>MOD(Table1[[#This Row],[t inv sp mx idx]]+2, 2^4)</f>
        <v>13</v>
      </c>
      <c r="Y109">
        <v>0</v>
      </c>
      <c r="Z109">
        <f>Table1[[#This Row],[t bias]]</f>
        <v>1.07</v>
      </c>
      <c r="AA109">
        <f>Table1[[#This Row],[t gain]]</f>
        <v>2.0700000000000003</v>
      </c>
      <c r="AB109">
        <f>Table1[[#This Row],[c kinetic trace]]* String2Single(CONCATENATE(LEFT(Single2String(Table1[[#This Row],[c gain]]), 6), "00")) + String2Single(CONCATENATE(LEFT(Single2String(Table1[[#This Row],[c bias]]), 6), "00"))</f>
        <v>1.069976806640625</v>
      </c>
      <c r="AC109" t="str">
        <f xml:space="preserve"> Sng2String(Table1[[#This Row],[c ptrace]])</f>
        <v>3F88F500</v>
      </c>
      <c r="AD109">
        <f>MOD(Table1[[#This Row],[t inv sp mx idx]]+3, 2^4)</f>
        <v>14</v>
      </c>
      <c r="AE109" s="4" t="str">
        <f>DEC2HEX(Table1[[#This Row],[row]], 3)</f>
        <v>009</v>
      </c>
      <c r="AF109" s="2" t="str">
        <f>DEC2HEX(Table1[[#This Row],[col]], 3)</f>
        <v>023</v>
      </c>
      <c r="AG109" s="2" t="str">
        <f>DEC2HEX(Table1[[#This Row],[grn fsp idx]], 2)</f>
        <v>D7</v>
      </c>
      <c r="AH109" s="2" t="str">
        <f>DEC2HEX(Table1[[#This Row],[red fsp idx]], 2)</f>
        <v>28</v>
      </c>
      <c r="AI109" s="2" t="str">
        <f xml:space="preserve"> LEFT(Sng2String(Table1[[#This Row],[t bias]]), 6)</f>
        <v>3F88F5</v>
      </c>
      <c r="AJ109" s="2" t="str">
        <f xml:space="preserve"> LEFT(Sng2String(Table1[[#This Row],[t gain]]), 6)</f>
        <v>40047A</v>
      </c>
      <c r="AK109" s="2" t="str">
        <f>DEC2HEX(Table1[[#This Row],[t inv sp mx idx]], 1)</f>
        <v>B</v>
      </c>
      <c r="AL109" s="2" t="str">
        <f xml:space="preserve"> LEFT(Sng2String(Table1[[#This Row],[g bias]]), 6)</f>
        <v>3FC8F5</v>
      </c>
      <c r="AM109" s="2" t="str">
        <f xml:space="preserve"> LEFT(Sng2String(Table1[[#This Row],[g gain]]), 6)</f>
        <v>3F847A</v>
      </c>
      <c r="AN109" s="2" t="str">
        <f>DEC2HEX(Table1[[#This Row],[g inv sp mx idx]], 1)</f>
        <v>C</v>
      </c>
      <c r="AO109" s="2" t="str">
        <f xml:space="preserve"> LEFT(Sng2String(Table1[[#This Row],[a bias]]), 6)</f>
        <v>40047A</v>
      </c>
      <c r="AP109" s="2" t="str">
        <f xml:space="preserve"> LEFT(Sng2String(Table1[[#This Row],[a gain]]), 6)</f>
        <v>3FC8F5</v>
      </c>
      <c r="AQ109" s="2" t="str">
        <f>DEC2HEX(Table1[[#This Row],[a inv sp mx idx]], 1)</f>
        <v>D</v>
      </c>
      <c r="AR109" s="2" t="str">
        <f xml:space="preserve"> LEFT(Sng2String(Table1[[#This Row],[c bias]]), 6)</f>
        <v>3F88F5</v>
      </c>
      <c r="AS109" s="2" t="str">
        <f xml:space="preserve"> LEFT(Sng2String(Table1[[#This Row],[c gain]]), 6)</f>
        <v>40047A</v>
      </c>
      <c r="AT109" s="2" t="str">
        <f>DEC2HEX(Table1[[#This Row],[c inv sp mx idx]], 1)</f>
        <v>E</v>
      </c>
      <c r="AU109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009023D7283F88F540047AB3FC8F53F847AC40047A3FC8F5D3F88F540047AE02</v>
      </c>
      <c r="AV109" s="2">
        <f>LEN(Table1[[#This Row],[DRAM data]])</f>
        <v>64</v>
      </c>
    </row>
    <row r="110" spans="1:48" x14ac:dyDescent="0.25">
      <c r="A110">
        <v>108</v>
      </c>
      <c r="B110">
        <f>Table1[[#This Row],[ZMW num]]+1</f>
        <v>109</v>
      </c>
      <c r="C110">
        <v>9</v>
      </c>
      <c r="D110">
        <f t="shared" si="2"/>
        <v>40</v>
      </c>
      <c r="E110">
        <v>217</v>
      </c>
      <c r="F110">
        <v>38</v>
      </c>
      <c r="G110">
        <v>0</v>
      </c>
      <c r="H110">
        <f>Table1[[#This Row],[ZMW num]]*0.01</f>
        <v>1.08</v>
      </c>
      <c r="I110">
        <f>1+Table1[[#This Row],[t bias]]</f>
        <v>2.08</v>
      </c>
      <c r="J110">
        <f>Table1[[#This Row],[t kinetic trace]]* String2Single(CONCATENATE(LEFT(Single2String(Table1[[#This Row],[t gain]]), 6), "00")) + String2Single(CONCATENATE(LEFT(Single2String(Table1[[#This Row],[t bias]]), 6), "00"))</f>
        <v>1.079986572265625</v>
      </c>
      <c r="K110" t="str">
        <f>Sng2String(Table1[[#This Row],[t ptrace]])</f>
        <v>3F8A3D00</v>
      </c>
      <c r="L110">
        <f>MOD(Table1[[#This Row],[ZMW num]], 2^4)</f>
        <v>12</v>
      </c>
      <c r="M110">
        <v>0</v>
      </c>
      <c r="N110">
        <f>Table1[[#This Row],[t bias]]+0.5</f>
        <v>1.58</v>
      </c>
      <c r="O110">
        <f>Table1[[#This Row],[t gain]]/2</f>
        <v>1.04</v>
      </c>
      <c r="P110">
        <f>Table1[[#This Row],[g kinetic trace]] * String2Single(CONCATENATE(LEFT(Single2String(Table1[[#This Row],[g gain]]), 6), "00")) + String2Single(CONCATENATE(LEFT(Single2String(Table1[[#This Row],[g bias]]), 6), "00"))</f>
        <v>1.579986572265625</v>
      </c>
      <c r="Q110" t="str">
        <f xml:space="preserve"> Sng2String(Table1[[#This Row],[g ptrace]])</f>
        <v>3FCA3D00</v>
      </c>
      <c r="R110">
        <f>MOD(Table1[[#This Row],[t inv sp mx idx]]+1, 2^4)</f>
        <v>13</v>
      </c>
      <c r="S110">
        <v>0</v>
      </c>
      <c r="T110">
        <f>Table1[[#This Row],[t bias]]+1</f>
        <v>2.08</v>
      </c>
      <c r="U110">
        <f>Table1[[#This Row],[t gain]]-0.5</f>
        <v>1.58</v>
      </c>
      <c r="V110">
        <f>Table1[[#This Row],[a kinetic trace]] * String2Single(CONCATENATE(LEFT(Single2String(Table1[[#This Row],[a gain]]), 6), "00")) + String2Single(CONCATENATE(LEFT(Single2String(Table1[[#This Row],[a bias]]), 6), "00"))</f>
        <v>2.0799560546875</v>
      </c>
      <c r="W110" t="str">
        <f xml:space="preserve"> Sng2String(Table1[[#This Row],[a ptrace]])</f>
        <v>40051E00</v>
      </c>
      <c r="X110">
        <f>MOD(Table1[[#This Row],[t inv sp mx idx]]+2, 2^4)</f>
        <v>14</v>
      </c>
      <c r="Y110">
        <v>0</v>
      </c>
      <c r="Z110">
        <f>Table1[[#This Row],[t bias]]</f>
        <v>1.08</v>
      </c>
      <c r="AA110">
        <f>Table1[[#This Row],[t gain]]</f>
        <v>2.08</v>
      </c>
      <c r="AB110">
        <f>Table1[[#This Row],[c kinetic trace]]* String2Single(CONCATENATE(LEFT(Single2String(Table1[[#This Row],[c gain]]), 6), "00")) + String2Single(CONCATENATE(LEFT(Single2String(Table1[[#This Row],[c bias]]), 6), "00"))</f>
        <v>1.079986572265625</v>
      </c>
      <c r="AC110" t="str">
        <f xml:space="preserve"> Sng2String(Table1[[#This Row],[c ptrace]])</f>
        <v>3F8A3D00</v>
      </c>
      <c r="AD110">
        <f>MOD(Table1[[#This Row],[t inv sp mx idx]]+3, 2^4)</f>
        <v>15</v>
      </c>
      <c r="AE110" s="4" t="str">
        <f>DEC2HEX(Table1[[#This Row],[row]], 3)</f>
        <v>009</v>
      </c>
      <c r="AF110" s="2" t="str">
        <f>DEC2HEX(Table1[[#This Row],[col]], 3)</f>
        <v>028</v>
      </c>
      <c r="AG110" s="2" t="str">
        <f>DEC2HEX(Table1[[#This Row],[grn fsp idx]], 2)</f>
        <v>D9</v>
      </c>
      <c r="AH110" s="2" t="str">
        <f>DEC2HEX(Table1[[#This Row],[red fsp idx]], 2)</f>
        <v>26</v>
      </c>
      <c r="AI110" s="2" t="str">
        <f xml:space="preserve"> LEFT(Sng2String(Table1[[#This Row],[t bias]]), 6)</f>
        <v>3F8A3D</v>
      </c>
      <c r="AJ110" s="2" t="str">
        <f xml:space="preserve"> LEFT(Sng2String(Table1[[#This Row],[t gain]]), 6)</f>
        <v>40051E</v>
      </c>
      <c r="AK110" s="2" t="str">
        <f>DEC2HEX(Table1[[#This Row],[t inv sp mx idx]], 1)</f>
        <v>C</v>
      </c>
      <c r="AL110" s="2" t="str">
        <f xml:space="preserve"> LEFT(Sng2String(Table1[[#This Row],[g bias]]), 6)</f>
        <v>3FCA3D</v>
      </c>
      <c r="AM110" s="2" t="str">
        <f xml:space="preserve"> LEFT(Sng2String(Table1[[#This Row],[g gain]]), 6)</f>
        <v>3F851E</v>
      </c>
      <c r="AN110" s="2" t="str">
        <f>DEC2HEX(Table1[[#This Row],[g inv sp mx idx]], 1)</f>
        <v>D</v>
      </c>
      <c r="AO110" s="2" t="str">
        <f xml:space="preserve"> LEFT(Sng2String(Table1[[#This Row],[a bias]]), 6)</f>
        <v>40051E</v>
      </c>
      <c r="AP110" s="2" t="str">
        <f xml:space="preserve"> LEFT(Sng2String(Table1[[#This Row],[a gain]]), 6)</f>
        <v>3FCA3D</v>
      </c>
      <c r="AQ110" s="2" t="str">
        <f>DEC2HEX(Table1[[#This Row],[a inv sp mx idx]], 1)</f>
        <v>E</v>
      </c>
      <c r="AR110" s="2" t="str">
        <f xml:space="preserve"> LEFT(Sng2String(Table1[[#This Row],[c bias]]), 6)</f>
        <v>3F8A3D</v>
      </c>
      <c r="AS110" s="2" t="str">
        <f xml:space="preserve"> LEFT(Sng2String(Table1[[#This Row],[c gain]]), 6)</f>
        <v>40051E</v>
      </c>
      <c r="AT110" s="2" t="str">
        <f>DEC2HEX(Table1[[#This Row],[c inv sp mx idx]], 1)</f>
        <v>F</v>
      </c>
      <c r="AU110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009028D9263F8A3D40051EC3FCA3D3F851ED40051E3FCA3DE3F8A3D40051EF02</v>
      </c>
      <c r="AV110" s="2">
        <f>LEN(Table1[[#This Row],[DRAM data]])</f>
        <v>64</v>
      </c>
    </row>
    <row r="111" spans="1:48" x14ac:dyDescent="0.25">
      <c r="A111">
        <v>109</v>
      </c>
      <c r="B111">
        <f>Table1[[#This Row],[ZMW num]]+1</f>
        <v>110</v>
      </c>
      <c r="C111">
        <v>9</v>
      </c>
      <c r="D111">
        <f t="shared" si="2"/>
        <v>44</v>
      </c>
      <c r="E111">
        <v>219</v>
      </c>
      <c r="F111">
        <v>36</v>
      </c>
      <c r="G111">
        <v>0</v>
      </c>
      <c r="H111">
        <f>Table1[[#This Row],[ZMW num]]*0.01</f>
        <v>1.0900000000000001</v>
      </c>
      <c r="I111">
        <f>1+Table1[[#This Row],[t bias]]</f>
        <v>2.09</v>
      </c>
      <c r="J111">
        <f>Table1[[#This Row],[t kinetic trace]]* String2Single(CONCATENATE(LEFT(Single2String(Table1[[#This Row],[t gain]]), 6), "00")) + String2Single(CONCATENATE(LEFT(Single2String(Table1[[#This Row],[t bias]]), 6), "00"))</f>
        <v>1.089996337890625</v>
      </c>
      <c r="K111" t="str">
        <f>Sng2String(Table1[[#This Row],[t ptrace]])</f>
        <v>3F8B8500</v>
      </c>
      <c r="L111">
        <f>MOD(Table1[[#This Row],[ZMW num]], 2^4)</f>
        <v>13</v>
      </c>
      <c r="M111">
        <v>0</v>
      </c>
      <c r="N111">
        <f>Table1[[#This Row],[t bias]]+0.5</f>
        <v>1.59</v>
      </c>
      <c r="O111">
        <f>Table1[[#This Row],[t gain]]/2</f>
        <v>1.0449999999999999</v>
      </c>
      <c r="P111">
        <f>Table1[[#This Row],[g kinetic trace]] * String2Single(CONCATENATE(LEFT(Single2String(Table1[[#This Row],[g gain]]), 6), "00")) + String2Single(CONCATENATE(LEFT(Single2String(Table1[[#This Row],[g bias]]), 6), "00"))</f>
        <v>1.589996337890625</v>
      </c>
      <c r="Q111" t="str">
        <f xml:space="preserve"> Sng2String(Table1[[#This Row],[g ptrace]])</f>
        <v>3FCB8500</v>
      </c>
      <c r="R111">
        <f>MOD(Table1[[#This Row],[t inv sp mx idx]]+1, 2^4)</f>
        <v>14</v>
      </c>
      <c r="S111">
        <v>0</v>
      </c>
      <c r="T111">
        <f>Table1[[#This Row],[t bias]]+1</f>
        <v>2.09</v>
      </c>
      <c r="U111">
        <f>Table1[[#This Row],[t gain]]-0.5</f>
        <v>1.5899999999999999</v>
      </c>
      <c r="V111">
        <f>Table1[[#This Row],[a kinetic trace]] * String2Single(CONCATENATE(LEFT(Single2String(Table1[[#This Row],[a gain]]), 6), "00")) + String2Single(CONCATENATE(LEFT(Single2String(Table1[[#This Row],[a bias]]), 6), "00"))</f>
        <v>2.0899658203125</v>
      </c>
      <c r="W111" t="str">
        <f xml:space="preserve"> Sng2String(Table1[[#This Row],[a ptrace]])</f>
        <v>4005C200</v>
      </c>
      <c r="X111">
        <f>MOD(Table1[[#This Row],[t inv sp mx idx]]+2, 2^4)</f>
        <v>15</v>
      </c>
      <c r="Y111">
        <v>0</v>
      </c>
      <c r="Z111">
        <f>Table1[[#This Row],[t bias]]</f>
        <v>1.0900000000000001</v>
      </c>
      <c r="AA111">
        <f>Table1[[#This Row],[t gain]]</f>
        <v>2.09</v>
      </c>
      <c r="AB111">
        <f>Table1[[#This Row],[c kinetic trace]]* String2Single(CONCATENATE(LEFT(Single2String(Table1[[#This Row],[c gain]]), 6), "00")) + String2Single(CONCATENATE(LEFT(Single2String(Table1[[#This Row],[c bias]]), 6), "00"))</f>
        <v>1.089996337890625</v>
      </c>
      <c r="AC111" t="str">
        <f xml:space="preserve"> Sng2String(Table1[[#This Row],[c ptrace]])</f>
        <v>3F8B8500</v>
      </c>
      <c r="AD111">
        <f>MOD(Table1[[#This Row],[t inv sp mx idx]]+3, 2^4)</f>
        <v>0</v>
      </c>
      <c r="AE111" s="4" t="str">
        <f>DEC2HEX(Table1[[#This Row],[row]], 3)</f>
        <v>009</v>
      </c>
      <c r="AF111" s="2" t="str">
        <f>DEC2HEX(Table1[[#This Row],[col]], 3)</f>
        <v>02C</v>
      </c>
      <c r="AG111" s="2" t="str">
        <f>DEC2HEX(Table1[[#This Row],[grn fsp idx]], 2)</f>
        <v>DB</v>
      </c>
      <c r="AH111" s="2" t="str">
        <f>DEC2HEX(Table1[[#This Row],[red fsp idx]], 2)</f>
        <v>24</v>
      </c>
      <c r="AI111" s="2" t="str">
        <f xml:space="preserve"> LEFT(Sng2String(Table1[[#This Row],[t bias]]), 6)</f>
        <v>3F8B85</v>
      </c>
      <c r="AJ111" s="2" t="str">
        <f xml:space="preserve"> LEFT(Sng2String(Table1[[#This Row],[t gain]]), 6)</f>
        <v>4005C2</v>
      </c>
      <c r="AK111" s="2" t="str">
        <f>DEC2HEX(Table1[[#This Row],[t inv sp mx idx]], 1)</f>
        <v>D</v>
      </c>
      <c r="AL111" s="2" t="str">
        <f xml:space="preserve"> LEFT(Sng2String(Table1[[#This Row],[g bias]]), 6)</f>
        <v>3FCB85</v>
      </c>
      <c r="AM111" s="2" t="str">
        <f xml:space="preserve"> LEFT(Sng2String(Table1[[#This Row],[g gain]]), 6)</f>
        <v>3F85C2</v>
      </c>
      <c r="AN111" s="2" t="str">
        <f>DEC2HEX(Table1[[#This Row],[g inv sp mx idx]], 1)</f>
        <v>E</v>
      </c>
      <c r="AO111" s="2" t="str">
        <f xml:space="preserve"> LEFT(Sng2String(Table1[[#This Row],[a bias]]), 6)</f>
        <v>4005C2</v>
      </c>
      <c r="AP111" s="2" t="str">
        <f xml:space="preserve"> LEFT(Sng2String(Table1[[#This Row],[a gain]]), 6)</f>
        <v>3FCB85</v>
      </c>
      <c r="AQ111" s="2" t="str">
        <f>DEC2HEX(Table1[[#This Row],[a inv sp mx idx]], 1)</f>
        <v>F</v>
      </c>
      <c r="AR111" s="2" t="str">
        <f xml:space="preserve"> LEFT(Sng2String(Table1[[#This Row],[c bias]]), 6)</f>
        <v>3F8B85</v>
      </c>
      <c r="AS111" s="2" t="str">
        <f xml:space="preserve"> LEFT(Sng2String(Table1[[#This Row],[c gain]]), 6)</f>
        <v>4005C2</v>
      </c>
      <c r="AT111" s="2" t="str">
        <f>DEC2HEX(Table1[[#This Row],[c inv sp mx idx]], 1)</f>
        <v>0</v>
      </c>
      <c r="AU111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00902CDB243F8B854005C2D3FCB853F85C2E4005C23FCB85F3F8B854005C2002</v>
      </c>
      <c r="AV111" s="2">
        <f>LEN(Table1[[#This Row],[DRAM data]])</f>
        <v>64</v>
      </c>
    </row>
    <row r="112" spans="1:48" x14ac:dyDescent="0.25">
      <c r="A112">
        <v>110</v>
      </c>
      <c r="B112">
        <f>Table1[[#This Row],[ZMW num]]+1</f>
        <v>111</v>
      </c>
      <c r="C112">
        <v>9</v>
      </c>
      <c r="D112">
        <f t="shared" si="2"/>
        <v>45</v>
      </c>
      <c r="E112">
        <v>221</v>
      </c>
      <c r="F112">
        <v>34</v>
      </c>
      <c r="G112">
        <v>0</v>
      </c>
      <c r="H112">
        <f>Table1[[#This Row],[ZMW num]]*0.01</f>
        <v>1.1000000000000001</v>
      </c>
      <c r="I112">
        <f>1+Table1[[#This Row],[t bias]]</f>
        <v>2.1</v>
      </c>
      <c r="J112">
        <f>Table1[[#This Row],[t kinetic trace]]* String2Single(CONCATENATE(LEFT(Single2String(Table1[[#This Row],[t gain]]), 6), "00")) + String2Single(CONCATENATE(LEFT(Single2String(Table1[[#This Row],[t bias]]), 6), "00"))</f>
        <v>1.0999755859375</v>
      </c>
      <c r="K112" t="str">
        <f>Sng2String(Table1[[#This Row],[t ptrace]])</f>
        <v>3F8CCC00</v>
      </c>
      <c r="L112">
        <f>MOD(Table1[[#This Row],[ZMW num]], 2^4)</f>
        <v>14</v>
      </c>
      <c r="M112">
        <v>0</v>
      </c>
      <c r="N112">
        <f>Table1[[#This Row],[t bias]]+0.5</f>
        <v>1.6</v>
      </c>
      <c r="O112">
        <f>Table1[[#This Row],[t gain]]/2</f>
        <v>1.05</v>
      </c>
      <c r="P112">
        <f>Table1[[#This Row],[g kinetic trace]] * String2Single(CONCATENATE(LEFT(Single2String(Table1[[#This Row],[g gain]]), 6), "00")) + String2Single(CONCATENATE(LEFT(Single2String(Table1[[#This Row],[g bias]]), 6), "00"))</f>
        <v>1.5999755859375</v>
      </c>
      <c r="Q112" t="str">
        <f xml:space="preserve"> Sng2String(Table1[[#This Row],[g ptrace]])</f>
        <v>3FCCCC00</v>
      </c>
      <c r="R112">
        <f>MOD(Table1[[#This Row],[t inv sp mx idx]]+1, 2^4)</f>
        <v>15</v>
      </c>
      <c r="S112">
        <v>0</v>
      </c>
      <c r="T112">
        <f>Table1[[#This Row],[t bias]]+1</f>
        <v>2.1</v>
      </c>
      <c r="U112">
        <f>Table1[[#This Row],[t gain]]-0.5</f>
        <v>1.6</v>
      </c>
      <c r="V112">
        <f>Table1[[#This Row],[a kinetic trace]] * String2Single(CONCATENATE(LEFT(Single2String(Table1[[#This Row],[a gain]]), 6), "00")) + String2Single(CONCATENATE(LEFT(Single2String(Table1[[#This Row],[a bias]]), 6), "00"))</f>
        <v>2.0999755859375</v>
      </c>
      <c r="W112" t="str">
        <f xml:space="preserve"> Sng2String(Table1[[#This Row],[a ptrace]])</f>
        <v>40066600</v>
      </c>
      <c r="X112">
        <f>MOD(Table1[[#This Row],[t inv sp mx idx]]+2, 2^4)</f>
        <v>0</v>
      </c>
      <c r="Y112">
        <v>0</v>
      </c>
      <c r="Z112">
        <f>Table1[[#This Row],[t bias]]</f>
        <v>1.1000000000000001</v>
      </c>
      <c r="AA112">
        <f>Table1[[#This Row],[t gain]]</f>
        <v>2.1</v>
      </c>
      <c r="AB112">
        <f>Table1[[#This Row],[c kinetic trace]]* String2Single(CONCATENATE(LEFT(Single2String(Table1[[#This Row],[c gain]]), 6), "00")) + String2Single(CONCATENATE(LEFT(Single2String(Table1[[#This Row],[c bias]]), 6), "00"))</f>
        <v>1.0999755859375</v>
      </c>
      <c r="AC112" t="str">
        <f xml:space="preserve"> Sng2String(Table1[[#This Row],[c ptrace]])</f>
        <v>3F8CCC00</v>
      </c>
      <c r="AD112">
        <f>MOD(Table1[[#This Row],[t inv sp mx idx]]+3, 2^4)</f>
        <v>1</v>
      </c>
      <c r="AE112" s="4" t="str">
        <f>DEC2HEX(Table1[[#This Row],[row]], 3)</f>
        <v>009</v>
      </c>
      <c r="AF112" s="2" t="str">
        <f>DEC2HEX(Table1[[#This Row],[col]], 3)</f>
        <v>02D</v>
      </c>
      <c r="AG112" s="2" t="str">
        <f>DEC2HEX(Table1[[#This Row],[grn fsp idx]], 2)</f>
        <v>DD</v>
      </c>
      <c r="AH112" s="2" t="str">
        <f>DEC2HEX(Table1[[#This Row],[red fsp idx]], 2)</f>
        <v>22</v>
      </c>
      <c r="AI112" s="2" t="str">
        <f xml:space="preserve"> LEFT(Sng2String(Table1[[#This Row],[t bias]]), 6)</f>
        <v>3F8CCC</v>
      </c>
      <c r="AJ112" s="2" t="str">
        <f xml:space="preserve"> LEFT(Sng2String(Table1[[#This Row],[t gain]]), 6)</f>
        <v>400666</v>
      </c>
      <c r="AK112" s="2" t="str">
        <f>DEC2HEX(Table1[[#This Row],[t inv sp mx idx]], 1)</f>
        <v>E</v>
      </c>
      <c r="AL112" s="2" t="str">
        <f xml:space="preserve"> LEFT(Sng2String(Table1[[#This Row],[g bias]]), 6)</f>
        <v>3FCCCC</v>
      </c>
      <c r="AM112" s="2" t="str">
        <f xml:space="preserve"> LEFT(Sng2String(Table1[[#This Row],[g gain]]), 6)</f>
        <v>3F8666</v>
      </c>
      <c r="AN112" s="2" t="str">
        <f>DEC2HEX(Table1[[#This Row],[g inv sp mx idx]], 1)</f>
        <v>F</v>
      </c>
      <c r="AO112" s="2" t="str">
        <f xml:space="preserve"> LEFT(Sng2String(Table1[[#This Row],[a bias]]), 6)</f>
        <v>400666</v>
      </c>
      <c r="AP112" s="2" t="str">
        <f xml:space="preserve"> LEFT(Sng2String(Table1[[#This Row],[a gain]]), 6)</f>
        <v>3FCCCC</v>
      </c>
      <c r="AQ112" s="2" t="str">
        <f>DEC2HEX(Table1[[#This Row],[a inv sp mx idx]], 1)</f>
        <v>0</v>
      </c>
      <c r="AR112" s="2" t="str">
        <f xml:space="preserve"> LEFT(Sng2String(Table1[[#This Row],[c bias]]), 6)</f>
        <v>3F8CCC</v>
      </c>
      <c r="AS112" s="2" t="str">
        <f xml:space="preserve"> LEFT(Sng2String(Table1[[#This Row],[c gain]]), 6)</f>
        <v>400666</v>
      </c>
      <c r="AT112" s="2" t="str">
        <f>DEC2HEX(Table1[[#This Row],[c inv sp mx idx]], 1)</f>
        <v>1</v>
      </c>
      <c r="AU112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00902DDD223F8CCC400666E3FCCCC3F8666F4006663FCCCC03F8CCC400666102</v>
      </c>
      <c r="AV112" s="2">
        <f>LEN(Table1[[#This Row],[DRAM data]])</f>
        <v>64</v>
      </c>
    </row>
    <row r="113" spans="1:48" x14ac:dyDescent="0.25">
      <c r="A113">
        <v>111</v>
      </c>
      <c r="B113">
        <f>Table1[[#This Row],[ZMW num]]+1</f>
        <v>112</v>
      </c>
      <c r="C113">
        <v>9</v>
      </c>
      <c r="D113">
        <f t="shared" si="2"/>
        <v>50</v>
      </c>
      <c r="E113">
        <v>223</v>
      </c>
      <c r="F113">
        <v>32</v>
      </c>
      <c r="G113">
        <v>0</v>
      </c>
      <c r="H113">
        <f>Table1[[#This Row],[ZMW num]]*0.01</f>
        <v>1.1100000000000001</v>
      </c>
      <c r="I113">
        <f>1+Table1[[#This Row],[t bias]]</f>
        <v>2.1100000000000003</v>
      </c>
      <c r="J113">
        <f>Table1[[#This Row],[t kinetic trace]]* String2Single(CONCATENATE(LEFT(Single2String(Table1[[#This Row],[t gain]]), 6), "00")) + String2Single(CONCATENATE(LEFT(Single2String(Table1[[#This Row],[t bias]]), 6), "00"))</f>
        <v>1.1099853515625</v>
      </c>
      <c r="K113" t="str">
        <f>Sng2String(Table1[[#This Row],[t ptrace]])</f>
        <v>3F8E1400</v>
      </c>
      <c r="L113">
        <f>MOD(Table1[[#This Row],[ZMW num]], 2^4)</f>
        <v>15</v>
      </c>
      <c r="M113">
        <v>0</v>
      </c>
      <c r="N113">
        <f>Table1[[#This Row],[t bias]]+0.5</f>
        <v>1.61</v>
      </c>
      <c r="O113">
        <f>Table1[[#This Row],[t gain]]/2</f>
        <v>1.0550000000000002</v>
      </c>
      <c r="P113">
        <f>Table1[[#This Row],[g kinetic trace]] * String2Single(CONCATENATE(LEFT(Single2String(Table1[[#This Row],[g gain]]), 6), "00")) + String2Single(CONCATENATE(LEFT(Single2String(Table1[[#This Row],[g bias]]), 6), "00"))</f>
        <v>1.6099853515625</v>
      </c>
      <c r="Q113" t="str">
        <f xml:space="preserve"> Sng2String(Table1[[#This Row],[g ptrace]])</f>
        <v>3FCE1400</v>
      </c>
      <c r="R113">
        <f>MOD(Table1[[#This Row],[t inv sp mx idx]]+1, 2^4)</f>
        <v>0</v>
      </c>
      <c r="S113">
        <v>0</v>
      </c>
      <c r="T113">
        <f>Table1[[#This Row],[t bias]]+1</f>
        <v>2.1100000000000003</v>
      </c>
      <c r="U113">
        <f>Table1[[#This Row],[t gain]]-0.5</f>
        <v>1.6100000000000003</v>
      </c>
      <c r="V113">
        <f>Table1[[#This Row],[a kinetic trace]] * String2Single(CONCATENATE(LEFT(Single2String(Table1[[#This Row],[a gain]]), 6), "00")) + String2Single(CONCATENATE(LEFT(Single2String(Table1[[#This Row],[a bias]]), 6), "00"))</f>
        <v>2.1099853515625</v>
      </c>
      <c r="W113" t="str">
        <f xml:space="preserve"> Sng2String(Table1[[#This Row],[a ptrace]])</f>
        <v>40070A00</v>
      </c>
      <c r="X113">
        <f>MOD(Table1[[#This Row],[t inv sp mx idx]]+2, 2^4)</f>
        <v>1</v>
      </c>
      <c r="Y113">
        <v>0</v>
      </c>
      <c r="Z113">
        <f>Table1[[#This Row],[t bias]]</f>
        <v>1.1100000000000001</v>
      </c>
      <c r="AA113">
        <f>Table1[[#This Row],[t gain]]</f>
        <v>2.1100000000000003</v>
      </c>
      <c r="AB113">
        <f>Table1[[#This Row],[c kinetic trace]]* String2Single(CONCATENATE(LEFT(Single2String(Table1[[#This Row],[c gain]]), 6), "00")) + String2Single(CONCATENATE(LEFT(Single2String(Table1[[#This Row],[c bias]]), 6), "00"))</f>
        <v>1.1099853515625</v>
      </c>
      <c r="AC113" t="str">
        <f xml:space="preserve"> Sng2String(Table1[[#This Row],[c ptrace]])</f>
        <v>3F8E1400</v>
      </c>
      <c r="AD113">
        <f>MOD(Table1[[#This Row],[t inv sp mx idx]]+3, 2^4)</f>
        <v>2</v>
      </c>
      <c r="AE113" s="4" t="str">
        <f>DEC2HEX(Table1[[#This Row],[row]], 3)</f>
        <v>009</v>
      </c>
      <c r="AF113" s="2" t="str">
        <f>DEC2HEX(Table1[[#This Row],[col]], 3)</f>
        <v>032</v>
      </c>
      <c r="AG113" s="2" t="str">
        <f>DEC2HEX(Table1[[#This Row],[grn fsp idx]], 2)</f>
        <v>DF</v>
      </c>
      <c r="AH113" s="2" t="str">
        <f>DEC2HEX(Table1[[#This Row],[red fsp idx]], 2)</f>
        <v>20</v>
      </c>
      <c r="AI113" s="2" t="str">
        <f xml:space="preserve"> LEFT(Sng2String(Table1[[#This Row],[t bias]]), 6)</f>
        <v>3F8E14</v>
      </c>
      <c r="AJ113" s="2" t="str">
        <f xml:space="preserve"> LEFT(Sng2String(Table1[[#This Row],[t gain]]), 6)</f>
        <v>40070A</v>
      </c>
      <c r="AK113" s="2" t="str">
        <f>DEC2HEX(Table1[[#This Row],[t inv sp mx idx]], 1)</f>
        <v>F</v>
      </c>
      <c r="AL113" s="2" t="str">
        <f xml:space="preserve"> LEFT(Sng2String(Table1[[#This Row],[g bias]]), 6)</f>
        <v>3FCE14</v>
      </c>
      <c r="AM113" s="2" t="str">
        <f xml:space="preserve"> LEFT(Sng2String(Table1[[#This Row],[g gain]]), 6)</f>
        <v>3F870A</v>
      </c>
      <c r="AN113" s="2" t="str">
        <f>DEC2HEX(Table1[[#This Row],[g inv sp mx idx]], 1)</f>
        <v>0</v>
      </c>
      <c r="AO113" s="2" t="str">
        <f xml:space="preserve"> LEFT(Sng2String(Table1[[#This Row],[a bias]]), 6)</f>
        <v>40070A</v>
      </c>
      <c r="AP113" s="2" t="str">
        <f xml:space="preserve"> LEFT(Sng2String(Table1[[#This Row],[a gain]]), 6)</f>
        <v>3FCE14</v>
      </c>
      <c r="AQ113" s="2" t="str">
        <f>DEC2HEX(Table1[[#This Row],[a inv sp mx idx]], 1)</f>
        <v>1</v>
      </c>
      <c r="AR113" s="2" t="str">
        <f xml:space="preserve"> LEFT(Sng2String(Table1[[#This Row],[c bias]]), 6)</f>
        <v>3F8E14</v>
      </c>
      <c r="AS113" s="2" t="str">
        <f xml:space="preserve"> LEFT(Sng2String(Table1[[#This Row],[c gain]]), 6)</f>
        <v>40070A</v>
      </c>
      <c r="AT113" s="2" t="str">
        <f>DEC2HEX(Table1[[#This Row],[c inv sp mx idx]], 1)</f>
        <v>2</v>
      </c>
      <c r="AU113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009032DF203F8E1440070AF3FCE143F870A040070A3FCE1413F8E1440070A202</v>
      </c>
      <c r="AV113" s="2">
        <f>LEN(Table1[[#This Row],[DRAM data]])</f>
        <v>64</v>
      </c>
    </row>
    <row r="114" spans="1:48" x14ac:dyDescent="0.25">
      <c r="A114">
        <v>112</v>
      </c>
      <c r="B114">
        <f>Table1[[#This Row],[ZMW num]]+1</f>
        <v>113</v>
      </c>
      <c r="C114">
        <v>9</v>
      </c>
      <c r="D114">
        <f t="shared" si="2"/>
        <v>54</v>
      </c>
      <c r="E114">
        <v>225</v>
      </c>
      <c r="F114">
        <v>30</v>
      </c>
      <c r="G114">
        <v>0</v>
      </c>
      <c r="H114">
        <f>Table1[[#This Row],[ZMW num]]*0.01</f>
        <v>1.1200000000000001</v>
      </c>
      <c r="I114">
        <f>1+Table1[[#This Row],[t bias]]</f>
        <v>2.12</v>
      </c>
      <c r="J114">
        <f>Table1[[#This Row],[t kinetic trace]]* String2Single(CONCATENATE(LEFT(Single2String(Table1[[#This Row],[t gain]]), 6), "00")) + String2Single(CONCATENATE(LEFT(Single2String(Table1[[#This Row],[t bias]]), 6), "00"))</f>
        <v>1.1199951171875</v>
      </c>
      <c r="K114" t="str">
        <f>Sng2String(Table1[[#This Row],[t ptrace]])</f>
        <v>3F8F5C00</v>
      </c>
      <c r="L114">
        <f>MOD(Table1[[#This Row],[ZMW num]], 2^4)</f>
        <v>0</v>
      </c>
      <c r="M114">
        <v>0</v>
      </c>
      <c r="N114">
        <f>Table1[[#This Row],[t bias]]+0.5</f>
        <v>1.62</v>
      </c>
      <c r="O114">
        <f>Table1[[#This Row],[t gain]]/2</f>
        <v>1.06</v>
      </c>
      <c r="P114">
        <f>Table1[[#This Row],[g kinetic trace]] * String2Single(CONCATENATE(LEFT(Single2String(Table1[[#This Row],[g gain]]), 6), "00")) + String2Single(CONCATENATE(LEFT(Single2String(Table1[[#This Row],[g bias]]), 6), "00"))</f>
        <v>1.6199951171875</v>
      </c>
      <c r="Q114" t="str">
        <f xml:space="preserve"> Sng2String(Table1[[#This Row],[g ptrace]])</f>
        <v>3FCF5C00</v>
      </c>
      <c r="R114">
        <f>MOD(Table1[[#This Row],[t inv sp mx idx]]+1, 2^4)</f>
        <v>1</v>
      </c>
      <c r="S114">
        <v>0</v>
      </c>
      <c r="T114">
        <f>Table1[[#This Row],[t bias]]+1</f>
        <v>2.12</v>
      </c>
      <c r="U114">
        <f>Table1[[#This Row],[t gain]]-0.5</f>
        <v>1.62</v>
      </c>
      <c r="V114">
        <f>Table1[[#This Row],[a kinetic trace]] * String2Single(CONCATENATE(LEFT(Single2String(Table1[[#This Row],[a gain]]), 6), "00")) + String2Single(CONCATENATE(LEFT(Single2String(Table1[[#This Row],[a bias]]), 6), "00"))</f>
        <v>2.1199951171875</v>
      </c>
      <c r="W114" t="str">
        <f xml:space="preserve"> Sng2String(Table1[[#This Row],[a ptrace]])</f>
        <v>4007AE00</v>
      </c>
      <c r="X114">
        <f>MOD(Table1[[#This Row],[t inv sp mx idx]]+2, 2^4)</f>
        <v>2</v>
      </c>
      <c r="Y114">
        <v>0</v>
      </c>
      <c r="Z114">
        <f>Table1[[#This Row],[t bias]]</f>
        <v>1.1200000000000001</v>
      </c>
      <c r="AA114">
        <f>Table1[[#This Row],[t gain]]</f>
        <v>2.12</v>
      </c>
      <c r="AB114">
        <f>Table1[[#This Row],[c kinetic trace]]* String2Single(CONCATENATE(LEFT(Single2String(Table1[[#This Row],[c gain]]), 6), "00")) + String2Single(CONCATENATE(LEFT(Single2String(Table1[[#This Row],[c bias]]), 6), "00"))</f>
        <v>1.1199951171875</v>
      </c>
      <c r="AC114" t="str">
        <f xml:space="preserve"> Sng2String(Table1[[#This Row],[c ptrace]])</f>
        <v>3F8F5C00</v>
      </c>
      <c r="AD114">
        <f>MOD(Table1[[#This Row],[t inv sp mx idx]]+3, 2^4)</f>
        <v>3</v>
      </c>
      <c r="AE114" s="4" t="str">
        <f>DEC2HEX(Table1[[#This Row],[row]], 3)</f>
        <v>009</v>
      </c>
      <c r="AF114" s="2" t="str">
        <f>DEC2HEX(Table1[[#This Row],[col]], 3)</f>
        <v>036</v>
      </c>
      <c r="AG114" s="2" t="str">
        <f>DEC2HEX(Table1[[#This Row],[grn fsp idx]], 2)</f>
        <v>E1</v>
      </c>
      <c r="AH114" s="2" t="str">
        <f>DEC2HEX(Table1[[#This Row],[red fsp idx]], 2)</f>
        <v>1E</v>
      </c>
      <c r="AI114" s="2" t="str">
        <f xml:space="preserve"> LEFT(Sng2String(Table1[[#This Row],[t bias]]), 6)</f>
        <v>3F8F5C</v>
      </c>
      <c r="AJ114" s="2" t="str">
        <f xml:space="preserve"> LEFT(Sng2String(Table1[[#This Row],[t gain]]), 6)</f>
        <v>4007AE</v>
      </c>
      <c r="AK114" s="2" t="str">
        <f>DEC2HEX(Table1[[#This Row],[t inv sp mx idx]], 1)</f>
        <v>0</v>
      </c>
      <c r="AL114" s="2" t="str">
        <f xml:space="preserve"> LEFT(Sng2String(Table1[[#This Row],[g bias]]), 6)</f>
        <v>3FCF5C</v>
      </c>
      <c r="AM114" s="2" t="str">
        <f xml:space="preserve"> LEFT(Sng2String(Table1[[#This Row],[g gain]]), 6)</f>
        <v>3F87AE</v>
      </c>
      <c r="AN114" s="2" t="str">
        <f>DEC2HEX(Table1[[#This Row],[g inv sp mx idx]], 1)</f>
        <v>1</v>
      </c>
      <c r="AO114" s="2" t="str">
        <f xml:space="preserve"> LEFT(Sng2String(Table1[[#This Row],[a bias]]), 6)</f>
        <v>4007AE</v>
      </c>
      <c r="AP114" s="2" t="str">
        <f xml:space="preserve"> LEFT(Sng2String(Table1[[#This Row],[a gain]]), 6)</f>
        <v>3FCF5C</v>
      </c>
      <c r="AQ114" s="2" t="str">
        <f>DEC2HEX(Table1[[#This Row],[a inv sp mx idx]], 1)</f>
        <v>2</v>
      </c>
      <c r="AR114" s="2" t="str">
        <f xml:space="preserve"> LEFT(Sng2String(Table1[[#This Row],[c bias]]), 6)</f>
        <v>3F8F5C</v>
      </c>
      <c r="AS114" s="2" t="str">
        <f xml:space="preserve"> LEFT(Sng2String(Table1[[#This Row],[c gain]]), 6)</f>
        <v>4007AE</v>
      </c>
      <c r="AT114" s="2" t="str">
        <f>DEC2HEX(Table1[[#This Row],[c inv sp mx idx]], 1)</f>
        <v>3</v>
      </c>
      <c r="AU114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009036E11E3F8F5C4007AE03FCF5C3F87AE14007AE3FCF5C23F8F5C4007AE302</v>
      </c>
      <c r="AV114" s="2">
        <f>LEN(Table1[[#This Row],[DRAM data]])</f>
        <v>64</v>
      </c>
    </row>
    <row r="115" spans="1:48" x14ac:dyDescent="0.25">
      <c r="A115">
        <v>113</v>
      </c>
      <c r="B115">
        <f>Table1[[#This Row],[ZMW num]]+1</f>
        <v>114</v>
      </c>
      <c r="C115">
        <v>9</v>
      </c>
      <c r="D115">
        <f t="shared" si="2"/>
        <v>57</v>
      </c>
      <c r="E115">
        <v>227</v>
      </c>
      <c r="F115">
        <v>28</v>
      </c>
      <c r="G115">
        <v>0</v>
      </c>
      <c r="H115">
        <f>Table1[[#This Row],[ZMW num]]*0.01</f>
        <v>1.1300000000000001</v>
      </c>
      <c r="I115">
        <f>1+Table1[[#This Row],[t bias]]</f>
        <v>2.13</v>
      </c>
      <c r="J115">
        <f>Table1[[#This Row],[t kinetic trace]]* String2Single(CONCATENATE(LEFT(Single2String(Table1[[#This Row],[t gain]]), 6), "00")) + String2Single(CONCATENATE(LEFT(Single2String(Table1[[#This Row],[t bias]]), 6), "00"))</f>
        <v>1.129974365234375</v>
      </c>
      <c r="K115" t="str">
        <f>Sng2String(Table1[[#This Row],[t ptrace]])</f>
        <v>3F90A300</v>
      </c>
      <c r="L115">
        <f>MOD(Table1[[#This Row],[ZMW num]], 2^4)</f>
        <v>1</v>
      </c>
      <c r="M115">
        <v>0</v>
      </c>
      <c r="N115">
        <f>Table1[[#This Row],[t bias]]+0.5</f>
        <v>1.6300000000000001</v>
      </c>
      <c r="O115">
        <f>Table1[[#This Row],[t gain]]/2</f>
        <v>1.0649999999999999</v>
      </c>
      <c r="P115">
        <f>Table1[[#This Row],[g kinetic trace]] * String2Single(CONCATENATE(LEFT(Single2String(Table1[[#This Row],[g gain]]), 6), "00")) + String2Single(CONCATENATE(LEFT(Single2String(Table1[[#This Row],[g bias]]), 6), "00"))</f>
        <v>1.629974365234375</v>
      </c>
      <c r="Q115" t="str">
        <f xml:space="preserve"> Sng2String(Table1[[#This Row],[g ptrace]])</f>
        <v>3FD0A300</v>
      </c>
      <c r="R115">
        <f>MOD(Table1[[#This Row],[t inv sp mx idx]]+1, 2^4)</f>
        <v>2</v>
      </c>
      <c r="S115">
        <v>0</v>
      </c>
      <c r="T115">
        <f>Table1[[#This Row],[t bias]]+1</f>
        <v>2.13</v>
      </c>
      <c r="U115">
        <f>Table1[[#This Row],[t gain]]-0.5</f>
        <v>1.63</v>
      </c>
      <c r="V115">
        <f>Table1[[#This Row],[a kinetic trace]] * String2Single(CONCATENATE(LEFT(Single2String(Table1[[#This Row],[a gain]]), 6), "00")) + String2Single(CONCATENATE(LEFT(Single2String(Table1[[#This Row],[a bias]]), 6), "00"))</f>
        <v>2.12994384765625</v>
      </c>
      <c r="W115" t="str">
        <f xml:space="preserve"> Sng2String(Table1[[#This Row],[a ptrace]])</f>
        <v>40085100</v>
      </c>
      <c r="X115">
        <f>MOD(Table1[[#This Row],[t inv sp mx idx]]+2, 2^4)</f>
        <v>3</v>
      </c>
      <c r="Y115">
        <v>0</v>
      </c>
      <c r="Z115">
        <f>Table1[[#This Row],[t bias]]</f>
        <v>1.1300000000000001</v>
      </c>
      <c r="AA115">
        <f>Table1[[#This Row],[t gain]]</f>
        <v>2.13</v>
      </c>
      <c r="AB115">
        <f>Table1[[#This Row],[c kinetic trace]]* String2Single(CONCATENATE(LEFT(Single2String(Table1[[#This Row],[c gain]]), 6), "00")) + String2Single(CONCATENATE(LEFT(Single2String(Table1[[#This Row],[c bias]]), 6), "00"))</f>
        <v>1.129974365234375</v>
      </c>
      <c r="AC115" t="str">
        <f xml:space="preserve"> Sng2String(Table1[[#This Row],[c ptrace]])</f>
        <v>3F90A300</v>
      </c>
      <c r="AD115">
        <f>MOD(Table1[[#This Row],[t inv sp mx idx]]+3, 2^4)</f>
        <v>4</v>
      </c>
      <c r="AE115" s="4" t="str">
        <f>DEC2HEX(Table1[[#This Row],[row]], 3)</f>
        <v>009</v>
      </c>
      <c r="AF115" s="2" t="str">
        <f>DEC2HEX(Table1[[#This Row],[col]], 3)</f>
        <v>039</v>
      </c>
      <c r="AG115" s="2" t="str">
        <f>DEC2HEX(Table1[[#This Row],[grn fsp idx]], 2)</f>
        <v>E3</v>
      </c>
      <c r="AH115" s="2" t="str">
        <f>DEC2HEX(Table1[[#This Row],[red fsp idx]], 2)</f>
        <v>1C</v>
      </c>
      <c r="AI115" s="2" t="str">
        <f xml:space="preserve"> LEFT(Sng2String(Table1[[#This Row],[t bias]]), 6)</f>
        <v>3F90A3</v>
      </c>
      <c r="AJ115" s="2" t="str">
        <f xml:space="preserve"> LEFT(Sng2String(Table1[[#This Row],[t gain]]), 6)</f>
        <v>400851</v>
      </c>
      <c r="AK115" s="2" t="str">
        <f>DEC2HEX(Table1[[#This Row],[t inv sp mx idx]], 1)</f>
        <v>1</v>
      </c>
      <c r="AL115" s="2" t="str">
        <f xml:space="preserve"> LEFT(Sng2String(Table1[[#This Row],[g bias]]), 6)</f>
        <v>3FD0A3</v>
      </c>
      <c r="AM115" s="2" t="str">
        <f xml:space="preserve"> LEFT(Sng2String(Table1[[#This Row],[g gain]]), 6)</f>
        <v>3F8851</v>
      </c>
      <c r="AN115" s="2" t="str">
        <f>DEC2HEX(Table1[[#This Row],[g inv sp mx idx]], 1)</f>
        <v>2</v>
      </c>
      <c r="AO115" s="2" t="str">
        <f xml:space="preserve"> LEFT(Sng2String(Table1[[#This Row],[a bias]]), 6)</f>
        <v>400851</v>
      </c>
      <c r="AP115" s="2" t="str">
        <f xml:space="preserve"> LEFT(Sng2String(Table1[[#This Row],[a gain]]), 6)</f>
        <v>3FD0A3</v>
      </c>
      <c r="AQ115" s="2" t="str">
        <f>DEC2HEX(Table1[[#This Row],[a inv sp mx idx]], 1)</f>
        <v>3</v>
      </c>
      <c r="AR115" s="2" t="str">
        <f xml:space="preserve"> LEFT(Sng2String(Table1[[#This Row],[c bias]]), 6)</f>
        <v>3F90A3</v>
      </c>
      <c r="AS115" s="2" t="str">
        <f xml:space="preserve"> LEFT(Sng2String(Table1[[#This Row],[c gain]]), 6)</f>
        <v>400851</v>
      </c>
      <c r="AT115" s="2" t="str">
        <f>DEC2HEX(Table1[[#This Row],[c inv sp mx idx]], 1)</f>
        <v>4</v>
      </c>
      <c r="AU115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009039E31C3F90A340085113FD0A33F885124008513FD0A333F90A3400851402</v>
      </c>
      <c r="AV115" s="2">
        <f>LEN(Table1[[#This Row],[DRAM data]])</f>
        <v>64</v>
      </c>
    </row>
    <row r="116" spans="1:48" x14ac:dyDescent="0.25">
      <c r="A116">
        <v>114</v>
      </c>
      <c r="B116">
        <f>Table1[[#This Row],[ZMW num]]+1</f>
        <v>115</v>
      </c>
      <c r="C116">
        <v>9</v>
      </c>
      <c r="D116">
        <f t="shared" si="2"/>
        <v>60</v>
      </c>
      <c r="E116">
        <v>229</v>
      </c>
      <c r="F116">
        <v>26</v>
      </c>
      <c r="G116">
        <v>0</v>
      </c>
      <c r="H116">
        <f>Table1[[#This Row],[ZMW num]]*0.01</f>
        <v>1.1400000000000001</v>
      </c>
      <c r="I116">
        <f>1+Table1[[#This Row],[t bias]]</f>
        <v>2.14</v>
      </c>
      <c r="J116">
        <f>Table1[[#This Row],[t kinetic trace]]* String2Single(CONCATENATE(LEFT(Single2String(Table1[[#This Row],[t gain]]), 6), "00")) + String2Single(CONCATENATE(LEFT(Single2String(Table1[[#This Row],[t bias]]), 6), "00"))</f>
        <v>1.139984130859375</v>
      </c>
      <c r="K116" t="str">
        <f>Sng2String(Table1[[#This Row],[t ptrace]])</f>
        <v>3F91EB00</v>
      </c>
      <c r="L116">
        <f>MOD(Table1[[#This Row],[ZMW num]], 2^4)</f>
        <v>2</v>
      </c>
      <c r="M116">
        <v>0</v>
      </c>
      <c r="N116">
        <f>Table1[[#This Row],[t bias]]+0.5</f>
        <v>1.6400000000000001</v>
      </c>
      <c r="O116">
        <f>Table1[[#This Row],[t gain]]/2</f>
        <v>1.07</v>
      </c>
      <c r="P116">
        <f>Table1[[#This Row],[g kinetic trace]] * String2Single(CONCATENATE(LEFT(Single2String(Table1[[#This Row],[g gain]]), 6), "00")) + String2Single(CONCATENATE(LEFT(Single2String(Table1[[#This Row],[g bias]]), 6), "00"))</f>
        <v>1.639984130859375</v>
      </c>
      <c r="Q116" t="str">
        <f xml:space="preserve"> Sng2String(Table1[[#This Row],[g ptrace]])</f>
        <v>3FD1EB00</v>
      </c>
      <c r="R116">
        <f>MOD(Table1[[#This Row],[t inv sp mx idx]]+1, 2^4)</f>
        <v>3</v>
      </c>
      <c r="S116">
        <v>0</v>
      </c>
      <c r="T116">
        <f>Table1[[#This Row],[t bias]]+1</f>
        <v>2.14</v>
      </c>
      <c r="U116">
        <f>Table1[[#This Row],[t gain]]-0.5</f>
        <v>1.6400000000000001</v>
      </c>
      <c r="V116">
        <f>Table1[[#This Row],[a kinetic trace]] * String2Single(CONCATENATE(LEFT(Single2String(Table1[[#This Row],[a gain]]), 6), "00")) + String2Single(CONCATENATE(LEFT(Single2String(Table1[[#This Row],[a bias]]), 6), "00"))</f>
        <v>2.13995361328125</v>
      </c>
      <c r="W116" t="str">
        <f xml:space="preserve"> Sng2String(Table1[[#This Row],[a ptrace]])</f>
        <v>4008F500</v>
      </c>
      <c r="X116">
        <f>MOD(Table1[[#This Row],[t inv sp mx idx]]+2, 2^4)</f>
        <v>4</v>
      </c>
      <c r="Y116">
        <v>0</v>
      </c>
      <c r="Z116">
        <f>Table1[[#This Row],[t bias]]</f>
        <v>1.1400000000000001</v>
      </c>
      <c r="AA116">
        <f>Table1[[#This Row],[t gain]]</f>
        <v>2.14</v>
      </c>
      <c r="AB116">
        <f>Table1[[#This Row],[c kinetic trace]]* String2Single(CONCATENATE(LEFT(Single2String(Table1[[#This Row],[c gain]]), 6), "00")) + String2Single(CONCATENATE(LEFT(Single2String(Table1[[#This Row],[c bias]]), 6), "00"))</f>
        <v>1.139984130859375</v>
      </c>
      <c r="AC116" t="str">
        <f xml:space="preserve"> Sng2String(Table1[[#This Row],[c ptrace]])</f>
        <v>3F91EB00</v>
      </c>
      <c r="AD116">
        <f>MOD(Table1[[#This Row],[t inv sp mx idx]]+3, 2^4)</f>
        <v>5</v>
      </c>
      <c r="AE116" s="4" t="str">
        <f>DEC2HEX(Table1[[#This Row],[row]], 3)</f>
        <v>009</v>
      </c>
      <c r="AF116" s="2" t="str">
        <f>DEC2HEX(Table1[[#This Row],[col]], 3)</f>
        <v>03C</v>
      </c>
      <c r="AG116" s="2" t="str">
        <f>DEC2HEX(Table1[[#This Row],[grn fsp idx]], 2)</f>
        <v>E5</v>
      </c>
      <c r="AH116" s="2" t="str">
        <f>DEC2HEX(Table1[[#This Row],[red fsp idx]], 2)</f>
        <v>1A</v>
      </c>
      <c r="AI116" s="2" t="str">
        <f xml:space="preserve"> LEFT(Sng2String(Table1[[#This Row],[t bias]]), 6)</f>
        <v>3F91EB</v>
      </c>
      <c r="AJ116" s="2" t="str">
        <f xml:space="preserve"> LEFT(Sng2String(Table1[[#This Row],[t gain]]), 6)</f>
        <v>4008F5</v>
      </c>
      <c r="AK116" s="2" t="str">
        <f>DEC2HEX(Table1[[#This Row],[t inv sp mx idx]], 1)</f>
        <v>2</v>
      </c>
      <c r="AL116" s="2" t="str">
        <f xml:space="preserve"> LEFT(Sng2String(Table1[[#This Row],[g bias]]), 6)</f>
        <v>3FD1EB</v>
      </c>
      <c r="AM116" s="2" t="str">
        <f xml:space="preserve"> LEFT(Sng2String(Table1[[#This Row],[g gain]]), 6)</f>
        <v>3F88F5</v>
      </c>
      <c r="AN116" s="2" t="str">
        <f>DEC2HEX(Table1[[#This Row],[g inv sp mx idx]], 1)</f>
        <v>3</v>
      </c>
      <c r="AO116" s="2" t="str">
        <f xml:space="preserve"> LEFT(Sng2String(Table1[[#This Row],[a bias]]), 6)</f>
        <v>4008F5</v>
      </c>
      <c r="AP116" s="2" t="str">
        <f xml:space="preserve"> LEFT(Sng2String(Table1[[#This Row],[a gain]]), 6)</f>
        <v>3FD1EB</v>
      </c>
      <c r="AQ116" s="2" t="str">
        <f>DEC2HEX(Table1[[#This Row],[a inv sp mx idx]], 1)</f>
        <v>4</v>
      </c>
      <c r="AR116" s="2" t="str">
        <f xml:space="preserve"> LEFT(Sng2String(Table1[[#This Row],[c bias]]), 6)</f>
        <v>3F91EB</v>
      </c>
      <c r="AS116" s="2" t="str">
        <f xml:space="preserve"> LEFT(Sng2String(Table1[[#This Row],[c gain]]), 6)</f>
        <v>4008F5</v>
      </c>
      <c r="AT116" s="2" t="str">
        <f>DEC2HEX(Table1[[#This Row],[c inv sp mx idx]], 1)</f>
        <v>5</v>
      </c>
      <c r="AU116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00903CE51A3F91EB4008F523FD1EB3F88F534008F53FD1EB43F91EB4008F5502</v>
      </c>
      <c r="AV116" s="2">
        <f>LEN(Table1[[#This Row],[DRAM data]])</f>
        <v>64</v>
      </c>
    </row>
    <row r="117" spans="1:48" x14ac:dyDescent="0.25">
      <c r="A117">
        <v>115</v>
      </c>
      <c r="B117">
        <f>Table1[[#This Row],[ZMW num]]+1</f>
        <v>116</v>
      </c>
      <c r="C117">
        <v>9</v>
      </c>
      <c r="D117">
        <f t="shared" si="2"/>
        <v>64</v>
      </c>
      <c r="E117">
        <v>231</v>
      </c>
      <c r="F117">
        <v>24</v>
      </c>
      <c r="G117">
        <v>0</v>
      </c>
      <c r="H117">
        <f>Table1[[#This Row],[ZMW num]]*0.01</f>
        <v>1.1500000000000001</v>
      </c>
      <c r="I117">
        <f>1+Table1[[#This Row],[t bias]]</f>
        <v>2.1500000000000004</v>
      </c>
      <c r="J117">
        <f>Table1[[#This Row],[t kinetic trace]]* String2Single(CONCATENATE(LEFT(Single2String(Table1[[#This Row],[t gain]]), 6), "00")) + String2Single(CONCATENATE(LEFT(Single2String(Table1[[#This Row],[t bias]]), 6), "00"))</f>
        <v>1.149993896484375</v>
      </c>
      <c r="K117" t="str">
        <f>Sng2String(Table1[[#This Row],[t ptrace]])</f>
        <v>3F933300</v>
      </c>
      <c r="L117">
        <f>MOD(Table1[[#This Row],[ZMW num]], 2^4)</f>
        <v>3</v>
      </c>
      <c r="M117">
        <v>0</v>
      </c>
      <c r="N117">
        <f>Table1[[#This Row],[t bias]]+0.5</f>
        <v>1.6500000000000001</v>
      </c>
      <c r="O117">
        <f>Table1[[#This Row],[t gain]]/2</f>
        <v>1.0750000000000002</v>
      </c>
      <c r="P117">
        <f>Table1[[#This Row],[g kinetic trace]] * String2Single(CONCATENATE(LEFT(Single2String(Table1[[#This Row],[g gain]]), 6), "00")) + String2Single(CONCATENATE(LEFT(Single2String(Table1[[#This Row],[g bias]]), 6), "00"))</f>
        <v>1.649993896484375</v>
      </c>
      <c r="Q117" t="str">
        <f xml:space="preserve"> Sng2String(Table1[[#This Row],[g ptrace]])</f>
        <v>3FD33300</v>
      </c>
      <c r="R117">
        <f>MOD(Table1[[#This Row],[t inv sp mx idx]]+1, 2^4)</f>
        <v>4</v>
      </c>
      <c r="S117">
        <v>0</v>
      </c>
      <c r="T117">
        <f>Table1[[#This Row],[t bias]]+1</f>
        <v>2.1500000000000004</v>
      </c>
      <c r="U117">
        <f>Table1[[#This Row],[t gain]]-0.5</f>
        <v>1.6500000000000004</v>
      </c>
      <c r="V117">
        <f>Table1[[#This Row],[a kinetic trace]] * String2Single(CONCATENATE(LEFT(Single2String(Table1[[#This Row],[a gain]]), 6), "00")) + String2Single(CONCATENATE(LEFT(Single2String(Table1[[#This Row],[a bias]]), 6), "00"))</f>
        <v>2.14996337890625</v>
      </c>
      <c r="W117" t="str">
        <f xml:space="preserve"> Sng2String(Table1[[#This Row],[a ptrace]])</f>
        <v>40099900</v>
      </c>
      <c r="X117">
        <f>MOD(Table1[[#This Row],[t inv sp mx idx]]+2, 2^4)</f>
        <v>5</v>
      </c>
      <c r="Y117">
        <v>0</v>
      </c>
      <c r="Z117">
        <f>Table1[[#This Row],[t bias]]</f>
        <v>1.1500000000000001</v>
      </c>
      <c r="AA117">
        <f>Table1[[#This Row],[t gain]]</f>
        <v>2.1500000000000004</v>
      </c>
      <c r="AB117">
        <f>Table1[[#This Row],[c kinetic trace]]* String2Single(CONCATENATE(LEFT(Single2String(Table1[[#This Row],[c gain]]), 6), "00")) + String2Single(CONCATENATE(LEFT(Single2String(Table1[[#This Row],[c bias]]), 6), "00"))</f>
        <v>1.149993896484375</v>
      </c>
      <c r="AC117" t="str">
        <f xml:space="preserve"> Sng2String(Table1[[#This Row],[c ptrace]])</f>
        <v>3F933300</v>
      </c>
      <c r="AD117">
        <f>MOD(Table1[[#This Row],[t inv sp mx idx]]+3, 2^4)</f>
        <v>6</v>
      </c>
      <c r="AE117" s="4" t="str">
        <f>DEC2HEX(Table1[[#This Row],[row]], 3)</f>
        <v>009</v>
      </c>
      <c r="AF117" s="2" t="str">
        <f>DEC2HEX(Table1[[#This Row],[col]], 3)</f>
        <v>040</v>
      </c>
      <c r="AG117" s="2" t="str">
        <f>DEC2HEX(Table1[[#This Row],[grn fsp idx]], 2)</f>
        <v>E7</v>
      </c>
      <c r="AH117" s="2" t="str">
        <f>DEC2HEX(Table1[[#This Row],[red fsp idx]], 2)</f>
        <v>18</v>
      </c>
      <c r="AI117" s="2" t="str">
        <f xml:space="preserve"> LEFT(Sng2String(Table1[[#This Row],[t bias]]), 6)</f>
        <v>3F9333</v>
      </c>
      <c r="AJ117" s="2" t="str">
        <f xml:space="preserve"> LEFT(Sng2String(Table1[[#This Row],[t gain]]), 6)</f>
        <v>400999</v>
      </c>
      <c r="AK117" s="2" t="str">
        <f>DEC2HEX(Table1[[#This Row],[t inv sp mx idx]], 1)</f>
        <v>3</v>
      </c>
      <c r="AL117" s="2" t="str">
        <f xml:space="preserve"> LEFT(Sng2String(Table1[[#This Row],[g bias]]), 6)</f>
        <v>3FD333</v>
      </c>
      <c r="AM117" s="2" t="str">
        <f xml:space="preserve"> LEFT(Sng2String(Table1[[#This Row],[g gain]]), 6)</f>
        <v>3F8999</v>
      </c>
      <c r="AN117" s="2" t="str">
        <f>DEC2HEX(Table1[[#This Row],[g inv sp mx idx]], 1)</f>
        <v>4</v>
      </c>
      <c r="AO117" s="2" t="str">
        <f xml:space="preserve"> LEFT(Sng2String(Table1[[#This Row],[a bias]]), 6)</f>
        <v>400999</v>
      </c>
      <c r="AP117" s="2" t="str">
        <f xml:space="preserve"> LEFT(Sng2String(Table1[[#This Row],[a gain]]), 6)</f>
        <v>3FD333</v>
      </c>
      <c r="AQ117" s="2" t="str">
        <f>DEC2HEX(Table1[[#This Row],[a inv sp mx idx]], 1)</f>
        <v>5</v>
      </c>
      <c r="AR117" s="2" t="str">
        <f xml:space="preserve"> LEFT(Sng2String(Table1[[#This Row],[c bias]]), 6)</f>
        <v>3F9333</v>
      </c>
      <c r="AS117" s="2" t="str">
        <f xml:space="preserve"> LEFT(Sng2String(Table1[[#This Row],[c gain]]), 6)</f>
        <v>400999</v>
      </c>
      <c r="AT117" s="2" t="str">
        <f>DEC2HEX(Table1[[#This Row],[c inv sp mx idx]], 1)</f>
        <v>6</v>
      </c>
      <c r="AU117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009040E7183F933340099933FD3333F899944009993FD33353F9333400999602</v>
      </c>
      <c r="AV117" s="2">
        <f>LEN(Table1[[#This Row],[DRAM data]])</f>
        <v>64</v>
      </c>
    </row>
    <row r="118" spans="1:48" x14ac:dyDescent="0.25">
      <c r="A118">
        <v>116</v>
      </c>
      <c r="B118">
        <f>Table1[[#This Row],[ZMW num]]+1</f>
        <v>117</v>
      </c>
      <c r="C118">
        <v>9</v>
      </c>
      <c r="D118">
        <f t="shared" si="2"/>
        <v>66</v>
      </c>
      <c r="E118">
        <v>233</v>
      </c>
      <c r="F118">
        <v>22</v>
      </c>
      <c r="G118">
        <v>0</v>
      </c>
      <c r="H118">
        <f>Table1[[#This Row],[ZMW num]]*0.01</f>
        <v>1.1599999999999999</v>
      </c>
      <c r="I118">
        <f>1+Table1[[#This Row],[t bias]]</f>
        <v>2.16</v>
      </c>
      <c r="J118">
        <f>Table1[[#This Row],[t kinetic trace]]* String2Single(CONCATENATE(LEFT(Single2String(Table1[[#This Row],[t gain]]), 6), "00")) + String2Single(CONCATENATE(LEFT(Single2String(Table1[[#This Row],[t bias]]), 6), "00"))</f>
        <v>1.15997314453125</v>
      </c>
      <c r="K118" t="str">
        <f>Sng2String(Table1[[#This Row],[t ptrace]])</f>
        <v>3F947A00</v>
      </c>
      <c r="L118">
        <f>MOD(Table1[[#This Row],[ZMW num]], 2^4)</f>
        <v>4</v>
      </c>
      <c r="M118">
        <v>0</v>
      </c>
      <c r="N118">
        <f>Table1[[#This Row],[t bias]]+0.5</f>
        <v>1.66</v>
      </c>
      <c r="O118">
        <f>Table1[[#This Row],[t gain]]/2</f>
        <v>1.08</v>
      </c>
      <c r="P118">
        <f>Table1[[#This Row],[g kinetic trace]] * String2Single(CONCATENATE(LEFT(Single2String(Table1[[#This Row],[g gain]]), 6), "00")) + String2Single(CONCATENATE(LEFT(Single2String(Table1[[#This Row],[g bias]]), 6), "00"))</f>
        <v>1.65997314453125</v>
      </c>
      <c r="Q118" t="str">
        <f xml:space="preserve"> Sng2String(Table1[[#This Row],[g ptrace]])</f>
        <v>3FD47A00</v>
      </c>
      <c r="R118">
        <f>MOD(Table1[[#This Row],[t inv sp mx idx]]+1, 2^4)</f>
        <v>5</v>
      </c>
      <c r="S118">
        <v>0</v>
      </c>
      <c r="T118">
        <f>Table1[[#This Row],[t bias]]+1</f>
        <v>2.16</v>
      </c>
      <c r="U118">
        <f>Table1[[#This Row],[t gain]]-0.5</f>
        <v>1.6600000000000001</v>
      </c>
      <c r="V118">
        <f>Table1[[#This Row],[a kinetic trace]] * String2Single(CONCATENATE(LEFT(Single2String(Table1[[#This Row],[a gain]]), 6), "00")) + String2Single(CONCATENATE(LEFT(Single2String(Table1[[#This Row],[a bias]]), 6), "00"))</f>
        <v>2.15997314453125</v>
      </c>
      <c r="W118" t="str">
        <f xml:space="preserve"> Sng2String(Table1[[#This Row],[a ptrace]])</f>
        <v>400A3D00</v>
      </c>
      <c r="X118">
        <f>MOD(Table1[[#This Row],[t inv sp mx idx]]+2, 2^4)</f>
        <v>6</v>
      </c>
      <c r="Y118">
        <v>0</v>
      </c>
      <c r="Z118">
        <f>Table1[[#This Row],[t bias]]</f>
        <v>1.1599999999999999</v>
      </c>
      <c r="AA118">
        <f>Table1[[#This Row],[t gain]]</f>
        <v>2.16</v>
      </c>
      <c r="AB118">
        <f>Table1[[#This Row],[c kinetic trace]]* String2Single(CONCATENATE(LEFT(Single2String(Table1[[#This Row],[c gain]]), 6), "00")) + String2Single(CONCATENATE(LEFT(Single2String(Table1[[#This Row],[c bias]]), 6), "00"))</f>
        <v>1.15997314453125</v>
      </c>
      <c r="AC118" t="str">
        <f xml:space="preserve"> Sng2String(Table1[[#This Row],[c ptrace]])</f>
        <v>3F947A00</v>
      </c>
      <c r="AD118">
        <f>MOD(Table1[[#This Row],[t inv sp mx idx]]+3, 2^4)</f>
        <v>7</v>
      </c>
      <c r="AE118" s="4" t="str">
        <f>DEC2HEX(Table1[[#This Row],[row]], 3)</f>
        <v>009</v>
      </c>
      <c r="AF118" s="2" t="str">
        <f>DEC2HEX(Table1[[#This Row],[col]], 3)</f>
        <v>042</v>
      </c>
      <c r="AG118" s="2" t="str">
        <f>DEC2HEX(Table1[[#This Row],[grn fsp idx]], 2)</f>
        <v>E9</v>
      </c>
      <c r="AH118" s="2" t="str">
        <f>DEC2HEX(Table1[[#This Row],[red fsp idx]], 2)</f>
        <v>16</v>
      </c>
      <c r="AI118" s="2" t="str">
        <f xml:space="preserve"> LEFT(Sng2String(Table1[[#This Row],[t bias]]), 6)</f>
        <v>3F947A</v>
      </c>
      <c r="AJ118" s="2" t="str">
        <f xml:space="preserve"> LEFT(Sng2String(Table1[[#This Row],[t gain]]), 6)</f>
        <v>400A3D</v>
      </c>
      <c r="AK118" s="2" t="str">
        <f>DEC2HEX(Table1[[#This Row],[t inv sp mx idx]], 1)</f>
        <v>4</v>
      </c>
      <c r="AL118" s="2" t="str">
        <f xml:space="preserve"> LEFT(Sng2String(Table1[[#This Row],[g bias]]), 6)</f>
        <v>3FD47A</v>
      </c>
      <c r="AM118" s="2" t="str">
        <f xml:space="preserve"> LEFT(Sng2String(Table1[[#This Row],[g gain]]), 6)</f>
        <v>3F8A3D</v>
      </c>
      <c r="AN118" s="2" t="str">
        <f>DEC2HEX(Table1[[#This Row],[g inv sp mx idx]], 1)</f>
        <v>5</v>
      </c>
      <c r="AO118" s="2" t="str">
        <f xml:space="preserve"> LEFT(Sng2String(Table1[[#This Row],[a bias]]), 6)</f>
        <v>400A3D</v>
      </c>
      <c r="AP118" s="2" t="str">
        <f xml:space="preserve"> LEFT(Sng2String(Table1[[#This Row],[a gain]]), 6)</f>
        <v>3FD47A</v>
      </c>
      <c r="AQ118" s="2" t="str">
        <f>DEC2HEX(Table1[[#This Row],[a inv sp mx idx]], 1)</f>
        <v>6</v>
      </c>
      <c r="AR118" s="2" t="str">
        <f xml:space="preserve"> LEFT(Sng2String(Table1[[#This Row],[c bias]]), 6)</f>
        <v>3F947A</v>
      </c>
      <c r="AS118" s="2" t="str">
        <f xml:space="preserve"> LEFT(Sng2String(Table1[[#This Row],[c gain]]), 6)</f>
        <v>400A3D</v>
      </c>
      <c r="AT118" s="2" t="str">
        <f>DEC2HEX(Table1[[#This Row],[c inv sp mx idx]], 1)</f>
        <v>7</v>
      </c>
      <c r="AU118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009042E9163F947A400A3D43FD47A3F8A3D5400A3D3FD47A63F947A400A3D702</v>
      </c>
      <c r="AV118" s="2">
        <f>LEN(Table1[[#This Row],[DRAM data]])</f>
        <v>64</v>
      </c>
    </row>
    <row r="119" spans="1:48" x14ac:dyDescent="0.25">
      <c r="A119">
        <v>117</v>
      </c>
      <c r="B119">
        <f>Table1[[#This Row],[ZMW num]]+1</f>
        <v>118</v>
      </c>
      <c r="C119">
        <v>9</v>
      </c>
      <c r="D119">
        <f t="shared" si="2"/>
        <v>69</v>
      </c>
      <c r="E119">
        <v>235</v>
      </c>
      <c r="F119">
        <v>20</v>
      </c>
      <c r="G119">
        <v>0</v>
      </c>
      <c r="H119">
        <f>Table1[[#This Row],[ZMW num]]*0.01</f>
        <v>1.17</v>
      </c>
      <c r="I119">
        <f>1+Table1[[#This Row],[t bias]]</f>
        <v>2.17</v>
      </c>
      <c r="J119">
        <f>Table1[[#This Row],[t kinetic trace]]* String2Single(CONCATENATE(LEFT(Single2String(Table1[[#This Row],[t gain]]), 6), "00")) + String2Single(CONCATENATE(LEFT(Single2String(Table1[[#This Row],[t bias]]), 6), "00"))</f>
        <v>1.16998291015625</v>
      </c>
      <c r="K119" t="str">
        <f>Sng2String(Table1[[#This Row],[t ptrace]])</f>
        <v>3F95C200</v>
      </c>
      <c r="L119">
        <f>MOD(Table1[[#This Row],[ZMW num]], 2^4)</f>
        <v>5</v>
      </c>
      <c r="M119">
        <v>0</v>
      </c>
      <c r="N119">
        <f>Table1[[#This Row],[t bias]]+0.5</f>
        <v>1.67</v>
      </c>
      <c r="O119">
        <f>Table1[[#This Row],[t gain]]/2</f>
        <v>1.085</v>
      </c>
      <c r="P119">
        <f>Table1[[#This Row],[g kinetic trace]] * String2Single(CONCATENATE(LEFT(Single2String(Table1[[#This Row],[g gain]]), 6), "00")) + String2Single(CONCATENATE(LEFT(Single2String(Table1[[#This Row],[g bias]]), 6), "00"))</f>
        <v>1.66998291015625</v>
      </c>
      <c r="Q119" t="str">
        <f xml:space="preserve"> Sng2String(Table1[[#This Row],[g ptrace]])</f>
        <v>3FD5C200</v>
      </c>
      <c r="R119">
        <f>MOD(Table1[[#This Row],[t inv sp mx idx]]+1, 2^4)</f>
        <v>6</v>
      </c>
      <c r="S119">
        <v>0</v>
      </c>
      <c r="T119">
        <f>Table1[[#This Row],[t bias]]+1</f>
        <v>2.17</v>
      </c>
      <c r="U119">
        <f>Table1[[#This Row],[t gain]]-0.5</f>
        <v>1.67</v>
      </c>
      <c r="V119">
        <f>Table1[[#This Row],[a kinetic trace]] * String2Single(CONCATENATE(LEFT(Single2String(Table1[[#This Row],[a gain]]), 6), "00")) + String2Single(CONCATENATE(LEFT(Single2String(Table1[[#This Row],[a bias]]), 6), "00"))</f>
        <v>2.16998291015625</v>
      </c>
      <c r="W119" t="str">
        <f xml:space="preserve"> Sng2String(Table1[[#This Row],[a ptrace]])</f>
        <v>400AE100</v>
      </c>
      <c r="X119">
        <f>MOD(Table1[[#This Row],[t inv sp mx idx]]+2, 2^4)</f>
        <v>7</v>
      </c>
      <c r="Y119">
        <v>0</v>
      </c>
      <c r="Z119">
        <f>Table1[[#This Row],[t bias]]</f>
        <v>1.17</v>
      </c>
      <c r="AA119">
        <f>Table1[[#This Row],[t gain]]</f>
        <v>2.17</v>
      </c>
      <c r="AB119">
        <f>Table1[[#This Row],[c kinetic trace]]* String2Single(CONCATENATE(LEFT(Single2String(Table1[[#This Row],[c gain]]), 6), "00")) + String2Single(CONCATENATE(LEFT(Single2String(Table1[[#This Row],[c bias]]), 6), "00"))</f>
        <v>1.16998291015625</v>
      </c>
      <c r="AC119" t="str">
        <f xml:space="preserve"> Sng2String(Table1[[#This Row],[c ptrace]])</f>
        <v>3F95C200</v>
      </c>
      <c r="AD119">
        <f>MOD(Table1[[#This Row],[t inv sp mx idx]]+3, 2^4)</f>
        <v>8</v>
      </c>
      <c r="AE119" s="4" t="str">
        <f>DEC2HEX(Table1[[#This Row],[row]], 3)</f>
        <v>009</v>
      </c>
      <c r="AF119" s="2" t="str">
        <f>DEC2HEX(Table1[[#This Row],[col]], 3)</f>
        <v>045</v>
      </c>
      <c r="AG119" s="2" t="str">
        <f>DEC2HEX(Table1[[#This Row],[grn fsp idx]], 2)</f>
        <v>EB</v>
      </c>
      <c r="AH119" s="2" t="str">
        <f>DEC2HEX(Table1[[#This Row],[red fsp idx]], 2)</f>
        <v>14</v>
      </c>
      <c r="AI119" s="2" t="str">
        <f xml:space="preserve"> LEFT(Sng2String(Table1[[#This Row],[t bias]]), 6)</f>
        <v>3F95C2</v>
      </c>
      <c r="AJ119" s="2" t="str">
        <f xml:space="preserve"> LEFT(Sng2String(Table1[[#This Row],[t gain]]), 6)</f>
        <v>400AE1</v>
      </c>
      <c r="AK119" s="2" t="str">
        <f>DEC2HEX(Table1[[#This Row],[t inv sp mx idx]], 1)</f>
        <v>5</v>
      </c>
      <c r="AL119" s="2" t="str">
        <f xml:space="preserve"> LEFT(Sng2String(Table1[[#This Row],[g bias]]), 6)</f>
        <v>3FD5C2</v>
      </c>
      <c r="AM119" s="2" t="str">
        <f xml:space="preserve"> LEFT(Sng2String(Table1[[#This Row],[g gain]]), 6)</f>
        <v>3F8AE1</v>
      </c>
      <c r="AN119" s="2" t="str">
        <f>DEC2HEX(Table1[[#This Row],[g inv sp mx idx]], 1)</f>
        <v>6</v>
      </c>
      <c r="AO119" s="2" t="str">
        <f xml:space="preserve"> LEFT(Sng2String(Table1[[#This Row],[a bias]]), 6)</f>
        <v>400AE1</v>
      </c>
      <c r="AP119" s="2" t="str">
        <f xml:space="preserve"> LEFT(Sng2String(Table1[[#This Row],[a gain]]), 6)</f>
        <v>3FD5C2</v>
      </c>
      <c r="AQ119" s="2" t="str">
        <f>DEC2HEX(Table1[[#This Row],[a inv sp mx idx]], 1)</f>
        <v>7</v>
      </c>
      <c r="AR119" s="2" t="str">
        <f xml:space="preserve"> LEFT(Sng2String(Table1[[#This Row],[c bias]]), 6)</f>
        <v>3F95C2</v>
      </c>
      <c r="AS119" s="2" t="str">
        <f xml:space="preserve"> LEFT(Sng2String(Table1[[#This Row],[c gain]]), 6)</f>
        <v>400AE1</v>
      </c>
      <c r="AT119" s="2" t="str">
        <f>DEC2HEX(Table1[[#This Row],[c inv sp mx idx]], 1)</f>
        <v>8</v>
      </c>
      <c r="AU119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009045EB143F95C2400AE153FD5C23F8AE16400AE13FD5C273F95C2400AE1802</v>
      </c>
      <c r="AV119" s="2">
        <f>LEN(Table1[[#This Row],[DRAM data]])</f>
        <v>64</v>
      </c>
    </row>
    <row r="120" spans="1:48" x14ac:dyDescent="0.25">
      <c r="A120">
        <v>118</v>
      </c>
      <c r="B120">
        <f>Table1[[#This Row],[ZMW num]]+1</f>
        <v>119</v>
      </c>
      <c r="C120">
        <v>9</v>
      </c>
      <c r="D120">
        <f t="shared" si="2"/>
        <v>72</v>
      </c>
      <c r="E120">
        <v>237</v>
      </c>
      <c r="F120">
        <v>18</v>
      </c>
      <c r="G120">
        <v>0</v>
      </c>
      <c r="H120">
        <f>Table1[[#This Row],[ZMW num]]*0.01</f>
        <v>1.18</v>
      </c>
      <c r="I120">
        <f>1+Table1[[#This Row],[t bias]]</f>
        <v>2.1799999999999997</v>
      </c>
      <c r="J120">
        <f>Table1[[#This Row],[t kinetic trace]]* String2Single(CONCATENATE(LEFT(Single2String(Table1[[#This Row],[t gain]]), 6), "00")) + String2Single(CONCATENATE(LEFT(Single2String(Table1[[#This Row],[t bias]]), 6), "00"))</f>
        <v>1.17999267578125</v>
      </c>
      <c r="K120" t="str">
        <f>Sng2String(Table1[[#This Row],[t ptrace]])</f>
        <v>3F970A00</v>
      </c>
      <c r="L120">
        <f>MOD(Table1[[#This Row],[ZMW num]], 2^4)</f>
        <v>6</v>
      </c>
      <c r="M120">
        <v>0</v>
      </c>
      <c r="N120">
        <f>Table1[[#This Row],[t bias]]+0.5</f>
        <v>1.68</v>
      </c>
      <c r="O120">
        <f>Table1[[#This Row],[t gain]]/2</f>
        <v>1.0899999999999999</v>
      </c>
      <c r="P120">
        <f>Table1[[#This Row],[g kinetic trace]] * String2Single(CONCATENATE(LEFT(Single2String(Table1[[#This Row],[g gain]]), 6), "00")) + String2Single(CONCATENATE(LEFT(Single2String(Table1[[#This Row],[g bias]]), 6), "00"))</f>
        <v>1.67999267578125</v>
      </c>
      <c r="Q120" t="str">
        <f xml:space="preserve"> Sng2String(Table1[[#This Row],[g ptrace]])</f>
        <v>3FD70A00</v>
      </c>
      <c r="R120">
        <f>MOD(Table1[[#This Row],[t inv sp mx idx]]+1, 2^4)</f>
        <v>7</v>
      </c>
      <c r="S120">
        <v>0</v>
      </c>
      <c r="T120">
        <f>Table1[[#This Row],[t bias]]+1</f>
        <v>2.1799999999999997</v>
      </c>
      <c r="U120">
        <f>Table1[[#This Row],[t gain]]-0.5</f>
        <v>1.6799999999999997</v>
      </c>
      <c r="V120">
        <f>Table1[[#This Row],[a kinetic trace]] * String2Single(CONCATENATE(LEFT(Single2String(Table1[[#This Row],[a gain]]), 6), "00")) + String2Single(CONCATENATE(LEFT(Single2String(Table1[[#This Row],[a bias]]), 6), "00"))</f>
        <v>2.17999267578125</v>
      </c>
      <c r="W120" t="str">
        <f xml:space="preserve"> Sng2String(Table1[[#This Row],[a ptrace]])</f>
        <v>400B8500</v>
      </c>
      <c r="X120">
        <f>MOD(Table1[[#This Row],[t inv sp mx idx]]+2, 2^4)</f>
        <v>8</v>
      </c>
      <c r="Y120">
        <v>0</v>
      </c>
      <c r="Z120">
        <f>Table1[[#This Row],[t bias]]</f>
        <v>1.18</v>
      </c>
      <c r="AA120">
        <f>Table1[[#This Row],[t gain]]</f>
        <v>2.1799999999999997</v>
      </c>
      <c r="AB120">
        <f>Table1[[#This Row],[c kinetic trace]]* String2Single(CONCATENATE(LEFT(Single2String(Table1[[#This Row],[c gain]]), 6), "00")) + String2Single(CONCATENATE(LEFT(Single2String(Table1[[#This Row],[c bias]]), 6), "00"))</f>
        <v>1.17999267578125</v>
      </c>
      <c r="AC120" t="str">
        <f xml:space="preserve"> Sng2String(Table1[[#This Row],[c ptrace]])</f>
        <v>3F970A00</v>
      </c>
      <c r="AD120">
        <f>MOD(Table1[[#This Row],[t inv sp mx idx]]+3, 2^4)</f>
        <v>9</v>
      </c>
      <c r="AE120" s="4" t="str">
        <f>DEC2HEX(Table1[[#This Row],[row]], 3)</f>
        <v>009</v>
      </c>
      <c r="AF120" s="2" t="str">
        <f>DEC2HEX(Table1[[#This Row],[col]], 3)</f>
        <v>048</v>
      </c>
      <c r="AG120" s="2" t="str">
        <f>DEC2HEX(Table1[[#This Row],[grn fsp idx]], 2)</f>
        <v>ED</v>
      </c>
      <c r="AH120" s="2" t="str">
        <f>DEC2HEX(Table1[[#This Row],[red fsp idx]], 2)</f>
        <v>12</v>
      </c>
      <c r="AI120" s="2" t="str">
        <f xml:space="preserve"> LEFT(Sng2String(Table1[[#This Row],[t bias]]), 6)</f>
        <v>3F970A</v>
      </c>
      <c r="AJ120" s="2" t="str">
        <f xml:space="preserve"> LEFT(Sng2String(Table1[[#This Row],[t gain]]), 6)</f>
        <v>400B85</v>
      </c>
      <c r="AK120" s="2" t="str">
        <f>DEC2HEX(Table1[[#This Row],[t inv sp mx idx]], 1)</f>
        <v>6</v>
      </c>
      <c r="AL120" s="2" t="str">
        <f xml:space="preserve"> LEFT(Sng2String(Table1[[#This Row],[g bias]]), 6)</f>
        <v>3FD70A</v>
      </c>
      <c r="AM120" s="2" t="str">
        <f xml:space="preserve"> LEFT(Sng2String(Table1[[#This Row],[g gain]]), 6)</f>
        <v>3F8B85</v>
      </c>
      <c r="AN120" s="2" t="str">
        <f>DEC2HEX(Table1[[#This Row],[g inv sp mx idx]], 1)</f>
        <v>7</v>
      </c>
      <c r="AO120" s="2" t="str">
        <f xml:space="preserve"> LEFT(Sng2String(Table1[[#This Row],[a bias]]), 6)</f>
        <v>400B85</v>
      </c>
      <c r="AP120" s="2" t="str">
        <f xml:space="preserve"> LEFT(Sng2String(Table1[[#This Row],[a gain]]), 6)</f>
        <v>3FD70A</v>
      </c>
      <c r="AQ120" s="2" t="str">
        <f>DEC2HEX(Table1[[#This Row],[a inv sp mx idx]], 1)</f>
        <v>8</v>
      </c>
      <c r="AR120" s="2" t="str">
        <f xml:space="preserve"> LEFT(Sng2String(Table1[[#This Row],[c bias]]), 6)</f>
        <v>3F970A</v>
      </c>
      <c r="AS120" s="2" t="str">
        <f xml:space="preserve"> LEFT(Sng2String(Table1[[#This Row],[c gain]]), 6)</f>
        <v>400B85</v>
      </c>
      <c r="AT120" s="2" t="str">
        <f>DEC2HEX(Table1[[#This Row],[c inv sp mx idx]], 1)</f>
        <v>9</v>
      </c>
      <c r="AU120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009048ED123F970A400B8563FD70A3F8B857400B853FD70A83F970A400B85902</v>
      </c>
      <c r="AV120" s="2">
        <f>LEN(Table1[[#This Row],[DRAM data]])</f>
        <v>64</v>
      </c>
    </row>
    <row r="121" spans="1:48" x14ac:dyDescent="0.25">
      <c r="A121">
        <v>119</v>
      </c>
      <c r="B121">
        <f>Table1[[#This Row],[ZMW num]]+1</f>
        <v>120</v>
      </c>
      <c r="C121">
        <v>9</v>
      </c>
      <c r="D121">
        <f t="shared" si="2"/>
        <v>75</v>
      </c>
      <c r="E121">
        <v>239</v>
      </c>
      <c r="F121">
        <v>16</v>
      </c>
      <c r="G121">
        <v>0</v>
      </c>
      <c r="H121">
        <f>Table1[[#This Row],[ZMW num]]*0.01</f>
        <v>1.19</v>
      </c>
      <c r="I121">
        <f>1+Table1[[#This Row],[t bias]]</f>
        <v>2.19</v>
      </c>
      <c r="J121">
        <f>Table1[[#This Row],[t kinetic trace]]* String2Single(CONCATENATE(LEFT(Single2String(Table1[[#This Row],[t gain]]), 6), "00")) + String2Single(CONCATENATE(LEFT(Single2String(Table1[[#This Row],[t bias]]), 6), "00"))</f>
        <v>1.189971923828125</v>
      </c>
      <c r="K121" t="str">
        <f>Sng2String(Table1[[#This Row],[t ptrace]])</f>
        <v>3F985100</v>
      </c>
      <c r="L121">
        <f>MOD(Table1[[#This Row],[ZMW num]], 2^4)</f>
        <v>7</v>
      </c>
      <c r="M121">
        <v>0</v>
      </c>
      <c r="N121">
        <f>Table1[[#This Row],[t bias]]+0.5</f>
        <v>1.69</v>
      </c>
      <c r="O121">
        <f>Table1[[#This Row],[t gain]]/2</f>
        <v>1.095</v>
      </c>
      <c r="P121">
        <f>Table1[[#This Row],[g kinetic trace]] * String2Single(CONCATENATE(LEFT(Single2String(Table1[[#This Row],[g gain]]), 6), "00")) + String2Single(CONCATENATE(LEFT(Single2String(Table1[[#This Row],[g bias]]), 6), "00"))</f>
        <v>1.689971923828125</v>
      </c>
      <c r="Q121" t="str">
        <f xml:space="preserve"> Sng2String(Table1[[#This Row],[g ptrace]])</f>
        <v>3FD85100</v>
      </c>
      <c r="R121">
        <f>MOD(Table1[[#This Row],[t inv sp mx idx]]+1, 2^4)</f>
        <v>8</v>
      </c>
      <c r="S121">
        <v>0</v>
      </c>
      <c r="T121">
        <f>Table1[[#This Row],[t bias]]+1</f>
        <v>2.19</v>
      </c>
      <c r="U121">
        <f>Table1[[#This Row],[t gain]]-0.5</f>
        <v>1.69</v>
      </c>
      <c r="V121">
        <f>Table1[[#This Row],[a kinetic trace]] * String2Single(CONCATENATE(LEFT(Single2String(Table1[[#This Row],[a gain]]), 6), "00")) + String2Single(CONCATENATE(LEFT(Single2String(Table1[[#This Row],[a bias]]), 6), "00"))</f>
        <v>2.18994140625</v>
      </c>
      <c r="W121" t="str">
        <f xml:space="preserve"> Sng2String(Table1[[#This Row],[a ptrace]])</f>
        <v>400C2800</v>
      </c>
      <c r="X121">
        <f>MOD(Table1[[#This Row],[t inv sp mx idx]]+2, 2^4)</f>
        <v>9</v>
      </c>
      <c r="Y121">
        <v>0</v>
      </c>
      <c r="Z121">
        <f>Table1[[#This Row],[t bias]]</f>
        <v>1.19</v>
      </c>
      <c r="AA121">
        <f>Table1[[#This Row],[t gain]]</f>
        <v>2.19</v>
      </c>
      <c r="AB121">
        <f>Table1[[#This Row],[c kinetic trace]]* String2Single(CONCATENATE(LEFT(Single2String(Table1[[#This Row],[c gain]]), 6), "00")) + String2Single(CONCATENATE(LEFT(Single2String(Table1[[#This Row],[c bias]]), 6), "00"))</f>
        <v>1.189971923828125</v>
      </c>
      <c r="AC121" t="str">
        <f xml:space="preserve"> Sng2String(Table1[[#This Row],[c ptrace]])</f>
        <v>3F985100</v>
      </c>
      <c r="AD121">
        <f>MOD(Table1[[#This Row],[t inv sp mx idx]]+3, 2^4)</f>
        <v>10</v>
      </c>
      <c r="AE121" s="4" t="str">
        <f>DEC2HEX(Table1[[#This Row],[row]], 3)</f>
        <v>009</v>
      </c>
      <c r="AF121" s="2" t="str">
        <f>DEC2HEX(Table1[[#This Row],[col]], 3)</f>
        <v>04B</v>
      </c>
      <c r="AG121" s="2" t="str">
        <f>DEC2HEX(Table1[[#This Row],[grn fsp idx]], 2)</f>
        <v>EF</v>
      </c>
      <c r="AH121" s="2" t="str">
        <f>DEC2HEX(Table1[[#This Row],[red fsp idx]], 2)</f>
        <v>10</v>
      </c>
      <c r="AI121" s="2" t="str">
        <f xml:space="preserve"> LEFT(Sng2String(Table1[[#This Row],[t bias]]), 6)</f>
        <v>3F9851</v>
      </c>
      <c r="AJ121" s="2" t="str">
        <f xml:space="preserve"> LEFT(Sng2String(Table1[[#This Row],[t gain]]), 6)</f>
        <v>400C28</v>
      </c>
      <c r="AK121" s="2" t="str">
        <f>DEC2HEX(Table1[[#This Row],[t inv sp mx idx]], 1)</f>
        <v>7</v>
      </c>
      <c r="AL121" s="2" t="str">
        <f xml:space="preserve"> LEFT(Sng2String(Table1[[#This Row],[g bias]]), 6)</f>
        <v>3FD851</v>
      </c>
      <c r="AM121" s="2" t="str">
        <f xml:space="preserve"> LEFT(Sng2String(Table1[[#This Row],[g gain]]), 6)</f>
        <v>3F8C28</v>
      </c>
      <c r="AN121" s="2" t="str">
        <f>DEC2HEX(Table1[[#This Row],[g inv sp mx idx]], 1)</f>
        <v>8</v>
      </c>
      <c r="AO121" s="2" t="str">
        <f xml:space="preserve"> LEFT(Sng2String(Table1[[#This Row],[a bias]]), 6)</f>
        <v>400C28</v>
      </c>
      <c r="AP121" s="2" t="str">
        <f xml:space="preserve"> LEFT(Sng2String(Table1[[#This Row],[a gain]]), 6)</f>
        <v>3FD851</v>
      </c>
      <c r="AQ121" s="2" t="str">
        <f>DEC2HEX(Table1[[#This Row],[a inv sp mx idx]], 1)</f>
        <v>9</v>
      </c>
      <c r="AR121" s="2" t="str">
        <f xml:space="preserve"> LEFT(Sng2String(Table1[[#This Row],[c bias]]), 6)</f>
        <v>3F9851</v>
      </c>
      <c r="AS121" s="2" t="str">
        <f xml:space="preserve"> LEFT(Sng2String(Table1[[#This Row],[c gain]]), 6)</f>
        <v>400C28</v>
      </c>
      <c r="AT121" s="2" t="str">
        <f>DEC2HEX(Table1[[#This Row],[c inv sp mx idx]], 1)</f>
        <v>A</v>
      </c>
      <c r="AU121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00904BEF103F9851400C2873FD8513F8C288400C283FD85193F9851400C28A02</v>
      </c>
      <c r="AV121" s="2">
        <f>LEN(Table1[[#This Row],[DRAM data]])</f>
        <v>64</v>
      </c>
    </row>
    <row r="122" spans="1:48" x14ac:dyDescent="0.25">
      <c r="A122">
        <v>120</v>
      </c>
      <c r="B122">
        <f>Table1[[#This Row],[ZMW num]]+1</f>
        <v>121</v>
      </c>
      <c r="C122">
        <v>9</v>
      </c>
      <c r="D122">
        <f t="shared" si="2"/>
        <v>80</v>
      </c>
      <c r="E122">
        <v>241</v>
      </c>
      <c r="F122">
        <v>14</v>
      </c>
      <c r="G122">
        <v>0</v>
      </c>
      <c r="H122">
        <f>Table1[[#This Row],[ZMW num]]*0.01</f>
        <v>1.2</v>
      </c>
      <c r="I122">
        <f>1+Table1[[#This Row],[t bias]]</f>
        <v>2.2000000000000002</v>
      </c>
      <c r="J122">
        <f>Table1[[#This Row],[t kinetic trace]]* String2Single(CONCATENATE(LEFT(Single2String(Table1[[#This Row],[t gain]]), 6), "00")) + String2Single(CONCATENATE(LEFT(Single2String(Table1[[#This Row],[t bias]]), 6), "00"))</f>
        <v>1.199981689453125</v>
      </c>
      <c r="K122" t="str">
        <f>Sng2String(Table1[[#This Row],[t ptrace]])</f>
        <v>3F999900</v>
      </c>
      <c r="L122">
        <f>MOD(Table1[[#This Row],[ZMW num]], 2^4)</f>
        <v>8</v>
      </c>
      <c r="M122">
        <v>0</v>
      </c>
      <c r="N122">
        <f>Table1[[#This Row],[t bias]]+0.5</f>
        <v>1.7</v>
      </c>
      <c r="O122">
        <f>Table1[[#This Row],[t gain]]/2</f>
        <v>1.1000000000000001</v>
      </c>
      <c r="P122">
        <f>Table1[[#This Row],[g kinetic trace]] * String2Single(CONCATENATE(LEFT(Single2String(Table1[[#This Row],[g gain]]), 6), "00")) + String2Single(CONCATENATE(LEFT(Single2String(Table1[[#This Row],[g bias]]), 6), "00"))</f>
        <v>1.699981689453125</v>
      </c>
      <c r="Q122" t="str">
        <f xml:space="preserve"> Sng2String(Table1[[#This Row],[g ptrace]])</f>
        <v>3FD99900</v>
      </c>
      <c r="R122">
        <f>MOD(Table1[[#This Row],[t inv sp mx idx]]+1, 2^4)</f>
        <v>9</v>
      </c>
      <c r="S122">
        <v>0</v>
      </c>
      <c r="T122">
        <f>Table1[[#This Row],[t bias]]+1</f>
        <v>2.2000000000000002</v>
      </c>
      <c r="U122">
        <f>Table1[[#This Row],[t gain]]-0.5</f>
        <v>1.7000000000000002</v>
      </c>
      <c r="V122">
        <f>Table1[[#This Row],[a kinetic trace]] * String2Single(CONCATENATE(LEFT(Single2String(Table1[[#This Row],[a gain]]), 6), "00")) + String2Single(CONCATENATE(LEFT(Single2String(Table1[[#This Row],[a bias]]), 6), "00"))</f>
        <v>2.199951171875</v>
      </c>
      <c r="W122" t="str">
        <f xml:space="preserve"> Sng2String(Table1[[#This Row],[a ptrace]])</f>
        <v>400CCC00</v>
      </c>
      <c r="X122">
        <f>MOD(Table1[[#This Row],[t inv sp mx idx]]+2, 2^4)</f>
        <v>10</v>
      </c>
      <c r="Y122">
        <v>0</v>
      </c>
      <c r="Z122">
        <f>Table1[[#This Row],[t bias]]</f>
        <v>1.2</v>
      </c>
      <c r="AA122">
        <f>Table1[[#This Row],[t gain]]</f>
        <v>2.2000000000000002</v>
      </c>
      <c r="AB122">
        <f>Table1[[#This Row],[c kinetic trace]]* String2Single(CONCATENATE(LEFT(Single2String(Table1[[#This Row],[c gain]]), 6), "00")) + String2Single(CONCATENATE(LEFT(Single2String(Table1[[#This Row],[c bias]]), 6), "00"))</f>
        <v>1.199981689453125</v>
      </c>
      <c r="AC122" t="str">
        <f xml:space="preserve"> Sng2String(Table1[[#This Row],[c ptrace]])</f>
        <v>3F999900</v>
      </c>
      <c r="AD122">
        <f>MOD(Table1[[#This Row],[t inv sp mx idx]]+3, 2^4)</f>
        <v>11</v>
      </c>
      <c r="AE122" s="4" t="str">
        <f>DEC2HEX(Table1[[#This Row],[row]], 3)</f>
        <v>009</v>
      </c>
      <c r="AF122" s="2" t="str">
        <f>DEC2HEX(Table1[[#This Row],[col]], 3)</f>
        <v>050</v>
      </c>
      <c r="AG122" s="2" t="str">
        <f>DEC2HEX(Table1[[#This Row],[grn fsp idx]], 2)</f>
        <v>F1</v>
      </c>
      <c r="AH122" s="2" t="str">
        <f>DEC2HEX(Table1[[#This Row],[red fsp idx]], 2)</f>
        <v>0E</v>
      </c>
      <c r="AI122" s="2" t="str">
        <f xml:space="preserve"> LEFT(Sng2String(Table1[[#This Row],[t bias]]), 6)</f>
        <v>3F9999</v>
      </c>
      <c r="AJ122" s="2" t="str">
        <f xml:space="preserve"> LEFT(Sng2String(Table1[[#This Row],[t gain]]), 6)</f>
        <v>400CCC</v>
      </c>
      <c r="AK122" s="2" t="str">
        <f>DEC2HEX(Table1[[#This Row],[t inv sp mx idx]], 1)</f>
        <v>8</v>
      </c>
      <c r="AL122" s="2" t="str">
        <f xml:space="preserve"> LEFT(Sng2String(Table1[[#This Row],[g bias]]), 6)</f>
        <v>3FD999</v>
      </c>
      <c r="AM122" s="2" t="str">
        <f xml:space="preserve"> LEFT(Sng2String(Table1[[#This Row],[g gain]]), 6)</f>
        <v>3F8CCC</v>
      </c>
      <c r="AN122" s="2" t="str">
        <f>DEC2HEX(Table1[[#This Row],[g inv sp mx idx]], 1)</f>
        <v>9</v>
      </c>
      <c r="AO122" s="2" t="str">
        <f xml:space="preserve"> LEFT(Sng2String(Table1[[#This Row],[a bias]]), 6)</f>
        <v>400CCC</v>
      </c>
      <c r="AP122" s="2" t="str">
        <f xml:space="preserve"> LEFT(Sng2String(Table1[[#This Row],[a gain]]), 6)</f>
        <v>3FD999</v>
      </c>
      <c r="AQ122" s="2" t="str">
        <f>DEC2HEX(Table1[[#This Row],[a inv sp mx idx]], 1)</f>
        <v>A</v>
      </c>
      <c r="AR122" s="2" t="str">
        <f xml:space="preserve"> LEFT(Sng2String(Table1[[#This Row],[c bias]]), 6)</f>
        <v>3F9999</v>
      </c>
      <c r="AS122" s="2" t="str">
        <f xml:space="preserve"> LEFT(Sng2String(Table1[[#This Row],[c gain]]), 6)</f>
        <v>400CCC</v>
      </c>
      <c r="AT122" s="2" t="str">
        <f>DEC2HEX(Table1[[#This Row],[c inv sp mx idx]], 1)</f>
        <v>B</v>
      </c>
      <c r="AU122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009050F10E3F9999400CCC83FD9993F8CCC9400CCC3FD999A3F9999400CCCB02</v>
      </c>
      <c r="AV122" s="2">
        <f>LEN(Table1[[#This Row],[DRAM data]])</f>
        <v>64</v>
      </c>
    </row>
    <row r="123" spans="1:48" x14ac:dyDescent="0.25">
      <c r="A123">
        <v>121</v>
      </c>
      <c r="B123">
        <f>Table1[[#This Row],[ZMW num]]+1</f>
        <v>122</v>
      </c>
      <c r="C123">
        <v>9</v>
      </c>
      <c r="D123">
        <f t="shared" si="2"/>
        <v>87</v>
      </c>
      <c r="E123">
        <v>243</v>
      </c>
      <c r="F123">
        <v>12</v>
      </c>
      <c r="G123">
        <v>0</v>
      </c>
      <c r="H123">
        <f>Table1[[#This Row],[ZMW num]]*0.01</f>
        <v>1.21</v>
      </c>
      <c r="I123">
        <f>1+Table1[[#This Row],[t bias]]</f>
        <v>2.21</v>
      </c>
      <c r="J123">
        <f>Table1[[#This Row],[t kinetic trace]]* String2Single(CONCATENATE(LEFT(Single2String(Table1[[#This Row],[t gain]]), 6), "00")) + String2Single(CONCATENATE(LEFT(Single2String(Table1[[#This Row],[t bias]]), 6), "00"))</f>
        <v>1.209991455078125</v>
      </c>
      <c r="K123" t="str">
        <f>Sng2String(Table1[[#This Row],[t ptrace]])</f>
        <v>3F9AE100</v>
      </c>
      <c r="L123">
        <f>MOD(Table1[[#This Row],[ZMW num]], 2^4)</f>
        <v>9</v>
      </c>
      <c r="M123">
        <v>0</v>
      </c>
      <c r="N123">
        <f>Table1[[#This Row],[t bias]]+0.5</f>
        <v>1.71</v>
      </c>
      <c r="O123">
        <f>Table1[[#This Row],[t gain]]/2</f>
        <v>1.105</v>
      </c>
      <c r="P123">
        <f>Table1[[#This Row],[g kinetic trace]] * String2Single(CONCATENATE(LEFT(Single2String(Table1[[#This Row],[g gain]]), 6), "00")) + String2Single(CONCATENATE(LEFT(Single2String(Table1[[#This Row],[g bias]]), 6), "00"))</f>
        <v>1.709991455078125</v>
      </c>
      <c r="Q123" t="str">
        <f xml:space="preserve"> Sng2String(Table1[[#This Row],[g ptrace]])</f>
        <v>3FDAE100</v>
      </c>
      <c r="R123">
        <f>MOD(Table1[[#This Row],[t inv sp mx idx]]+1, 2^4)</f>
        <v>10</v>
      </c>
      <c r="S123">
        <v>0</v>
      </c>
      <c r="T123">
        <f>Table1[[#This Row],[t bias]]+1</f>
        <v>2.21</v>
      </c>
      <c r="U123">
        <f>Table1[[#This Row],[t gain]]-0.5</f>
        <v>1.71</v>
      </c>
      <c r="V123">
        <f>Table1[[#This Row],[a kinetic trace]] * String2Single(CONCATENATE(LEFT(Single2String(Table1[[#This Row],[a gain]]), 6), "00")) + String2Single(CONCATENATE(LEFT(Single2String(Table1[[#This Row],[a bias]]), 6), "00"))</f>
        <v>2.2099609375</v>
      </c>
      <c r="W123" t="str">
        <f xml:space="preserve"> Sng2String(Table1[[#This Row],[a ptrace]])</f>
        <v>400D7000</v>
      </c>
      <c r="X123">
        <f>MOD(Table1[[#This Row],[t inv sp mx idx]]+2, 2^4)</f>
        <v>11</v>
      </c>
      <c r="Y123">
        <v>0</v>
      </c>
      <c r="Z123">
        <f>Table1[[#This Row],[t bias]]</f>
        <v>1.21</v>
      </c>
      <c r="AA123">
        <f>Table1[[#This Row],[t gain]]</f>
        <v>2.21</v>
      </c>
      <c r="AB123">
        <f>Table1[[#This Row],[c kinetic trace]]* String2Single(CONCATENATE(LEFT(Single2String(Table1[[#This Row],[c gain]]), 6), "00")) + String2Single(CONCATENATE(LEFT(Single2String(Table1[[#This Row],[c bias]]), 6), "00"))</f>
        <v>1.209991455078125</v>
      </c>
      <c r="AC123" t="str">
        <f xml:space="preserve"> Sng2String(Table1[[#This Row],[c ptrace]])</f>
        <v>3F9AE100</v>
      </c>
      <c r="AD123">
        <f>MOD(Table1[[#This Row],[t inv sp mx idx]]+3, 2^4)</f>
        <v>12</v>
      </c>
      <c r="AE123" s="4" t="str">
        <f>DEC2HEX(Table1[[#This Row],[row]], 3)</f>
        <v>009</v>
      </c>
      <c r="AF123" s="2" t="str">
        <f>DEC2HEX(Table1[[#This Row],[col]], 3)</f>
        <v>057</v>
      </c>
      <c r="AG123" s="2" t="str">
        <f>DEC2HEX(Table1[[#This Row],[grn fsp idx]], 2)</f>
        <v>F3</v>
      </c>
      <c r="AH123" s="2" t="str">
        <f>DEC2HEX(Table1[[#This Row],[red fsp idx]], 2)</f>
        <v>0C</v>
      </c>
      <c r="AI123" s="2" t="str">
        <f xml:space="preserve"> LEFT(Sng2String(Table1[[#This Row],[t bias]]), 6)</f>
        <v>3F9AE1</v>
      </c>
      <c r="AJ123" s="2" t="str">
        <f xml:space="preserve"> LEFT(Sng2String(Table1[[#This Row],[t gain]]), 6)</f>
        <v>400D70</v>
      </c>
      <c r="AK123" s="2" t="str">
        <f>DEC2HEX(Table1[[#This Row],[t inv sp mx idx]], 1)</f>
        <v>9</v>
      </c>
      <c r="AL123" s="2" t="str">
        <f xml:space="preserve"> LEFT(Sng2String(Table1[[#This Row],[g bias]]), 6)</f>
        <v>3FDAE1</v>
      </c>
      <c r="AM123" s="2" t="str">
        <f xml:space="preserve"> LEFT(Sng2String(Table1[[#This Row],[g gain]]), 6)</f>
        <v>3F8D70</v>
      </c>
      <c r="AN123" s="2" t="str">
        <f>DEC2HEX(Table1[[#This Row],[g inv sp mx idx]], 1)</f>
        <v>A</v>
      </c>
      <c r="AO123" s="2" t="str">
        <f xml:space="preserve"> LEFT(Sng2String(Table1[[#This Row],[a bias]]), 6)</f>
        <v>400D70</v>
      </c>
      <c r="AP123" s="2" t="str">
        <f xml:space="preserve"> LEFT(Sng2String(Table1[[#This Row],[a gain]]), 6)</f>
        <v>3FDAE1</v>
      </c>
      <c r="AQ123" s="2" t="str">
        <f>DEC2HEX(Table1[[#This Row],[a inv sp mx idx]], 1)</f>
        <v>B</v>
      </c>
      <c r="AR123" s="2" t="str">
        <f xml:space="preserve"> LEFT(Sng2String(Table1[[#This Row],[c bias]]), 6)</f>
        <v>3F9AE1</v>
      </c>
      <c r="AS123" s="2" t="str">
        <f xml:space="preserve"> LEFT(Sng2String(Table1[[#This Row],[c gain]]), 6)</f>
        <v>400D70</v>
      </c>
      <c r="AT123" s="2" t="str">
        <f>DEC2HEX(Table1[[#This Row],[c inv sp mx idx]], 1)</f>
        <v>C</v>
      </c>
      <c r="AU123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009057F30C3F9AE1400D7093FDAE13F8D70A400D703FDAE1B3F9AE1400D70C02</v>
      </c>
      <c r="AV123" s="2">
        <f>LEN(Table1[[#This Row],[DRAM data]])</f>
        <v>64</v>
      </c>
    </row>
    <row r="124" spans="1:48" x14ac:dyDescent="0.25">
      <c r="A124">
        <v>122</v>
      </c>
      <c r="B124">
        <f>Table1[[#This Row],[ZMW num]]+1</f>
        <v>123</v>
      </c>
      <c r="C124">
        <v>9</v>
      </c>
      <c r="D124">
        <f t="shared" si="2"/>
        <v>93</v>
      </c>
      <c r="E124">
        <v>245</v>
      </c>
      <c r="F124">
        <v>10</v>
      </c>
      <c r="G124">
        <v>0</v>
      </c>
      <c r="H124">
        <f>Table1[[#This Row],[ZMW num]]*0.01</f>
        <v>1.22</v>
      </c>
      <c r="I124">
        <f>1+Table1[[#This Row],[t bias]]</f>
        <v>2.2199999999999998</v>
      </c>
      <c r="J124">
        <f>Table1[[#This Row],[t kinetic trace]]* String2Single(CONCATENATE(LEFT(Single2String(Table1[[#This Row],[t gain]]), 6), "00")) + String2Single(CONCATENATE(LEFT(Single2String(Table1[[#This Row],[t bias]]), 6), "00"))</f>
        <v>1.219970703125</v>
      </c>
      <c r="K124" t="str">
        <f>Sng2String(Table1[[#This Row],[t ptrace]])</f>
        <v>3F9C2800</v>
      </c>
      <c r="L124">
        <f>MOD(Table1[[#This Row],[ZMW num]], 2^4)</f>
        <v>10</v>
      </c>
      <c r="M124">
        <v>0</v>
      </c>
      <c r="N124">
        <f>Table1[[#This Row],[t bias]]+0.5</f>
        <v>1.72</v>
      </c>
      <c r="O124">
        <f>Table1[[#This Row],[t gain]]/2</f>
        <v>1.1099999999999999</v>
      </c>
      <c r="P124">
        <f>Table1[[#This Row],[g kinetic trace]] * String2Single(CONCATENATE(LEFT(Single2String(Table1[[#This Row],[g gain]]), 6), "00")) + String2Single(CONCATENATE(LEFT(Single2String(Table1[[#This Row],[g bias]]), 6), "00"))</f>
        <v>1.719970703125</v>
      </c>
      <c r="Q124" t="str">
        <f xml:space="preserve"> Sng2String(Table1[[#This Row],[g ptrace]])</f>
        <v>3FDC2800</v>
      </c>
      <c r="R124">
        <f>MOD(Table1[[#This Row],[t inv sp mx idx]]+1, 2^4)</f>
        <v>11</v>
      </c>
      <c r="S124">
        <v>0</v>
      </c>
      <c r="T124">
        <f>Table1[[#This Row],[t bias]]+1</f>
        <v>2.2199999999999998</v>
      </c>
      <c r="U124">
        <f>Table1[[#This Row],[t gain]]-0.5</f>
        <v>1.7199999999999998</v>
      </c>
      <c r="V124">
        <f>Table1[[#This Row],[a kinetic trace]] * String2Single(CONCATENATE(LEFT(Single2String(Table1[[#This Row],[a gain]]), 6), "00")) + String2Single(CONCATENATE(LEFT(Single2String(Table1[[#This Row],[a bias]]), 6), "00"))</f>
        <v>2.219970703125</v>
      </c>
      <c r="W124" t="str">
        <f xml:space="preserve"> Sng2String(Table1[[#This Row],[a ptrace]])</f>
        <v>400E1400</v>
      </c>
      <c r="X124">
        <f>MOD(Table1[[#This Row],[t inv sp mx idx]]+2, 2^4)</f>
        <v>12</v>
      </c>
      <c r="Y124">
        <v>0</v>
      </c>
      <c r="Z124">
        <f>Table1[[#This Row],[t bias]]</f>
        <v>1.22</v>
      </c>
      <c r="AA124">
        <f>Table1[[#This Row],[t gain]]</f>
        <v>2.2199999999999998</v>
      </c>
      <c r="AB124">
        <f>Table1[[#This Row],[c kinetic trace]]* String2Single(CONCATENATE(LEFT(Single2String(Table1[[#This Row],[c gain]]), 6), "00")) + String2Single(CONCATENATE(LEFT(Single2String(Table1[[#This Row],[c bias]]), 6), "00"))</f>
        <v>1.219970703125</v>
      </c>
      <c r="AC124" t="str">
        <f xml:space="preserve"> Sng2String(Table1[[#This Row],[c ptrace]])</f>
        <v>3F9C2800</v>
      </c>
      <c r="AD124">
        <f>MOD(Table1[[#This Row],[t inv sp mx idx]]+3, 2^4)</f>
        <v>13</v>
      </c>
      <c r="AE124" s="4" t="str">
        <f>DEC2HEX(Table1[[#This Row],[row]], 3)</f>
        <v>009</v>
      </c>
      <c r="AF124" s="2" t="str">
        <f>DEC2HEX(Table1[[#This Row],[col]], 3)</f>
        <v>05D</v>
      </c>
      <c r="AG124" s="2" t="str">
        <f>DEC2HEX(Table1[[#This Row],[grn fsp idx]], 2)</f>
        <v>F5</v>
      </c>
      <c r="AH124" s="2" t="str">
        <f>DEC2HEX(Table1[[#This Row],[red fsp idx]], 2)</f>
        <v>0A</v>
      </c>
      <c r="AI124" s="2" t="str">
        <f xml:space="preserve"> LEFT(Sng2String(Table1[[#This Row],[t bias]]), 6)</f>
        <v>3F9C28</v>
      </c>
      <c r="AJ124" s="2" t="str">
        <f xml:space="preserve"> LEFT(Sng2String(Table1[[#This Row],[t gain]]), 6)</f>
        <v>400E14</v>
      </c>
      <c r="AK124" s="2" t="str">
        <f>DEC2HEX(Table1[[#This Row],[t inv sp mx idx]], 1)</f>
        <v>A</v>
      </c>
      <c r="AL124" s="2" t="str">
        <f xml:space="preserve"> LEFT(Sng2String(Table1[[#This Row],[g bias]]), 6)</f>
        <v>3FDC28</v>
      </c>
      <c r="AM124" s="2" t="str">
        <f xml:space="preserve"> LEFT(Sng2String(Table1[[#This Row],[g gain]]), 6)</f>
        <v>3F8E14</v>
      </c>
      <c r="AN124" s="2" t="str">
        <f>DEC2HEX(Table1[[#This Row],[g inv sp mx idx]], 1)</f>
        <v>B</v>
      </c>
      <c r="AO124" s="2" t="str">
        <f xml:space="preserve"> LEFT(Sng2String(Table1[[#This Row],[a bias]]), 6)</f>
        <v>400E14</v>
      </c>
      <c r="AP124" s="2" t="str">
        <f xml:space="preserve"> LEFT(Sng2String(Table1[[#This Row],[a gain]]), 6)</f>
        <v>3FDC28</v>
      </c>
      <c r="AQ124" s="2" t="str">
        <f>DEC2HEX(Table1[[#This Row],[a inv sp mx idx]], 1)</f>
        <v>C</v>
      </c>
      <c r="AR124" s="2" t="str">
        <f xml:space="preserve"> LEFT(Sng2String(Table1[[#This Row],[c bias]]), 6)</f>
        <v>3F9C28</v>
      </c>
      <c r="AS124" s="2" t="str">
        <f xml:space="preserve"> LEFT(Sng2String(Table1[[#This Row],[c gain]]), 6)</f>
        <v>400E14</v>
      </c>
      <c r="AT124" s="2" t="str">
        <f>DEC2HEX(Table1[[#This Row],[c inv sp mx idx]], 1)</f>
        <v>D</v>
      </c>
      <c r="AU124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00905DF50A3F9C28400E14A3FDC283F8E14B400E143FDC28C3F9C28400E14D02</v>
      </c>
      <c r="AV124" s="2">
        <f>LEN(Table1[[#This Row],[DRAM data]])</f>
        <v>64</v>
      </c>
    </row>
    <row r="125" spans="1:48" x14ac:dyDescent="0.25">
      <c r="A125">
        <v>123</v>
      </c>
      <c r="B125">
        <f>Table1[[#This Row],[ZMW num]]+1</f>
        <v>124</v>
      </c>
      <c r="C125">
        <v>9</v>
      </c>
      <c r="D125">
        <f t="shared" si="2"/>
        <v>100</v>
      </c>
      <c r="E125">
        <v>247</v>
      </c>
      <c r="F125">
        <v>8</v>
      </c>
      <c r="G125">
        <v>0</v>
      </c>
      <c r="H125">
        <f>Table1[[#This Row],[ZMW num]]*0.01</f>
        <v>1.23</v>
      </c>
      <c r="I125">
        <f>1+Table1[[#This Row],[t bias]]</f>
        <v>2.23</v>
      </c>
      <c r="J125">
        <f>Table1[[#This Row],[t kinetic trace]]* String2Single(CONCATENATE(LEFT(Single2String(Table1[[#This Row],[t gain]]), 6), "00")) + String2Single(CONCATENATE(LEFT(Single2String(Table1[[#This Row],[t bias]]), 6), "00"))</f>
        <v>1.22998046875</v>
      </c>
      <c r="K125" t="str">
        <f>Sng2String(Table1[[#This Row],[t ptrace]])</f>
        <v>3F9D7000</v>
      </c>
      <c r="L125">
        <f>MOD(Table1[[#This Row],[ZMW num]], 2^4)</f>
        <v>11</v>
      </c>
      <c r="M125">
        <v>0</v>
      </c>
      <c r="N125">
        <f>Table1[[#This Row],[t bias]]+0.5</f>
        <v>1.73</v>
      </c>
      <c r="O125">
        <f>Table1[[#This Row],[t gain]]/2</f>
        <v>1.115</v>
      </c>
      <c r="P125">
        <f>Table1[[#This Row],[g kinetic trace]] * String2Single(CONCATENATE(LEFT(Single2String(Table1[[#This Row],[g gain]]), 6), "00")) + String2Single(CONCATENATE(LEFT(Single2String(Table1[[#This Row],[g bias]]), 6), "00"))</f>
        <v>1.72998046875</v>
      </c>
      <c r="Q125" t="str">
        <f xml:space="preserve"> Sng2String(Table1[[#This Row],[g ptrace]])</f>
        <v>3FDD7000</v>
      </c>
      <c r="R125">
        <f>MOD(Table1[[#This Row],[t inv sp mx idx]]+1, 2^4)</f>
        <v>12</v>
      </c>
      <c r="S125">
        <v>0</v>
      </c>
      <c r="T125">
        <f>Table1[[#This Row],[t bias]]+1</f>
        <v>2.23</v>
      </c>
      <c r="U125">
        <f>Table1[[#This Row],[t gain]]-0.5</f>
        <v>1.73</v>
      </c>
      <c r="V125">
        <f>Table1[[#This Row],[a kinetic trace]] * String2Single(CONCATENATE(LEFT(Single2String(Table1[[#This Row],[a gain]]), 6), "00")) + String2Single(CONCATENATE(LEFT(Single2String(Table1[[#This Row],[a bias]]), 6), "00"))</f>
        <v>2.22998046875</v>
      </c>
      <c r="W125" t="str">
        <f xml:space="preserve"> Sng2String(Table1[[#This Row],[a ptrace]])</f>
        <v>400EB800</v>
      </c>
      <c r="X125">
        <f>MOD(Table1[[#This Row],[t inv sp mx idx]]+2, 2^4)</f>
        <v>13</v>
      </c>
      <c r="Y125">
        <v>0</v>
      </c>
      <c r="Z125">
        <f>Table1[[#This Row],[t bias]]</f>
        <v>1.23</v>
      </c>
      <c r="AA125">
        <f>Table1[[#This Row],[t gain]]</f>
        <v>2.23</v>
      </c>
      <c r="AB125">
        <f>Table1[[#This Row],[c kinetic trace]]* String2Single(CONCATENATE(LEFT(Single2String(Table1[[#This Row],[c gain]]), 6), "00")) + String2Single(CONCATENATE(LEFT(Single2String(Table1[[#This Row],[c bias]]), 6), "00"))</f>
        <v>1.22998046875</v>
      </c>
      <c r="AC125" t="str">
        <f xml:space="preserve"> Sng2String(Table1[[#This Row],[c ptrace]])</f>
        <v>3F9D7000</v>
      </c>
      <c r="AD125">
        <f>MOD(Table1[[#This Row],[t inv sp mx idx]]+3, 2^4)</f>
        <v>14</v>
      </c>
      <c r="AE125" s="4" t="str">
        <f>DEC2HEX(Table1[[#This Row],[row]], 3)</f>
        <v>009</v>
      </c>
      <c r="AF125" s="2" t="str">
        <f>DEC2HEX(Table1[[#This Row],[col]], 3)</f>
        <v>064</v>
      </c>
      <c r="AG125" s="2" t="str">
        <f>DEC2HEX(Table1[[#This Row],[grn fsp idx]], 2)</f>
        <v>F7</v>
      </c>
      <c r="AH125" s="2" t="str">
        <f>DEC2HEX(Table1[[#This Row],[red fsp idx]], 2)</f>
        <v>08</v>
      </c>
      <c r="AI125" s="2" t="str">
        <f xml:space="preserve"> LEFT(Sng2String(Table1[[#This Row],[t bias]]), 6)</f>
        <v>3F9D70</v>
      </c>
      <c r="AJ125" s="2" t="str">
        <f xml:space="preserve"> LEFT(Sng2String(Table1[[#This Row],[t gain]]), 6)</f>
        <v>400EB8</v>
      </c>
      <c r="AK125" s="2" t="str">
        <f>DEC2HEX(Table1[[#This Row],[t inv sp mx idx]], 1)</f>
        <v>B</v>
      </c>
      <c r="AL125" s="2" t="str">
        <f xml:space="preserve"> LEFT(Sng2String(Table1[[#This Row],[g bias]]), 6)</f>
        <v>3FDD70</v>
      </c>
      <c r="AM125" s="2" t="str">
        <f xml:space="preserve"> LEFT(Sng2String(Table1[[#This Row],[g gain]]), 6)</f>
        <v>3F8EB8</v>
      </c>
      <c r="AN125" s="2" t="str">
        <f>DEC2HEX(Table1[[#This Row],[g inv sp mx idx]], 1)</f>
        <v>C</v>
      </c>
      <c r="AO125" s="2" t="str">
        <f xml:space="preserve"> LEFT(Sng2String(Table1[[#This Row],[a bias]]), 6)</f>
        <v>400EB8</v>
      </c>
      <c r="AP125" s="2" t="str">
        <f xml:space="preserve"> LEFT(Sng2String(Table1[[#This Row],[a gain]]), 6)</f>
        <v>3FDD70</v>
      </c>
      <c r="AQ125" s="2" t="str">
        <f>DEC2HEX(Table1[[#This Row],[a inv sp mx idx]], 1)</f>
        <v>D</v>
      </c>
      <c r="AR125" s="2" t="str">
        <f xml:space="preserve"> LEFT(Sng2String(Table1[[#This Row],[c bias]]), 6)</f>
        <v>3F9D70</v>
      </c>
      <c r="AS125" s="2" t="str">
        <f xml:space="preserve"> LEFT(Sng2String(Table1[[#This Row],[c gain]]), 6)</f>
        <v>400EB8</v>
      </c>
      <c r="AT125" s="2" t="str">
        <f>DEC2HEX(Table1[[#This Row],[c inv sp mx idx]], 1)</f>
        <v>E</v>
      </c>
      <c r="AU125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009064F7083F9D70400EB8B3FDD703F8EB8C400EB83FDD70D3F9D70400EB8E02</v>
      </c>
      <c r="AV125" s="2">
        <f>LEN(Table1[[#This Row],[DRAM data]])</f>
        <v>64</v>
      </c>
    </row>
    <row r="126" spans="1:48" x14ac:dyDescent="0.25">
      <c r="A126">
        <v>124</v>
      </c>
      <c r="B126">
        <f>Table1[[#This Row],[ZMW num]]+1</f>
        <v>125</v>
      </c>
      <c r="C126">
        <v>9</v>
      </c>
      <c r="D126">
        <f t="shared" si="2"/>
        <v>105</v>
      </c>
      <c r="E126">
        <v>249</v>
      </c>
      <c r="F126">
        <v>6</v>
      </c>
      <c r="G126">
        <v>0</v>
      </c>
      <c r="H126">
        <f>Table1[[#This Row],[ZMW num]]*0.01</f>
        <v>1.24</v>
      </c>
      <c r="I126">
        <f>1+Table1[[#This Row],[t bias]]</f>
        <v>2.2400000000000002</v>
      </c>
      <c r="J126">
        <f>Table1[[#This Row],[t kinetic trace]]* String2Single(CONCATENATE(LEFT(Single2String(Table1[[#This Row],[t gain]]), 6), "00")) + String2Single(CONCATENATE(LEFT(Single2String(Table1[[#This Row],[t bias]]), 6), "00"))</f>
        <v>1.239990234375</v>
      </c>
      <c r="K126" t="str">
        <f>Sng2String(Table1[[#This Row],[t ptrace]])</f>
        <v>3F9EB800</v>
      </c>
      <c r="L126">
        <f>MOD(Table1[[#This Row],[ZMW num]], 2^4)</f>
        <v>12</v>
      </c>
      <c r="M126">
        <v>0</v>
      </c>
      <c r="N126">
        <f>Table1[[#This Row],[t bias]]+0.5</f>
        <v>1.74</v>
      </c>
      <c r="O126">
        <f>Table1[[#This Row],[t gain]]/2</f>
        <v>1.1200000000000001</v>
      </c>
      <c r="P126">
        <f>Table1[[#This Row],[g kinetic trace]] * String2Single(CONCATENATE(LEFT(Single2String(Table1[[#This Row],[g gain]]), 6), "00")) + String2Single(CONCATENATE(LEFT(Single2String(Table1[[#This Row],[g bias]]), 6), "00"))</f>
        <v>1.739990234375</v>
      </c>
      <c r="Q126" t="str">
        <f xml:space="preserve"> Sng2String(Table1[[#This Row],[g ptrace]])</f>
        <v>3FDEB800</v>
      </c>
      <c r="R126">
        <f>MOD(Table1[[#This Row],[t inv sp mx idx]]+1, 2^4)</f>
        <v>13</v>
      </c>
      <c r="S126">
        <v>0</v>
      </c>
      <c r="T126">
        <f>Table1[[#This Row],[t bias]]+1</f>
        <v>2.2400000000000002</v>
      </c>
      <c r="U126">
        <f>Table1[[#This Row],[t gain]]-0.5</f>
        <v>1.7400000000000002</v>
      </c>
      <c r="V126">
        <f>Table1[[#This Row],[a kinetic trace]] * String2Single(CONCATENATE(LEFT(Single2String(Table1[[#This Row],[a gain]]), 6), "00")) + String2Single(CONCATENATE(LEFT(Single2String(Table1[[#This Row],[a bias]]), 6), "00"))</f>
        <v>2.239990234375</v>
      </c>
      <c r="W126" t="str">
        <f xml:space="preserve"> Sng2String(Table1[[#This Row],[a ptrace]])</f>
        <v>400F5C00</v>
      </c>
      <c r="X126">
        <f>MOD(Table1[[#This Row],[t inv sp mx idx]]+2, 2^4)</f>
        <v>14</v>
      </c>
      <c r="Y126">
        <v>0</v>
      </c>
      <c r="Z126">
        <f>Table1[[#This Row],[t bias]]</f>
        <v>1.24</v>
      </c>
      <c r="AA126">
        <f>Table1[[#This Row],[t gain]]</f>
        <v>2.2400000000000002</v>
      </c>
      <c r="AB126">
        <f>Table1[[#This Row],[c kinetic trace]]* String2Single(CONCATENATE(LEFT(Single2String(Table1[[#This Row],[c gain]]), 6), "00")) + String2Single(CONCATENATE(LEFT(Single2String(Table1[[#This Row],[c bias]]), 6), "00"))</f>
        <v>1.239990234375</v>
      </c>
      <c r="AC126" t="str">
        <f xml:space="preserve"> Sng2String(Table1[[#This Row],[c ptrace]])</f>
        <v>3F9EB800</v>
      </c>
      <c r="AD126">
        <f>MOD(Table1[[#This Row],[t inv sp mx idx]]+3, 2^4)</f>
        <v>15</v>
      </c>
      <c r="AE126" s="4" t="str">
        <f>DEC2HEX(Table1[[#This Row],[row]], 3)</f>
        <v>009</v>
      </c>
      <c r="AF126" s="2" t="str">
        <f>DEC2HEX(Table1[[#This Row],[col]], 3)</f>
        <v>069</v>
      </c>
      <c r="AG126" s="2" t="str">
        <f>DEC2HEX(Table1[[#This Row],[grn fsp idx]], 2)</f>
        <v>F9</v>
      </c>
      <c r="AH126" s="2" t="str">
        <f>DEC2HEX(Table1[[#This Row],[red fsp idx]], 2)</f>
        <v>06</v>
      </c>
      <c r="AI126" s="2" t="str">
        <f xml:space="preserve"> LEFT(Sng2String(Table1[[#This Row],[t bias]]), 6)</f>
        <v>3F9EB8</v>
      </c>
      <c r="AJ126" s="2" t="str">
        <f xml:space="preserve"> LEFT(Sng2String(Table1[[#This Row],[t gain]]), 6)</f>
        <v>400F5C</v>
      </c>
      <c r="AK126" s="2" t="str">
        <f>DEC2HEX(Table1[[#This Row],[t inv sp mx idx]], 1)</f>
        <v>C</v>
      </c>
      <c r="AL126" s="2" t="str">
        <f xml:space="preserve"> LEFT(Sng2String(Table1[[#This Row],[g bias]]), 6)</f>
        <v>3FDEB8</v>
      </c>
      <c r="AM126" s="2" t="str">
        <f xml:space="preserve"> LEFT(Sng2String(Table1[[#This Row],[g gain]]), 6)</f>
        <v>3F8F5C</v>
      </c>
      <c r="AN126" s="2" t="str">
        <f>DEC2HEX(Table1[[#This Row],[g inv sp mx idx]], 1)</f>
        <v>D</v>
      </c>
      <c r="AO126" s="2" t="str">
        <f xml:space="preserve"> LEFT(Sng2String(Table1[[#This Row],[a bias]]), 6)</f>
        <v>400F5C</v>
      </c>
      <c r="AP126" s="2" t="str">
        <f xml:space="preserve"> LEFT(Sng2String(Table1[[#This Row],[a gain]]), 6)</f>
        <v>3FDEB8</v>
      </c>
      <c r="AQ126" s="2" t="str">
        <f>DEC2HEX(Table1[[#This Row],[a inv sp mx idx]], 1)</f>
        <v>E</v>
      </c>
      <c r="AR126" s="2" t="str">
        <f xml:space="preserve"> LEFT(Sng2String(Table1[[#This Row],[c bias]]), 6)</f>
        <v>3F9EB8</v>
      </c>
      <c r="AS126" s="2" t="str">
        <f xml:space="preserve"> LEFT(Sng2String(Table1[[#This Row],[c gain]]), 6)</f>
        <v>400F5C</v>
      </c>
      <c r="AT126" s="2" t="str">
        <f>DEC2HEX(Table1[[#This Row],[c inv sp mx idx]], 1)</f>
        <v>F</v>
      </c>
      <c r="AU126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009069F9063F9EB8400F5CC3FDEB83F8F5CD400F5C3FDEB8E3F9EB8400F5CF02</v>
      </c>
      <c r="AV126" s="2">
        <f>LEN(Table1[[#This Row],[DRAM data]])</f>
        <v>64</v>
      </c>
    </row>
    <row r="127" spans="1:48" x14ac:dyDescent="0.25">
      <c r="A127">
        <v>125</v>
      </c>
      <c r="B127">
        <f>Table1[[#This Row],[ZMW num]]+1</f>
        <v>126</v>
      </c>
      <c r="C127">
        <v>9</v>
      </c>
      <c r="D127">
        <f t="shared" si="2"/>
        <v>110</v>
      </c>
      <c r="E127">
        <v>251</v>
      </c>
      <c r="F127">
        <v>4</v>
      </c>
      <c r="G127">
        <v>0</v>
      </c>
      <c r="H127">
        <f>Table1[[#This Row],[ZMW num]]*0.01</f>
        <v>1.25</v>
      </c>
      <c r="I127">
        <f>1+Table1[[#This Row],[t bias]]</f>
        <v>2.25</v>
      </c>
      <c r="J127">
        <f>Table1[[#This Row],[t kinetic trace]]* String2Single(CONCATENATE(LEFT(Single2String(Table1[[#This Row],[t gain]]), 6), "00")) + String2Single(CONCATENATE(LEFT(Single2String(Table1[[#This Row],[t bias]]), 6), "00"))</f>
        <v>1.25</v>
      </c>
      <c r="K127" t="str">
        <f>Sng2String(Table1[[#This Row],[t ptrace]])</f>
        <v>3FA00000</v>
      </c>
      <c r="L127">
        <f>MOD(Table1[[#This Row],[ZMW num]], 2^4)</f>
        <v>13</v>
      </c>
      <c r="M127">
        <v>0</v>
      </c>
      <c r="N127">
        <f>Table1[[#This Row],[t bias]]+0.5</f>
        <v>1.75</v>
      </c>
      <c r="O127">
        <f>Table1[[#This Row],[t gain]]/2</f>
        <v>1.125</v>
      </c>
      <c r="P127">
        <f>Table1[[#This Row],[g kinetic trace]] * String2Single(CONCATENATE(LEFT(Single2String(Table1[[#This Row],[g gain]]), 6), "00")) + String2Single(CONCATENATE(LEFT(Single2String(Table1[[#This Row],[g bias]]), 6), "00"))</f>
        <v>1.75</v>
      </c>
      <c r="Q127" t="str">
        <f xml:space="preserve"> Sng2String(Table1[[#This Row],[g ptrace]])</f>
        <v>3FE00000</v>
      </c>
      <c r="R127">
        <f>MOD(Table1[[#This Row],[t inv sp mx idx]]+1, 2^4)</f>
        <v>14</v>
      </c>
      <c r="S127">
        <v>0</v>
      </c>
      <c r="T127">
        <f>Table1[[#This Row],[t bias]]+1</f>
        <v>2.25</v>
      </c>
      <c r="U127">
        <f>Table1[[#This Row],[t gain]]-0.5</f>
        <v>1.75</v>
      </c>
      <c r="V127">
        <f>Table1[[#This Row],[a kinetic trace]] * String2Single(CONCATENATE(LEFT(Single2String(Table1[[#This Row],[a gain]]), 6), "00")) + String2Single(CONCATENATE(LEFT(Single2String(Table1[[#This Row],[a bias]]), 6), "00"))</f>
        <v>2.25</v>
      </c>
      <c r="W127" t="str">
        <f xml:space="preserve"> Sng2String(Table1[[#This Row],[a ptrace]])</f>
        <v>40100000</v>
      </c>
      <c r="X127">
        <f>MOD(Table1[[#This Row],[t inv sp mx idx]]+2, 2^4)</f>
        <v>15</v>
      </c>
      <c r="Y127">
        <v>0</v>
      </c>
      <c r="Z127">
        <f>Table1[[#This Row],[t bias]]</f>
        <v>1.25</v>
      </c>
      <c r="AA127">
        <f>Table1[[#This Row],[t gain]]</f>
        <v>2.25</v>
      </c>
      <c r="AB127">
        <f>Table1[[#This Row],[c kinetic trace]]* String2Single(CONCATENATE(LEFT(Single2String(Table1[[#This Row],[c gain]]), 6), "00")) + String2Single(CONCATENATE(LEFT(Single2String(Table1[[#This Row],[c bias]]), 6), "00"))</f>
        <v>1.25</v>
      </c>
      <c r="AC127" t="str">
        <f xml:space="preserve"> Sng2String(Table1[[#This Row],[c ptrace]])</f>
        <v>3FA00000</v>
      </c>
      <c r="AD127">
        <f>MOD(Table1[[#This Row],[t inv sp mx idx]]+3, 2^4)</f>
        <v>0</v>
      </c>
      <c r="AE127" s="4" t="str">
        <f>DEC2HEX(Table1[[#This Row],[row]], 3)</f>
        <v>009</v>
      </c>
      <c r="AF127" s="2" t="str">
        <f>DEC2HEX(Table1[[#This Row],[col]], 3)</f>
        <v>06E</v>
      </c>
      <c r="AG127" s="2" t="str">
        <f>DEC2HEX(Table1[[#This Row],[grn fsp idx]], 2)</f>
        <v>FB</v>
      </c>
      <c r="AH127" s="2" t="str">
        <f>DEC2HEX(Table1[[#This Row],[red fsp idx]], 2)</f>
        <v>04</v>
      </c>
      <c r="AI127" s="2" t="str">
        <f xml:space="preserve"> LEFT(Sng2String(Table1[[#This Row],[t bias]]), 6)</f>
        <v>3FA000</v>
      </c>
      <c r="AJ127" s="2" t="str">
        <f xml:space="preserve"> LEFT(Sng2String(Table1[[#This Row],[t gain]]), 6)</f>
        <v>401000</v>
      </c>
      <c r="AK127" s="2" t="str">
        <f>DEC2HEX(Table1[[#This Row],[t inv sp mx idx]], 1)</f>
        <v>D</v>
      </c>
      <c r="AL127" s="2" t="str">
        <f xml:space="preserve"> LEFT(Sng2String(Table1[[#This Row],[g bias]]), 6)</f>
        <v>3FE000</v>
      </c>
      <c r="AM127" s="2" t="str">
        <f xml:space="preserve"> LEFT(Sng2String(Table1[[#This Row],[g gain]]), 6)</f>
        <v>3F9000</v>
      </c>
      <c r="AN127" s="2" t="str">
        <f>DEC2HEX(Table1[[#This Row],[g inv sp mx idx]], 1)</f>
        <v>E</v>
      </c>
      <c r="AO127" s="2" t="str">
        <f xml:space="preserve"> LEFT(Sng2String(Table1[[#This Row],[a bias]]), 6)</f>
        <v>401000</v>
      </c>
      <c r="AP127" s="2" t="str">
        <f xml:space="preserve"> LEFT(Sng2String(Table1[[#This Row],[a gain]]), 6)</f>
        <v>3FE000</v>
      </c>
      <c r="AQ127" s="2" t="str">
        <f>DEC2HEX(Table1[[#This Row],[a inv sp mx idx]], 1)</f>
        <v>F</v>
      </c>
      <c r="AR127" s="2" t="str">
        <f xml:space="preserve"> LEFT(Sng2String(Table1[[#This Row],[c bias]]), 6)</f>
        <v>3FA000</v>
      </c>
      <c r="AS127" s="2" t="str">
        <f xml:space="preserve"> LEFT(Sng2String(Table1[[#This Row],[c gain]]), 6)</f>
        <v>401000</v>
      </c>
      <c r="AT127" s="2" t="str">
        <f>DEC2HEX(Table1[[#This Row],[c inv sp mx idx]], 1)</f>
        <v>0</v>
      </c>
      <c r="AU127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00906EFB043FA000401000D3FE0003F9000E4010003FE000F3FA000401000002</v>
      </c>
      <c r="AV127" s="2">
        <f>LEN(Table1[[#This Row],[DRAM data]])</f>
        <v>64</v>
      </c>
    </row>
    <row r="128" spans="1:48" x14ac:dyDescent="0.25">
      <c r="A128">
        <v>126</v>
      </c>
      <c r="B128">
        <f>Table1[[#This Row],[ZMW num]]+1</f>
        <v>127</v>
      </c>
      <c r="C128">
        <v>9</v>
      </c>
      <c r="D128">
        <f t="shared" si="2"/>
        <v>118</v>
      </c>
      <c r="E128">
        <v>253</v>
      </c>
      <c r="F128">
        <v>2</v>
      </c>
      <c r="G128">
        <v>0</v>
      </c>
      <c r="H128">
        <f>Table1[[#This Row],[ZMW num]]*0.01</f>
        <v>1.26</v>
      </c>
      <c r="I128">
        <f>1+Table1[[#This Row],[t bias]]</f>
        <v>2.2599999999999998</v>
      </c>
      <c r="J128">
        <f>Table1[[#This Row],[t kinetic trace]]* String2Single(CONCATENATE(LEFT(Single2String(Table1[[#This Row],[t gain]]), 6), "00")) + String2Single(CONCATENATE(LEFT(Single2String(Table1[[#This Row],[t bias]]), 6), "00"))</f>
        <v>1.259979248046875</v>
      </c>
      <c r="K128" t="str">
        <f>Sng2String(Table1[[#This Row],[t ptrace]])</f>
        <v>3FA14700</v>
      </c>
      <c r="L128">
        <f>MOD(Table1[[#This Row],[ZMW num]], 2^4)</f>
        <v>14</v>
      </c>
      <c r="M128">
        <v>0</v>
      </c>
      <c r="N128">
        <f>Table1[[#This Row],[t bias]]+0.5</f>
        <v>1.76</v>
      </c>
      <c r="O128">
        <f>Table1[[#This Row],[t gain]]/2</f>
        <v>1.1299999999999999</v>
      </c>
      <c r="P128">
        <f>Table1[[#This Row],[g kinetic trace]] * String2Single(CONCATENATE(LEFT(Single2String(Table1[[#This Row],[g gain]]), 6), "00")) + String2Single(CONCATENATE(LEFT(Single2String(Table1[[#This Row],[g bias]]), 6), "00"))</f>
        <v>1.759979248046875</v>
      </c>
      <c r="Q128" t="str">
        <f xml:space="preserve"> Sng2String(Table1[[#This Row],[g ptrace]])</f>
        <v>3FE14700</v>
      </c>
      <c r="R128">
        <f>MOD(Table1[[#This Row],[t inv sp mx idx]]+1, 2^4)</f>
        <v>15</v>
      </c>
      <c r="S128">
        <v>0</v>
      </c>
      <c r="T128">
        <f>Table1[[#This Row],[t bias]]+1</f>
        <v>2.2599999999999998</v>
      </c>
      <c r="U128">
        <f>Table1[[#This Row],[t gain]]-0.5</f>
        <v>1.7599999999999998</v>
      </c>
      <c r="V128">
        <f>Table1[[#This Row],[a kinetic trace]] * String2Single(CONCATENATE(LEFT(Single2String(Table1[[#This Row],[a gain]]), 6), "00")) + String2Single(CONCATENATE(LEFT(Single2String(Table1[[#This Row],[a bias]]), 6), "00"))</f>
        <v>2.25994873046875</v>
      </c>
      <c r="W128" t="str">
        <f xml:space="preserve"> Sng2String(Table1[[#This Row],[a ptrace]])</f>
        <v>4010A300</v>
      </c>
      <c r="X128">
        <f>MOD(Table1[[#This Row],[t inv sp mx idx]]+2, 2^4)</f>
        <v>0</v>
      </c>
      <c r="Y128">
        <v>0</v>
      </c>
      <c r="Z128">
        <f>Table1[[#This Row],[t bias]]</f>
        <v>1.26</v>
      </c>
      <c r="AA128">
        <f>Table1[[#This Row],[t gain]]</f>
        <v>2.2599999999999998</v>
      </c>
      <c r="AB128">
        <f>Table1[[#This Row],[c kinetic trace]]* String2Single(CONCATENATE(LEFT(Single2String(Table1[[#This Row],[c gain]]), 6), "00")) + String2Single(CONCATENATE(LEFT(Single2String(Table1[[#This Row],[c bias]]), 6), "00"))</f>
        <v>1.259979248046875</v>
      </c>
      <c r="AC128" t="str">
        <f xml:space="preserve"> Sng2String(Table1[[#This Row],[c ptrace]])</f>
        <v>3FA14700</v>
      </c>
      <c r="AD128">
        <f>MOD(Table1[[#This Row],[t inv sp mx idx]]+3, 2^4)</f>
        <v>1</v>
      </c>
      <c r="AE128" s="4" t="str">
        <f>DEC2HEX(Table1[[#This Row],[row]], 3)</f>
        <v>009</v>
      </c>
      <c r="AF128" s="2" t="str">
        <f>DEC2HEX(Table1[[#This Row],[col]], 3)</f>
        <v>076</v>
      </c>
      <c r="AG128" s="2" t="str">
        <f>DEC2HEX(Table1[[#This Row],[grn fsp idx]], 2)</f>
        <v>FD</v>
      </c>
      <c r="AH128" s="2" t="str">
        <f>DEC2HEX(Table1[[#This Row],[red fsp idx]], 2)</f>
        <v>02</v>
      </c>
      <c r="AI128" s="2" t="str">
        <f xml:space="preserve"> LEFT(Sng2String(Table1[[#This Row],[t bias]]), 6)</f>
        <v>3FA147</v>
      </c>
      <c r="AJ128" s="2" t="str">
        <f xml:space="preserve"> LEFT(Sng2String(Table1[[#This Row],[t gain]]), 6)</f>
        <v>4010A3</v>
      </c>
      <c r="AK128" s="2" t="str">
        <f>DEC2HEX(Table1[[#This Row],[t inv sp mx idx]], 1)</f>
        <v>E</v>
      </c>
      <c r="AL128" s="2" t="str">
        <f xml:space="preserve"> LEFT(Sng2String(Table1[[#This Row],[g bias]]), 6)</f>
        <v>3FE147</v>
      </c>
      <c r="AM128" s="2" t="str">
        <f xml:space="preserve"> LEFT(Sng2String(Table1[[#This Row],[g gain]]), 6)</f>
        <v>3F90A3</v>
      </c>
      <c r="AN128" s="2" t="str">
        <f>DEC2HEX(Table1[[#This Row],[g inv sp mx idx]], 1)</f>
        <v>F</v>
      </c>
      <c r="AO128" s="2" t="str">
        <f xml:space="preserve"> LEFT(Sng2String(Table1[[#This Row],[a bias]]), 6)</f>
        <v>4010A3</v>
      </c>
      <c r="AP128" s="2" t="str">
        <f xml:space="preserve"> LEFT(Sng2String(Table1[[#This Row],[a gain]]), 6)</f>
        <v>3FE147</v>
      </c>
      <c r="AQ128" s="2" t="str">
        <f>DEC2HEX(Table1[[#This Row],[a inv sp mx idx]], 1)</f>
        <v>0</v>
      </c>
      <c r="AR128" s="2" t="str">
        <f xml:space="preserve"> LEFT(Sng2String(Table1[[#This Row],[c bias]]), 6)</f>
        <v>3FA147</v>
      </c>
      <c r="AS128" s="2" t="str">
        <f xml:space="preserve"> LEFT(Sng2String(Table1[[#This Row],[c gain]]), 6)</f>
        <v>4010A3</v>
      </c>
      <c r="AT128" s="2" t="str">
        <f>DEC2HEX(Table1[[#This Row],[c inv sp mx idx]], 1)</f>
        <v>1</v>
      </c>
      <c r="AU128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009076FD023FA1474010A3E3FE1473F90A3F4010A33FE14703FA1474010A3102</v>
      </c>
      <c r="AV128" s="2">
        <f>LEN(Table1[[#This Row],[DRAM data]])</f>
        <v>64</v>
      </c>
    </row>
    <row r="129" spans="1:48" x14ac:dyDescent="0.25">
      <c r="A129">
        <v>127</v>
      </c>
      <c r="B129">
        <f>Table1[[#This Row],[ZMW num]]+1</f>
        <v>128</v>
      </c>
      <c r="C129">
        <v>9</v>
      </c>
      <c r="D129">
        <f t="shared" si="2"/>
        <v>124</v>
      </c>
      <c r="E129">
        <v>255</v>
      </c>
      <c r="F129">
        <v>0</v>
      </c>
      <c r="G129">
        <v>0</v>
      </c>
      <c r="H129">
        <f>Table1[[#This Row],[ZMW num]]*0.01</f>
        <v>1.27</v>
      </c>
      <c r="I129">
        <f>1+Table1[[#This Row],[t bias]]</f>
        <v>2.27</v>
      </c>
      <c r="J129">
        <f>Table1[[#This Row],[t kinetic trace]]* String2Single(CONCATENATE(LEFT(Single2String(Table1[[#This Row],[t gain]]), 6), "00")) + String2Single(CONCATENATE(LEFT(Single2String(Table1[[#This Row],[t bias]]), 6), "00"))</f>
        <v>1.269989013671875</v>
      </c>
      <c r="K129" t="str">
        <f>Sng2String(Table1[[#This Row],[t ptrace]])</f>
        <v>3FA28F00</v>
      </c>
      <c r="L129">
        <f>MOD(Table1[[#This Row],[ZMW num]], 2^4)</f>
        <v>15</v>
      </c>
      <c r="M129">
        <v>0</v>
      </c>
      <c r="N129">
        <f>Table1[[#This Row],[t bias]]+0.5</f>
        <v>1.77</v>
      </c>
      <c r="O129">
        <f>Table1[[#This Row],[t gain]]/2</f>
        <v>1.135</v>
      </c>
      <c r="P129">
        <f>Table1[[#This Row],[g kinetic trace]] * String2Single(CONCATENATE(LEFT(Single2String(Table1[[#This Row],[g gain]]), 6), "00")) + String2Single(CONCATENATE(LEFT(Single2String(Table1[[#This Row],[g bias]]), 6), "00"))</f>
        <v>1.769989013671875</v>
      </c>
      <c r="Q129" t="str">
        <f xml:space="preserve"> Sng2String(Table1[[#This Row],[g ptrace]])</f>
        <v>3FE28F00</v>
      </c>
      <c r="R129">
        <f>MOD(Table1[[#This Row],[t inv sp mx idx]]+1, 2^4)</f>
        <v>0</v>
      </c>
      <c r="S129">
        <v>0</v>
      </c>
      <c r="T129">
        <f>Table1[[#This Row],[t bias]]+1</f>
        <v>2.27</v>
      </c>
      <c r="U129">
        <f>Table1[[#This Row],[t gain]]-0.5</f>
        <v>1.77</v>
      </c>
      <c r="V129">
        <f>Table1[[#This Row],[a kinetic trace]] * String2Single(CONCATENATE(LEFT(Single2String(Table1[[#This Row],[a gain]]), 6), "00")) + String2Single(CONCATENATE(LEFT(Single2String(Table1[[#This Row],[a bias]]), 6), "00"))</f>
        <v>2.26995849609375</v>
      </c>
      <c r="W129" t="str">
        <f xml:space="preserve"> Sng2String(Table1[[#This Row],[a ptrace]])</f>
        <v>40114700</v>
      </c>
      <c r="X129">
        <f>MOD(Table1[[#This Row],[t inv sp mx idx]]+2, 2^4)</f>
        <v>1</v>
      </c>
      <c r="Y129">
        <v>0</v>
      </c>
      <c r="Z129">
        <f>Table1[[#This Row],[t bias]]</f>
        <v>1.27</v>
      </c>
      <c r="AA129">
        <f>Table1[[#This Row],[t gain]]</f>
        <v>2.27</v>
      </c>
      <c r="AB129">
        <f>Table1[[#This Row],[c kinetic trace]]* String2Single(CONCATENATE(LEFT(Single2String(Table1[[#This Row],[c gain]]), 6), "00")) + String2Single(CONCATENATE(LEFT(Single2String(Table1[[#This Row],[c bias]]), 6), "00"))</f>
        <v>1.269989013671875</v>
      </c>
      <c r="AC129" t="str">
        <f xml:space="preserve"> Sng2String(Table1[[#This Row],[c ptrace]])</f>
        <v>3FA28F00</v>
      </c>
      <c r="AD129">
        <f>MOD(Table1[[#This Row],[t inv sp mx idx]]+3, 2^4)</f>
        <v>2</v>
      </c>
      <c r="AE129" s="4" t="str">
        <f>DEC2HEX(Table1[[#This Row],[row]], 3)</f>
        <v>009</v>
      </c>
      <c r="AF129" s="2" t="str">
        <f>DEC2HEX(Table1[[#This Row],[col]], 3)</f>
        <v>07C</v>
      </c>
      <c r="AG129" s="2" t="str">
        <f>DEC2HEX(Table1[[#This Row],[grn fsp idx]], 2)</f>
        <v>FF</v>
      </c>
      <c r="AH129" s="2" t="str">
        <f>DEC2HEX(Table1[[#This Row],[red fsp idx]], 2)</f>
        <v>00</v>
      </c>
      <c r="AI129" s="2" t="str">
        <f xml:space="preserve"> LEFT(Sng2String(Table1[[#This Row],[t bias]]), 6)</f>
        <v>3FA28F</v>
      </c>
      <c r="AJ129" s="2" t="str">
        <f xml:space="preserve"> LEFT(Sng2String(Table1[[#This Row],[t gain]]), 6)</f>
        <v>401147</v>
      </c>
      <c r="AK129" s="2" t="str">
        <f>DEC2HEX(Table1[[#This Row],[t inv sp mx idx]], 1)</f>
        <v>F</v>
      </c>
      <c r="AL129" s="2" t="str">
        <f xml:space="preserve"> LEFT(Sng2String(Table1[[#This Row],[g bias]]), 6)</f>
        <v>3FE28F</v>
      </c>
      <c r="AM129" s="2" t="str">
        <f xml:space="preserve"> LEFT(Sng2String(Table1[[#This Row],[g gain]]), 6)</f>
        <v>3F9147</v>
      </c>
      <c r="AN129" s="2" t="str">
        <f>DEC2HEX(Table1[[#This Row],[g inv sp mx idx]], 1)</f>
        <v>0</v>
      </c>
      <c r="AO129" s="2" t="str">
        <f xml:space="preserve"> LEFT(Sng2String(Table1[[#This Row],[a bias]]), 6)</f>
        <v>401147</v>
      </c>
      <c r="AP129" s="2" t="str">
        <f xml:space="preserve"> LEFT(Sng2String(Table1[[#This Row],[a gain]]), 6)</f>
        <v>3FE28F</v>
      </c>
      <c r="AQ129" s="2" t="str">
        <f>DEC2HEX(Table1[[#This Row],[a inv sp mx idx]], 1)</f>
        <v>1</v>
      </c>
      <c r="AR129" s="2" t="str">
        <f xml:space="preserve"> LEFT(Sng2String(Table1[[#This Row],[c bias]]), 6)</f>
        <v>3FA28F</v>
      </c>
      <c r="AS129" s="2" t="str">
        <f xml:space="preserve"> LEFT(Sng2String(Table1[[#This Row],[c gain]]), 6)</f>
        <v>401147</v>
      </c>
      <c r="AT129" s="2" t="str">
        <f>DEC2HEX(Table1[[#This Row],[c inv sp mx idx]], 1)</f>
        <v>2</v>
      </c>
      <c r="AU129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00907CFF003FA28F401147F3FE28F3F914704011473FE28F13FA28F401147202</v>
      </c>
      <c r="AV129" s="2">
        <f>LEN(Table1[[#This Row],[DRAM data]])</f>
        <v>64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128"/>
  <sheetViews>
    <sheetView topLeftCell="A97" workbookViewId="0">
      <selection activeCell="E137" sqref="E137"/>
    </sheetView>
  </sheetViews>
  <sheetFormatPr defaultRowHeight="15" x14ac:dyDescent="0.25"/>
  <sheetData>
    <row r="1" spans="1:1" x14ac:dyDescent="0.25">
      <c r="A1" t="str">
        <f>'ZMW data'!AU2</f>
        <v>00300301FE0000003F800003F00003F000013F80003F000020000003F8000302</v>
      </c>
    </row>
    <row r="2" spans="1:1" x14ac:dyDescent="0.25">
      <c r="A2" t="str">
        <f>'ZMW data'!AU3</f>
        <v>00300503FC3C23D73F814713F028F3F014723F81473F028F33C23D73F8147402</v>
      </c>
    </row>
    <row r="3" spans="1:1" x14ac:dyDescent="0.25">
      <c r="A3" t="str">
        <f>'ZMW data'!AU4</f>
        <v>00300805FA3CA3D73F828F23F051E3F028F33F828F3F051E43CA3D73F828F502</v>
      </c>
    </row>
    <row r="4" spans="1:1" x14ac:dyDescent="0.25">
      <c r="A4" t="str">
        <f>'ZMW data'!AU5</f>
        <v>00300A07F83CF5C23F83D733F07AE3F03D743F83D73F07AE53CF5C23F83D7602</v>
      </c>
    </row>
    <row r="5" spans="1:1" x14ac:dyDescent="0.25">
      <c r="A5" t="str">
        <f>'ZMW data'!AU6</f>
        <v>00300E09F63D23D73F851E43F0A3D3F051E53F851E3F0A3D63D23D73F851E702</v>
      </c>
    </row>
    <row r="6" spans="1:1" x14ac:dyDescent="0.25">
      <c r="A6" t="str">
        <f>'ZMW data'!AU7</f>
        <v>00300F0BF43D4CCC3F866653F0CCC3F066663F86663F0CCC73D4CCC3F8666802</v>
      </c>
    </row>
    <row r="7" spans="1:1" x14ac:dyDescent="0.25">
      <c r="A7" t="str">
        <f>'ZMW data'!AU8</f>
        <v>0030120DF23D75C23F87AE63F0F5C3F07AE73F87AE3F0F5C83D75C23F87AE902</v>
      </c>
    </row>
    <row r="8" spans="1:1" x14ac:dyDescent="0.25">
      <c r="A8" t="str">
        <f>'ZMW data'!AU9</f>
        <v>0030150FF03D8F5C3F88F573F11EB3F08F583F88F53F11EB93D8F5C3F88F5A02</v>
      </c>
    </row>
    <row r="9" spans="1:1" x14ac:dyDescent="0.25">
      <c r="A9" t="str">
        <f>'ZMW data'!AU10</f>
        <v>00301811EE3DA3D73F8A3D83F147A3F0A3D93F8A3D3F147AA3DA3D73F8A3DB02</v>
      </c>
    </row>
    <row r="10" spans="1:1" x14ac:dyDescent="0.25">
      <c r="A10" t="str">
        <f>'ZMW data'!AU11</f>
        <v>00301C13EC3DB8513F8B8593F170A3F0B85A3F8B853F170AB3DB8513F8B85C02</v>
      </c>
    </row>
    <row r="11" spans="1:1" x14ac:dyDescent="0.25">
      <c r="A11" t="str">
        <f>'ZMW data'!AU12</f>
        <v>00302015EA3DCCCC3F8CCCA3F19993F0CCCB3F8CCC3F1999C3DCCCC3F8CCCD02</v>
      </c>
    </row>
    <row r="12" spans="1:1" x14ac:dyDescent="0.25">
      <c r="A12" t="str">
        <f>'ZMW data'!AU13</f>
        <v>00302317E83DE1473F8E14B3F1C283F0E14C3F8E143F1C28D3DE1473F8E14E02</v>
      </c>
    </row>
    <row r="13" spans="1:1" x14ac:dyDescent="0.25">
      <c r="A13" t="str">
        <f>'ZMW data'!AU14</f>
        <v>00302819E63DF5C23F8F5CC3F1EB83F0F5CD3F8F5C3F1EB8E3DF5C23F8F5CF02</v>
      </c>
    </row>
    <row r="14" spans="1:1" x14ac:dyDescent="0.25">
      <c r="A14" t="str">
        <f>'ZMW data'!AU15</f>
        <v>00302C1BE43E051E3F90A3D3F21473F10A3E3F90A33F2147F3E051E3F90A3002</v>
      </c>
    </row>
    <row r="15" spans="1:1" x14ac:dyDescent="0.25">
      <c r="A15" t="str">
        <f>'ZMW data'!AU16</f>
        <v>00302D1DE23E0F5C3F91EBE3F23D73F11EBF3F91EB3F23D703E0F5C3F91EB102</v>
      </c>
    </row>
    <row r="16" spans="1:1" x14ac:dyDescent="0.25">
      <c r="A16" t="str">
        <f>'ZMW data'!AU17</f>
        <v>0030321FE03E19993F9333F3F26663F133303F93333F266613E19993F9333202</v>
      </c>
    </row>
    <row r="17" spans="1:1" x14ac:dyDescent="0.25">
      <c r="A17" t="str">
        <f>'ZMW data'!AU18</f>
        <v>00303621DE3E23D73F947A03F28F53F147A13F947A3F28F523E23D73F947A302</v>
      </c>
    </row>
    <row r="18" spans="1:1" x14ac:dyDescent="0.25">
      <c r="A18" t="str">
        <f>'ZMW data'!AU19</f>
        <v>00303923DC3E2E143F95C213F2B853F15C223F95C23F2B8533E2E143F95C2402</v>
      </c>
    </row>
    <row r="19" spans="1:1" x14ac:dyDescent="0.25">
      <c r="A19" t="str">
        <f>'ZMW data'!AU20</f>
        <v>00303C25DA3E38513F970A23F2E143F170A33F970A3F2E1443E38513F970A502</v>
      </c>
    </row>
    <row r="20" spans="1:1" x14ac:dyDescent="0.25">
      <c r="A20" t="str">
        <f>'ZMW data'!AU21</f>
        <v>00304027D83E428F3F985133F30A33F185143F98513F30A353E428F3F9851602</v>
      </c>
    </row>
    <row r="21" spans="1:1" x14ac:dyDescent="0.25">
      <c r="A21" t="str">
        <f>'ZMW data'!AU22</f>
        <v>00304229D63E4CCC3F999943F33333F199953F99993F333363E4CCC3F9999702</v>
      </c>
    </row>
    <row r="22" spans="1:1" x14ac:dyDescent="0.25">
      <c r="A22" t="str">
        <f>'ZMW data'!AU23</f>
        <v>0030452BD43E570A3F9AE153F35C23F1AE163F9AE13F35C273E570A3F9AE1802</v>
      </c>
    </row>
    <row r="23" spans="1:1" x14ac:dyDescent="0.25">
      <c r="A23" t="str">
        <f>'ZMW data'!AU24</f>
        <v>0030482DD23E61473F9C2863F38513F1C2873F9C283F385183E61473F9C28902</v>
      </c>
    </row>
    <row r="24" spans="1:1" x14ac:dyDescent="0.25">
      <c r="A24" t="str">
        <f>'ZMW data'!AU25</f>
        <v>00304B2FD03E6B853F9D7073F3AE13F1D7083F9D703F3AE193E6B853F9D70A02</v>
      </c>
    </row>
    <row r="25" spans="1:1" x14ac:dyDescent="0.25">
      <c r="A25" t="str">
        <f>'ZMW data'!AU26</f>
        <v>00305031CE3E75C23F9EB883F3D703F1EB893F9EB83F3D70A3E75C23F9EB8B02</v>
      </c>
    </row>
    <row r="26" spans="1:1" x14ac:dyDescent="0.25">
      <c r="A26" t="str">
        <f>'ZMW data'!AU27</f>
        <v>00305733CC3E80003FA00093F40003F2000A3FA0003F4000B3E80003FA000C02</v>
      </c>
    </row>
    <row r="27" spans="1:1" x14ac:dyDescent="0.25">
      <c r="A27" t="str">
        <f>'ZMW data'!AU28</f>
        <v>00305D35CA3E851E3FA147A3F428F3F2147B3FA1473F428FC3E851E3FA147D02</v>
      </c>
    </row>
    <row r="28" spans="1:1" x14ac:dyDescent="0.25">
      <c r="A28" t="str">
        <f>'ZMW data'!AU29</f>
        <v>00306437C83E8A3D3FA28FB3F451E3F228FC3FA28F3F451ED3E8A3D3FA28FE02</v>
      </c>
    </row>
    <row r="29" spans="1:1" x14ac:dyDescent="0.25">
      <c r="A29" t="str">
        <f>'ZMW data'!AU30</f>
        <v>00306939C63E8F5C3FA3D7C3F47AE3F23D7D3FA3D73F47AEE3E8F5C3FA3D7F02</v>
      </c>
    </row>
    <row r="30" spans="1:1" x14ac:dyDescent="0.25">
      <c r="A30" t="str">
        <f>'ZMW data'!AU31</f>
        <v>00306E3BC43E947A3FA51ED3F4A3D3F251EE3FA51E3F4A3DF3E947A3FA51E002</v>
      </c>
    </row>
    <row r="31" spans="1:1" x14ac:dyDescent="0.25">
      <c r="A31" t="str">
        <f>'ZMW data'!AU32</f>
        <v>0030763DC23E99993FA666E3F4CCC3F2666F3FA6663F4CCC03E99993FA666102</v>
      </c>
    </row>
    <row r="32" spans="1:1" x14ac:dyDescent="0.25">
      <c r="A32" t="str">
        <f>'ZMW data'!AU33</f>
        <v>00307C3FC03E9EB83FA7AEF3F4F5C3F27AE03FA7AE3F4F5C13E9EB83FA7AE202</v>
      </c>
    </row>
    <row r="33" spans="1:1" x14ac:dyDescent="0.25">
      <c r="A33" t="str">
        <f>'ZMW data'!AU34</f>
        <v>00400441BE3EA3D73FA8F503F51EB3F28F513FA8F53F51EB23EA3D73FA8F5302</v>
      </c>
    </row>
    <row r="34" spans="1:1" x14ac:dyDescent="0.25">
      <c r="A34" t="str">
        <f>'ZMW data'!AU35</f>
        <v>00400643BC3EA8F53FAA3D13F547A3F2A3D23FAA3D3F547A33EA8F53FAA3D402</v>
      </c>
    </row>
    <row r="35" spans="1:1" x14ac:dyDescent="0.25">
      <c r="A35" t="str">
        <f>'ZMW data'!AU36</f>
        <v>00400945BA3EAE143FAB8523F570A3F2B8533FAB853F570A43EAE143FAB85502</v>
      </c>
    </row>
    <row r="36" spans="1:1" x14ac:dyDescent="0.25">
      <c r="A36" t="str">
        <f>'ZMW data'!AU37</f>
        <v>00400B47B83EB3333FACCC33F59993F2CCC43FACCC3F599953EB3333FACCC602</v>
      </c>
    </row>
    <row r="37" spans="1:1" x14ac:dyDescent="0.25">
      <c r="A37" t="str">
        <f>'ZMW data'!AU38</f>
        <v>00400F49B63EB8513FAE1443F5C283F2E1453FAE143F5C2863EB8513FAE14702</v>
      </c>
    </row>
    <row r="38" spans="1:1" x14ac:dyDescent="0.25">
      <c r="A38" t="str">
        <f>'ZMW data'!AU39</f>
        <v>0040104BB43EBD703FAF5C53F5EB83F2F5C63FAF5C3F5EB873EBD703FAF5C802</v>
      </c>
    </row>
    <row r="39" spans="1:1" x14ac:dyDescent="0.25">
      <c r="A39" t="str">
        <f>'ZMW data'!AU40</f>
        <v>0040134DB23EC28F3FB0A363F61473F30A373FB0A33F614783EC28F3FB0A3902</v>
      </c>
    </row>
    <row r="40" spans="1:1" x14ac:dyDescent="0.25">
      <c r="A40" t="str">
        <f>'ZMW data'!AU41</f>
        <v>0040164FB03EC7AE3FB1EB73F63D73F31EB83FB1EB3F63D793EC7AE3FB1EBA02</v>
      </c>
    </row>
    <row r="41" spans="1:1" x14ac:dyDescent="0.25">
      <c r="A41" t="str">
        <f>'ZMW data'!AU42</f>
        <v>00401951AE3ECCCC3FB33383F66663F333393FB3333F6666A3ECCCC3FB333B02</v>
      </c>
    </row>
    <row r="42" spans="1:1" x14ac:dyDescent="0.25">
      <c r="A42" t="str">
        <f>'ZMW data'!AU43</f>
        <v>00401D53AC3ED1EB3FB47A93F68F53F347AA3FB47A3F68F5B3ED1EB3FB47AC02</v>
      </c>
    </row>
    <row r="43" spans="1:1" x14ac:dyDescent="0.25">
      <c r="A43" t="str">
        <f>'ZMW data'!AU44</f>
        <v>00402155AA3ED70A3FB5C2A3F6B853F35C2B3FB5C23F6B85C3ED70A3FB5C2D02</v>
      </c>
    </row>
    <row r="44" spans="1:1" x14ac:dyDescent="0.25">
      <c r="A44" t="str">
        <f>'ZMW data'!AU45</f>
        <v>00402457A83EDC283FB70AB3F6E143F370AC3FB70A3F6E14D3EDC283FB70AE02</v>
      </c>
    </row>
    <row r="45" spans="1:1" x14ac:dyDescent="0.25">
      <c r="A45" t="str">
        <f>'ZMW data'!AU46</f>
        <v>00402959A63EE1473FB851C3F70A33F3851D3FB8513F70A3E3EE1473FB851F02</v>
      </c>
    </row>
    <row r="46" spans="1:1" x14ac:dyDescent="0.25">
      <c r="A46" t="str">
        <f>'ZMW data'!AU47</f>
        <v>00402D5BA43EE6663FB999D3F73333F3999E3FB9993F7333F3EE6663FB999002</v>
      </c>
    </row>
    <row r="47" spans="1:1" x14ac:dyDescent="0.25">
      <c r="A47" t="str">
        <f>'ZMW data'!AU48</f>
        <v>00402E5DA23EEB853FBAE1E3F75C23F3AE1F3FBAE13F75C203EEB853FBAE1102</v>
      </c>
    </row>
    <row r="48" spans="1:1" x14ac:dyDescent="0.25">
      <c r="A48" t="str">
        <f>'ZMW data'!AU49</f>
        <v>0040335FA03EF0A33FBC28F3F78513F3C2803FBC283F785113EF0A33FBC28202</v>
      </c>
    </row>
    <row r="49" spans="1:1" x14ac:dyDescent="0.25">
      <c r="A49" t="str">
        <f>'ZMW data'!AU50</f>
        <v>004037619E3EF5C23FBD7003F7AE13F3D7013FBD703F7AE123EF5C23FBD70302</v>
      </c>
    </row>
    <row r="50" spans="1:1" x14ac:dyDescent="0.25">
      <c r="A50" t="str">
        <f>'ZMW data'!AU51</f>
        <v>00403A639C3EFAE13FBEB813F7D703F3EB823FBEB83F7D7033EFAE13FBEB8402</v>
      </c>
    </row>
    <row r="51" spans="1:1" x14ac:dyDescent="0.25">
      <c r="A51" t="str">
        <f>'ZMW data'!AU52</f>
        <v>00403D659A3F00003FC00023F80003F400033FC0003F800043F00003FC000502</v>
      </c>
    </row>
    <row r="52" spans="1:1" x14ac:dyDescent="0.25">
      <c r="A52" t="str">
        <f>'ZMW data'!AU53</f>
        <v>00404167983F028F3FC14733F81473F414743FC1473F814753F028F3FC147602</v>
      </c>
    </row>
    <row r="53" spans="1:1" x14ac:dyDescent="0.25">
      <c r="A53" t="str">
        <f>'ZMW data'!AU54</f>
        <v>00404369963F051E3FC28F43F828F3F428F53FC28F3F828F63F051E3FC28F702</v>
      </c>
    </row>
    <row r="54" spans="1:1" x14ac:dyDescent="0.25">
      <c r="A54" t="str">
        <f>'ZMW data'!AU55</f>
        <v>0040466B943F07AE3FC3D753F83D73F43D763FC3D73F83D773F07AE3FC3D7802</v>
      </c>
    </row>
    <row r="55" spans="1:1" x14ac:dyDescent="0.25">
      <c r="A55" t="str">
        <f>'ZMW data'!AU56</f>
        <v>0040496D923F0A3D3FC51E63F851E3F451E73FC51E3F851E83F0A3D3FC51E902</v>
      </c>
    </row>
    <row r="56" spans="1:1" x14ac:dyDescent="0.25">
      <c r="A56" t="str">
        <f>'ZMW data'!AU57</f>
        <v>00404C6F903F0CCC3FC66673F86663F466683FC6663F866693F0CCC3FC666A02</v>
      </c>
    </row>
    <row r="57" spans="1:1" x14ac:dyDescent="0.25">
      <c r="A57" t="str">
        <f>'ZMW data'!AU58</f>
        <v>004051718E3F0F5C3FC7AE83F87AE3F47AE93FC7AE3F87AEA3F0F5C3FC7AEB02</v>
      </c>
    </row>
    <row r="58" spans="1:1" x14ac:dyDescent="0.25">
      <c r="A58" t="str">
        <f>'ZMW data'!AU59</f>
        <v>004058738C3F11EB3FC8F593F88F53F48F5A3FC8F53F88F5B3F11EB3FC8F5C02</v>
      </c>
    </row>
    <row r="59" spans="1:1" x14ac:dyDescent="0.25">
      <c r="A59" t="str">
        <f>'ZMW data'!AU60</f>
        <v>00405E758A3F147A3FCA3DA3F8A3D3F4A3DB3FCA3D3F8A3DC3F147A3FCA3DD02</v>
      </c>
    </row>
    <row r="60" spans="1:1" x14ac:dyDescent="0.25">
      <c r="A60" t="str">
        <f>'ZMW data'!AU61</f>
        <v>00406577883F170A3FCB85B3F8B853F4B85C3FCB853F8B85D3F170A3FCB85E02</v>
      </c>
    </row>
    <row r="61" spans="1:1" x14ac:dyDescent="0.25">
      <c r="A61" t="str">
        <f>'ZMW data'!AU62</f>
        <v>00406A79863F19993FCCCCC3F8CCC3F4CCCD3FCCCC3F8CCCE3F19993FCCCCF02</v>
      </c>
    </row>
    <row r="62" spans="1:1" x14ac:dyDescent="0.25">
      <c r="A62" t="str">
        <f>'ZMW data'!AU63</f>
        <v>00406F7B843F1C283FCE14D3F8E143F4E14E3FCE143F8E14F3F1C283FCE14002</v>
      </c>
    </row>
    <row r="63" spans="1:1" x14ac:dyDescent="0.25">
      <c r="A63" t="str">
        <f>'ZMW data'!AU64</f>
        <v>0040777D823F1EB83FCF5CE3F8F5C3F4F5CF3FCF5C3F8F5C03F1EB83FCF5C102</v>
      </c>
    </row>
    <row r="64" spans="1:1" x14ac:dyDescent="0.25">
      <c r="A64" t="str">
        <f>'ZMW data'!AU65</f>
        <v>00407D7F803F21473FD0A3F3F90A33F50A303FD0A33F90A313F21473FD0A3202</v>
      </c>
    </row>
    <row r="65" spans="1:1" x14ac:dyDescent="0.25">
      <c r="A65" t="str">
        <f>'ZMW data'!AU66</f>
        <v>006003817E3F23D73FD1EB03F91EB3F51EB13FD1EB3F91EB23F23D73FD1EB302</v>
      </c>
    </row>
    <row r="66" spans="1:1" x14ac:dyDescent="0.25">
      <c r="A66" t="str">
        <f>'ZMW data'!AU67</f>
        <v>006005837C3F26663FD33313F93333F533323FD3333F933333F26663FD333402</v>
      </c>
    </row>
    <row r="67" spans="1:1" x14ac:dyDescent="0.25">
      <c r="A67" t="str">
        <f>'ZMW data'!AU68</f>
        <v>006008857A3F28F53FD47A23F947A3F547A33FD47A3F947A43F28F53FD47A502</v>
      </c>
    </row>
    <row r="68" spans="1:1" x14ac:dyDescent="0.25">
      <c r="A68" t="str">
        <f>'ZMW data'!AU69</f>
        <v>00600A87783F2B853FD5C233F95C23F55C243FD5C23F95C253F2B853FD5C2602</v>
      </c>
    </row>
    <row r="69" spans="1:1" x14ac:dyDescent="0.25">
      <c r="A69" t="str">
        <f>'ZMW data'!AU70</f>
        <v>00600E89763F2E143FD70A43F970A3F570A53FD70A3F970A63F2E143FD70A702</v>
      </c>
    </row>
    <row r="70" spans="1:1" x14ac:dyDescent="0.25">
      <c r="A70" t="str">
        <f>'ZMW data'!AU71</f>
        <v>00600F8B743F30A33FD85153F98513F585163FD8513F985173F30A33FD851802</v>
      </c>
    </row>
    <row r="71" spans="1:1" x14ac:dyDescent="0.25">
      <c r="A71" t="str">
        <f>'ZMW data'!AU72</f>
        <v>0060128D723F33333FD99963F99993F599973FD9993F999983F33333FD999902</v>
      </c>
    </row>
    <row r="72" spans="1:1" x14ac:dyDescent="0.25">
      <c r="A72" t="str">
        <f>'ZMW data'!AU73</f>
        <v>0060158F703F35C23FDAE173F9AE13F5AE183FDAE13F9AE193F35C23FDAE1A02</v>
      </c>
    </row>
    <row r="73" spans="1:1" x14ac:dyDescent="0.25">
      <c r="A73" t="str">
        <f>'ZMW data'!AU74</f>
        <v>006018916E3F38513FDC2883F9C283F5C2893FDC283F9C28A3F38513FDC28B02</v>
      </c>
    </row>
    <row r="74" spans="1:1" x14ac:dyDescent="0.25">
      <c r="A74" t="str">
        <f>'ZMW data'!AU75</f>
        <v>00601C936C3F3AE13FDD7093F9D703F5D70A3FDD703F9D70B3F3AE13FDD70C02</v>
      </c>
    </row>
    <row r="75" spans="1:1" x14ac:dyDescent="0.25">
      <c r="A75" t="str">
        <f>'ZMW data'!AU76</f>
        <v>006020956A3F3D703FDEB8A3F9EB83F5EB8B3FDEB83F9EB8C3F3D703FDEB8D02</v>
      </c>
    </row>
    <row r="76" spans="1:1" x14ac:dyDescent="0.25">
      <c r="A76" t="str">
        <f>'ZMW data'!AU77</f>
        <v>00602397683F40003FE000B3FA0003F6000C3FE0003FA000D3F40003FE000E02</v>
      </c>
    </row>
    <row r="77" spans="1:1" x14ac:dyDescent="0.25">
      <c r="A77" t="str">
        <f>'ZMW data'!AU78</f>
        <v>00602899663F428F3FE147C3FA1473F6147D3FE1473FA147E3F428F3FE147F02</v>
      </c>
    </row>
    <row r="78" spans="1:1" x14ac:dyDescent="0.25">
      <c r="A78" t="str">
        <f>'ZMW data'!AU79</f>
        <v>00602C9B643F451E3FE28FD3FA28F3F628FE3FE28F3FA28FF3F451E3FE28F002</v>
      </c>
    </row>
    <row r="79" spans="1:1" x14ac:dyDescent="0.25">
      <c r="A79" t="str">
        <f>'ZMW data'!AU80</f>
        <v>00602D9D623F47AE3FE3D7E3FA3D73F63D7F3FE3D73FA3D703F47AE3FE3D7102</v>
      </c>
    </row>
    <row r="80" spans="1:1" x14ac:dyDescent="0.25">
      <c r="A80" t="str">
        <f>'ZMW data'!AU81</f>
        <v>0060329F603F4A3D3FE51EF3FA51E3F651E03FE51E3FA51E13F4A3D3FE51E202</v>
      </c>
    </row>
    <row r="81" spans="1:1" x14ac:dyDescent="0.25">
      <c r="A81" t="str">
        <f>'ZMW data'!AU82</f>
        <v>006036A15E3F4CCC3FE66603FA6663F666613FE6663FA66623F4CCC3FE666302</v>
      </c>
    </row>
    <row r="82" spans="1:1" x14ac:dyDescent="0.25">
      <c r="A82" t="str">
        <f>'ZMW data'!AU83</f>
        <v>006039A35C3F4F5C3FE7AE13FA7AE3F67AE23FE7AE3FA7AE33F4F5C3FE7AE402</v>
      </c>
    </row>
    <row r="83" spans="1:1" x14ac:dyDescent="0.25">
      <c r="A83" t="str">
        <f>'ZMW data'!AU84</f>
        <v>00603CA55A3F51EB3FE8F523FA8F53F68F533FE8F53FA8F543F51EB3FE8F5502</v>
      </c>
    </row>
    <row r="84" spans="1:1" x14ac:dyDescent="0.25">
      <c r="A84" t="str">
        <f>'ZMW data'!AU85</f>
        <v>006040A7583F547A3FEA3D33FAA3D3F6A3D43FEA3D3FAA3D53F547A3FEA3D602</v>
      </c>
    </row>
    <row r="85" spans="1:1" x14ac:dyDescent="0.25">
      <c r="A85" t="str">
        <f>'ZMW data'!AU86</f>
        <v>006042A9563F570A3FEB8543FAB853F6B8553FEB853FAB8563F570A3FEB85702</v>
      </c>
    </row>
    <row r="86" spans="1:1" x14ac:dyDescent="0.25">
      <c r="A86" t="str">
        <f>'ZMW data'!AU87</f>
        <v>006045AB543F59993FECCC53FACCC3F6CCC63FECCC3FACCC73F59993FECCC802</v>
      </c>
    </row>
    <row r="87" spans="1:1" x14ac:dyDescent="0.25">
      <c r="A87" t="str">
        <f>'ZMW data'!AU88</f>
        <v>006048AD523F5C283FEE1463FAE143F6E1473FEE143FAE1483F5C283FEE14902</v>
      </c>
    </row>
    <row r="88" spans="1:1" x14ac:dyDescent="0.25">
      <c r="A88" t="str">
        <f>'ZMW data'!AU89</f>
        <v>00604BAF503F5EB83FEF5C73FAF5C3F6F5C83FEF5C3FAF5C93F5EB83FEF5CA02</v>
      </c>
    </row>
    <row r="89" spans="1:1" x14ac:dyDescent="0.25">
      <c r="A89" t="str">
        <f>'ZMW data'!AU90</f>
        <v>006050B14E3F61473FF0A383FB0A33F70A393FF0A33FB0A3A3F61473FF0A3B02</v>
      </c>
    </row>
    <row r="90" spans="1:1" x14ac:dyDescent="0.25">
      <c r="A90" t="str">
        <f>'ZMW data'!AU91</f>
        <v>006057B34C3F63D73FF1EB93FB1EB3F71EBA3FF1EB3FB1EBB3F63D73FF1EBC02</v>
      </c>
    </row>
    <row r="91" spans="1:1" x14ac:dyDescent="0.25">
      <c r="A91" t="str">
        <f>'ZMW data'!AU92</f>
        <v>00605DB54A3F66663FF333A3FB3333F7333B3FF3333FB333C3F66663FF333D02</v>
      </c>
    </row>
    <row r="92" spans="1:1" x14ac:dyDescent="0.25">
      <c r="A92" t="str">
        <f>'ZMW data'!AU93</f>
        <v>006064B7483F68F53FF47AB3FB47A3F747AC3FF47A3FB47AD3F68F53FF47AE02</v>
      </c>
    </row>
    <row r="93" spans="1:1" x14ac:dyDescent="0.25">
      <c r="A93" t="str">
        <f>'ZMW data'!AU94</f>
        <v>006069B9463F6B853FF5C2C3FB5C23F75C2D3FF5C23FB5C2E3F6B853FF5C2F02</v>
      </c>
    </row>
    <row r="94" spans="1:1" x14ac:dyDescent="0.25">
      <c r="A94" t="str">
        <f>'ZMW data'!AU95</f>
        <v>00606EBB443F6E143FF70AD3FB70A3F770AE3FF70A3FB70AF3F6E143FF70A002</v>
      </c>
    </row>
    <row r="95" spans="1:1" x14ac:dyDescent="0.25">
      <c r="A95" t="str">
        <f>'ZMW data'!AU96</f>
        <v>006076BD423F70A33FF851E3FB8513F7851F3FF8513FB85103F70A33FF851102</v>
      </c>
    </row>
    <row r="96" spans="1:1" x14ac:dyDescent="0.25">
      <c r="A96" t="str">
        <f>'ZMW data'!AU97</f>
        <v>00607CBF403F73333FF999F3FB9993F799903FF9993FB99913F73333FF999202</v>
      </c>
    </row>
    <row r="97" spans="1:1" x14ac:dyDescent="0.25">
      <c r="A97" t="str">
        <f>'ZMW data'!AU98</f>
        <v>009003C13E3F75C23FFAE103FBAE13F7AE113FFAE13FBAE123F75C23FFAE1302</v>
      </c>
    </row>
    <row r="98" spans="1:1" x14ac:dyDescent="0.25">
      <c r="A98" t="str">
        <f>'ZMW data'!AU99</f>
        <v>009005C33C3F78513FFC2813FBC283F7C2823FFC283FBC2833F78513FFC28402</v>
      </c>
    </row>
    <row r="99" spans="1:1" x14ac:dyDescent="0.25">
      <c r="A99" t="str">
        <f>'ZMW data'!AU100</f>
        <v>009008C53A3F7AE13FFD7023FBD703F7D7033FFD703FBD7043F7AE13FFD70502</v>
      </c>
    </row>
    <row r="100" spans="1:1" x14ac:dyDescent="0.25">
      <c r="A100" t="str">
        <f>'ZMW data'!AU101</f>
        <v>00900AC7383F7D703FFEB833FBEB83F7EB843FFEB83FBEB853F7D703FFEB8602</v>
      </c>
    </row>
    <row r="101" spans="1:1" x14ac:dyDescent="0.25">
      <c r="A101" t="str">
        <f>'ZMW data'!AU102</f>
        <v>00900EC9363F800040000043FC0003F800054000003FC00063F8000400000702</v>
      </c>
    </row>
    <row r="102" spans="1:1" x14ac:dyDescent="0.25">
      <c r="A102" t="str">
        <f>'ZMW data'!AU103</f>
        <v>00900FCB343F81474000A353FC1473F80A364000A33FC14773F81474000A3802</v>
      </c>
    </row>
    <row r="103" spans="1:1" x14ac:dyDescent="0.25">
      <c r="A103" t="str">
        <f>'ZMW data'!AU104</f>
        <v>009012CD323F828F40014763FC28F3F814774001473FC28F83F828F400147902</v>
      </c>
    </row>
    <row r="104" spans="1:1" x14ac:dyDescent="0.25">
      <c r="A104" t="str">
        <f>'ZMW data'!AU105</f>
        <v>009015CF303F83D74001EB73FC3D73F81EB84001EB3FC3D793F83D74001EBA02</v>
      </c>
    </row>
    <row r="105" spans="1:1" x14ac:dyDescent="0.25">
      <c r="A105" t="str">
        <f>'ZMW data'!AU106</f>
        <v>009018D12E3F851E40028F83FC51E3F828F940028F3FC51EA3F851E40028FB02</v>
      </c>
    </row>
    <row r="106" spans="1:1" x14ac:dyDescent="0.25">
      <c r="A106" t="str">
        <f>'ZMW data'!AU107</f>
        <v>00901CD32C3F866640033393FC6663F8333A4003333FC666B3F8666400333C02</v>
      </c>
    </row>
    <row r="107" spans="1:1" x14ac:dyDescent="0.25">
      <c r="A107" t="str">
        <f>'ZMW data'!AU108</f>
        <v>009020D52A3F87AE4003D7A3FC7AE3F83D7B4003D73FC7AEC3F87AE4003D7D02</v>
      </c>
    </row>
    <row r="108" spans="1:1" x14ac:dyDescent="0.25">
      <c r="A108" t="str">
        <f>'ZMW data'!AU109</f>
        <v>009023D7283F88F540047AB3FC8F53F847AC40047A3FC8F5D3F88F540047AE02</v>
      </c>
    </row>
    <row r="109" spans="1:1" x14ac:dyDescent="0.25">
      <c r="A109" t="str">
        <f>'ZMW data'!AU110</f>
        <v>009028D9263F8A3D40051EC3FCA3D3F851ED40051E3FCA3DE3F8A3D40051EF02</v>
      </c>
    </row>
    <row r="110" spans="1:1" x14ac:dyDescent="0.25">
      <c r="A110" t="str">
        <f>'ZMW data'!AU111</f>
        <v>00902CDB243F8B854005C2D3FCB853F85C2E4005C23FCB85F3F8B854005C2002</v>
      </c>
    </row>
    <row r="111" spans="1:1" x14ac:dyDescent="0.25">
      <c r="A111" t="str">
        <f>'ZMW data'!AU112</f>
        <v>00902DDD223F8CCC400666E3FCCCC3F8666F4006663FCCCC03F8CCC400666102</v>
      </c>
    </row>
    <row r="112" spans="1:1" x14ac:dyDescent="0.25">
      <c r="A112" t="str">
        <f>'ZMW data'!AU113</f>
        <v>009032DF203F8E1440070AF3FCE143F870A040070A3FCE1413F8E1440070A202</v>
      </c>
    </row>
    <row r="113" spans="1:1" x14ac:dyDescent="0.25">
      <c r="A113" t="str">
        <f>'ZMW data'!AU114</f>
        <v>009036E11E3F8F5C4007AE03FCF5C3F87AE14007AE3FCF5C23F8F5C4007AE302</v>
      </c>
    </row>
    <row r="114" spans="1:1" x14ac:dyDescent="0.25">
      <c r="A114" t="str">
        <f>'ZMW data'!AU115</f>
        <v>009039E31C3F90A340085113FD0A33F885124008513FD0A333F90A3400851402</v>
      </c>
    </row>
    <row r="115" spans="1:1" x14ac:dyDescent="0.25">
      <c r="A115" t="str">
        <f>'ZMW data'!AU116</f>
        <v>00903CE51A3F91EB4008F523FD1EB3F88F534008F53FD1EB43F91EB4008F5502</v>
      </c>
    </row>
    <row r="116" spans="1:1" x14ac:dyDescent="0.25">
      <c r="A116" t="str">
        <f>'ZMW data'!AU117</f>
        <v>009040E7183F933340099933FD3333F899944009993FD33353F9333400999602</v>
      </c>
    </row>
    <row r="117" spans="1:1" x14ac:dyDescent="0.25">
      <c r="A117" t="str">
        <f>'ZMW data'!AU118</f>
        <v>009042E9163F947A400A3D43FD47A3F8A3D5400A3D3FD47A63F947A400A3D702</v>
      </c>
    </row>
    <row r="118" spans="1:1" x14ac:dyDescent="0.25">
      <c r="A118" t="str">
        <f>'ZMW data'!AU119</f>
        <v>009045EB143F95C2400AE153FD5C23F8AE16400AE13FD5C273F95C2400AE1802</v>
      </c>
    </row>
    <row r="119" spans="1:1" x14ac:dyDescent="0.25">
      <c r="A119" t="str">
        <f>'ZMW data'!AU120</f>
        <v>009048ED123F970A400B8563FD70A3F8B857400B853FD70A83F970A400B85902</v>
      </c>
    </row>
    <row r="120" spans="1:1" x14ac:dyDescent="0.25">
      <c r="A120" t="str">
        <f>'ZMW data'!AU121</f>
        <v>00904BEF103F9851400C2873FD8513F8C288400C283FD85193F9851400C28A02</v>
      </c>
    </row>
    <row r="121" spans="1:1" x14ac:dyDescent="0.25">
      <c r="A121" t="str">
        <f>'ZMW data'!AU122</f>
        <v>009050F10E3F9999400CCC83FD9993F8CCC9400CCC3FD999A3F9999400CCCB02</v>
      </c>
    </row>
    <row r="122" spans="1:1" x14ac:dyDescent="0.25">
      <c r="A122" t="str">
        <f>'ZMW data'!AU123</f>
        <v>009057F30C3F9AE1400D7093FDAE13F8D70A400D703FDAE1B3F9AE1400D70C02</v>
      </c>
    </row>
    <row r="123" spans="1:1" x14ac:dyDescent="0.25">
      <c r="A123" t="str">
        <f>'ZMW data'!AU124</f>
        <v>00905DF50A3F9C28400E14A3FDC283F8E14B400E143FDC28C3F9C28400E14D02</v>
      </c>
    </row>
    <row r="124" spans="1:1" x14ac:dyDescent="0.25">
      <c r="A124" t="str">
        <f>'ZMW data'!AU125</f>
        <v>009064F7083F9D70400EB8B3FDD703F8EB8C400EB83FDD70D3F9D70400EB8E02</v>
      </c>
    </row>
    <row r="125" spans="1:1" x14ac:dyDescent="0.25">
      <c r="A125" t="str">
        <f>'ZMW data'!AU126</f>
        <v>009069F9063F9EB8400F5CC3FDEB83F8F5CD400F5C3FDEB8E3F9EB8400F5CF02</v>
      </c>
    </row>
    <row r="126" spans="1:1" x14ac:dyDescent="0.25">
      <c r="A126" t="str">
        <f>'ZMW data'!AU127</f>
        <v>00906EFB043FA000401000D3FE0003F9000E4010003FE000F3FA000401000002</v>
      </c>
    </row>
    <row r="127" spans="1:1" x14ac:dyDescent="0.25">
      <c r="A127" t="str">
        <f>'ZMW data'!AU128</f>
        <v>009076FD023FA1474010A3E3FE1473F90A3F4010A33FE14703FA1474010A3102</v>
      </c>
    </row>
    <row r="128" spans="1:1" x14ac:dyDescent="0.25">
      <c r="A128" t="str">
        <f>'ZMW data'!AU129</f>
        <v>00907CFF003FA28F401147F3FE28F3F914704011473FE28F13FA28F401147202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3"/>
  <sheetViews>
    <sheetView workbookViewId="0">
      <selection activeCell="A4" sqref="A4"/>
    </sheetView>
  </sheetViews>
  <sheetFormatPr defaultRowHeight="15" x14ac:dyDescent="0.25"/>
  <cols>
    <col min="1" max="1" width="11.85546875" customWidth="1"/>
    <col min="4" max="4" width="10.85546875" customWidth="1"/>
  </cols>
  <sheetData>
    <row r="1" spans="1:4" x14ac:dyDescent="0.25">
      <c r="A1" t="s">
        <v>48</v>
      </c>
      <c r="B1" t="s">
        <v>49</v>
      </c>
      <c r="C1" t="s">
        <v>51</v>
      </c>
      <c r="D1" t="s">
        <v>50</v>
      </c>
    </row>
    <row r="2" spans="1:4" x14ac:dyDescent="0.25">
      <c r="A2">
        <v>1.2345678899999999</v>
      </c>
      <c r="B2" t="str">
        <f>Single2String(A2)</f>
        <v>3F9E0652</v>
      </c>
      <c r="C2" t="str">
        <f>LEFT(B2, 6) &amp; "00"</f>
        <v>3F9E0600</v>
      </c>
      <c r="D2">
        <f>String2Single(B2)</f>
        <v>1.2345678806304932</v>
      </c>
    </row>
    <row r="3" spans="1:4" x14ac:dyDescent="0.25">
      <c r="A3">
        <v>0.98765432099999995</v>
      </c>
      <c r="B3" t="str">
        <f>Single2String(A3)</f>
        <v>3F7CD6EA</v>
      </c>
      <c r="C3" t="str">
        <f>LEFT(B3, 6) &amp; "00"</f>
        <v>3F7CD600</v>
      </c>
      <c r="D3">
        <f>String2Single(B3)</f>
        <v>0.98765432834625244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SmallFP</vt:lpstr>
      <vt:lpstr>ZMW data</vt:lpstr>
      <vt:lpstr>ZMWRAM</vt:lpstr>
      <vt:lpstr>Truncation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2013-03-26T19:26:46Z</dcterms:modified>
</cp:coreProperties>
</file>