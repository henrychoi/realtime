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-1560" yWindow="285" windowWidth="15060" windowHeight="11415" tabRatio="415"/>
  </bookViews>
  <sheets>
    <sheet name="signed 22 bit" sheetId="6" r:id="rId1"/>
  </sheets>
  <functionGroups builtInGroupCount="17"/>
  <definedNames>
    <definedName name="A">#REF!</definedName>
    <definedName name="Abort_Amax">#REF!</definedName>
    <definedName name="Abort_DP">#REF!</definedName>
    <definedName name="Abort_Smax">#REF!</definedName>
    <definedName name="Abort_T0">#REF!</definedName>
    <definedName name="Abort_T1">#REF!</definedName>
    <definedName name="Abort_T3">#REF!</definedName>
    <definedName name="Amax">#REF!</definedName>
    <definedName name="Amax_d2">#REF!</definedName>
    <definedName name="Amax_d2_xT0P2T1">#REF!</definedName>
    <definedName name="Amax_d2xT02xT01">#REF!</definedName>
    <definedName name="Amax_d2xT02xT01_T0xT0_d3_PSmax_xT3PT0">#REF!</definedName>
    <definedName name="Amax_d2xT0x5T0_d3_P2T1_Psmax_xT3PT01">#REF!</definedName>
    <definedName name="CLOCK_TICK_TO_FP">#REF!</definedName>
    <definedName name="DistPerStep">#REF!</definedName>
    <definedName name="Dmax">#REF!</definedName>
    <definedName name="DP">#REF!</definedName>
    <definedName name="J">#REF!</definedName>
    <definedName name="Jmax">#REF!</definedName>
    <definedName name="Jmax_d2">#REF!</definedName>
    <definedName name="Jmax_d6">#REF!</definedName>
    <definedName name="MIN_PULSE_TIME">#REF!</definedName>
    <definedName name="N_STEPPER">#REF!</definedName>
    <definedName name="Pf">#REF!</definedName>
    <definedName name="Pi">#REF!</definedName>
    <definedName name="Q">'signed 22 bit'!#REF!</definedName>
    <definedName name="QP_TICK_FREQ">#REF!</definedName>
    <definedName name="QP_TICK_PERIOD">#REF!</definedName>
    <definedName name="s">#REF!</definedName>
    <definedName name="SIZEOF_FIXED">'signed 22 bit'!#REF!</definedName>
    <definedName name="Sm">#REF!</definedName>
    <definedName name="Smax">#REF!</definedName>
    <definedName name="Smax_Amax_d2_xT0P2T1">#REF!</definedName>
    <definedName name="Smax_i">#REF!</definedName>
    <definedName name="StepPerDist">#REF!</definedName>
    <definedName name="SysTickFreq">#REF!</definedName>
    <definedName name="T_0">#REF!</definedName>
    <definedName name="T_01">#REF!</definedName>
    <definedName name="T_02">#REF!</definedName>
    <definedName name="T_03">#REF!</definedName>
    <definedName name="T_04">#REF!</definedName>
    <definedName name="T_05">#REF!</definedName>
    <definedName name="T_06">#REF!</definedName>
    <definedName name="T_1">#REF!</definedName>
    <definedName name="T_3">#REF!</definedName>
    <definedName name="T_ACCJ0">#REF!</definedName>
    <definedName name="T_ACCJDEC">#REF!</definedName>
    <definedName name="T_ACCJINC">#REF!</definedName>
    <definedName name="T_COASTING">#REF!</definedName>
    <definedName name="T_DECJ0">#REF!</definedName>
    <definedName name="T_DECJDEC">#REF!</definedName>
    <definedName name="T_DECJINC">#REF!</definedName>
    <definedName name="T0">#REF!</definedName>
    <definedName name="T0P2T1">#REF!</definedName>
    <definedName name="T0xT0_d3">#REF!</definedName>
    <definedName name="T0xT0_d3_P_T01xT1">#REF!</definedName>
    <definedName name="TICK_FP">#REF!</definedName>
    <definedName name="TIMER_DIV">#REF!</definedName>
    <definedName name="TIMER_FREQ">#REF!</definedName>
    <definedName name="TIMER_PRESCALE">#REF!</definedName>
    <definedName name="Vmax">#REF!</definedName>
  </definedNames>
  <calcPr calcId="145621"/>
</workbook>
</file>

<file path=xl/calcChain.xml><?xml version="1.0" encoding="utf-8"?>
<calcChain xmlns="http://schemas.openxmlformats.org/spreadsheetml/2006/main">
  <c r="B5" i="6" l="1"/>
  <c r="B6" i="6"/>
  <c r="B7" i="6"/>
  <c r="C1" i="6"/>
  <c r="C2" i="6" s="1"/>
  <c r="B2" i="6" s="1"/>
  <c r="C3" i="6"/>
  <c r="C5" i="6"/>
  <c r="E5" i="6" s="1"/>
  <c r="C6" i="6"/>
  <c r="E6" i="6" s="1"/>
  <c r="C7" i="6"/>
  <c r="E7" i="6" s="1"/>
  <c r="B3" i="6" l="1"/>
  <c r="D7" i="6"/>
  <c r="D6" i="6"/>
  <c r="D5" i="6"/>
</calcChain>
</file>

<file path=xl/sharedStrings.xml><?xml version="1.0" encoding="utf-8"?>
<sst xmlns="http://schemas.openxmlformats.org/spreadsheetml/2006/main" count="9" uniqueCount="9">
  <si>
    <t>1FFFFF</t>
  </si>
  <si>
    <t>i32</t>
  </si>
  <si>
    <t>u22</t>
  </si>
  <si>
    <t>sign bit</t>
  </si>
  <si>
    <t>back to i32</t>
  </si>
  <si>
    <t>hex(u22)</t>
  </si>
  <si>
    <t>hex(i32)</t>
  </si>
  <si>
    <t>sign extension</t>
  </si>
  <si>
    <t>i22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</si>
</sst>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7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4:E7" totalsRowShown="0" headerRowDxfId="1" dataDxfId="0">
  <autoFilter ref="A4:E7"/>
  <tableColumns count="5">
    <tableColumn id="1" name="i32" dataDxfId="6"/>
    <tableColumn id="5" name="hex(i32)" dataDxfId="5">
      <calculatedColumnFormula>DEC2HEX(Table1[[#This Row],[i32]])</calculatedColumnFormula>
    </tableColumn>
    <tableColumn id="2" name="u22" dataDxfId="4">
      <calculatedColumnFormula xml:space="preserve"> BITOR(IF(Table1[[#This Row],[i32]] &gt;= 0, 0, $C$2), BITAND(A5, $C$1))</calculatedColumnFormula>
    </tableColumn>
    <tableColumn id="4" name="hex(u22)" dataDxfId="3">
      <calculatedColumnFormula>DEC2HEX(Table1[[#This Row],[u22]])</calculatedColumnFormula>
    </tableColumn>
    <tableColumn id="3" name="back to i32" dataDxfId="2">
      <calculatedColumnFormula xml:space="preserve"> BITOR( IF( BITAND(Table1[[#This Row],[u22]], $C$2), $C$3, 0), BITAND(Table1[[#This Row],[u22]], $C$1) 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7"/>
  <sheetViews>
    <sheetView tabSelected="1" zoomScaleNormal="100" workbookViewId="0">
      <selection sqref="A1:E7"/>
    </sheetView>
  </sheetViews>
  <sheetFormatPr defaultRowHeight="15" x14ac:dyDescent="0.25"/>
  <cols>
    <col min="1" max="2" width="11.140625" customWidth="1"/>
    <col min="3" max="3" width="6.85546875" customWidth="1"/>
    <col min="4" max="4" width="9.7109375" customWidth="1"/>
    <col min="5" max="5" width="8.85546875" customWidth="1"/>
    <col min="6" max="6" width="13.140625" customWidth="1"/>
    <col min="7" max="7" width="8.7109375" customWidth="1"/>
    <col min="8" max="8" width="12.140625" customWidth="1"/>
    <col min="9" max="9" width="9" customWidth="1"/>
    <col min="10" max="10" width="9.42578125" customWidth="1"/>
  </cols>
  <sheetData>
    <row r="1" spans="1:5" x14ac:dyDescent="0.25">
      <c r="A1" s="1" t="s">
        <v>8</v>
      </c>
      <c r="B1" s="1" t="s">
        <v>0</v>
      </c>
      <c r="C1" s="1">
        <f>HEX2DEC(B1)</f>
        <v>2097151</v>
      </c>
      <c r="D1" s="1"/>
      <c r="E1" s="1"/>
    </row>
    <row r="2" spans="1:5" x14ac:dyDescent="0.25">
      <c r="A2" s="1" t="s">
        <v>3</v>
      </c>
      <c r="B2" s="1" t="str">
        <f xml:space="preserve"> DEC2HEX(C2)</f>
        <v>200000</v>
      </c>
      <c r="C2" s="1">
        <f>C1 + 1</f>
        <v>2097152</v>
      </c>
      <c r="D2" s="1"/>
      <c r="E2" s="1"/>
    </row>
    <row r="3" spans="1:5" ht="30" x14ac:dyDescent="0.25">
      <c r="A3" s="1" t="s">
        <v>7</v>
      </c>
      <c r="B3" s="1" t="str">
        <f xml:space="preserve"> DEC2HEX(C3)</f>
        <v>FFFFE00000</v>
      </c>
      <c r="C3" s="1">
        <f xml:space="preserve"> BITNOT(C1)</f>
        <v>-2097152</v>
      </c>
      <c r="D3" s="1"/>
      <c r="E3" s="1"/>
    </row>
    <row r="4" spans="1:5" ht="30" x14ac:dyDescent="0.25">
      <c r="A4" s="1" t="s">
        <v>1</v>
      </c>
      <c r="B4" s="1" t="s">
        <v>6</v>
      </c>
      <c r="C4" s="1" t="s">
        <v>2</v>
      </c>
      <c r="D4" s="1" t="s">
        <v>5</v>
      </c>
      <c r="E4" s="1" t="s">
        <v>4</v>
      </c>
    </row>
    <row r="5" spans="1:5" x14ac:dyDescent="0.25">
      <c r="A5" s="1">
        <v>5</v>
      </c>
      <c r="B5" s="1" t="str">
        <f>DEC2HEX(Table1[[#This Row],[i32]])</f>
        <v>5</v>
      </c>
      <c r="C5" s="1">
        <f xml:space="preserve"> BITOR(IF(Table1[[#This Row],[i32]] &gt;= 0, 0, $C$2), BITAND(A5, $C$1))</f>
        <v>5</v>
      </c>
      <c r="D5" s="1" t="str">
        <f>DEC2HEX(Table1[[#This Row],[u22]])</f>
        <v>5</v>
      </c>
      <c r="E5" s="1">
        <f xml:space="preserve"> BITOR( IF( BITAND(Table1[[#This Row],[u22]], $C$2), $C$3, 0), BITAND(Table1[[#This Row],[u22]], $C$1) )</f>
        <v>5</v>
      </c>
    </row>
    <row r="6" spans="1:5" x14ac:dyDescent="0.25">
      <c r="A6" s="1">
        <v>-1</v>
      </c>
      <c r="B6" s="1" t="str">
        <f>DEC2HEX(Table1[[#This Row],[i32]])</f>
        <v>FFFFFFFFFF</v>
      </c>
      <c r="C6" s="1">
        <f xml:space="preserve"> BITOR(IF(Table1[[#This Row],[i32]] &gt;= 0, 0, $C$2), BITAND(A6, $C$1))</f>
        <v>4194303</v>
      </c>
      <c r="D6" s="1" t="str">
        <f>DEC2HEX(Table1[[#This Row],[u22]])</f>
        <v>3FFFFF</v>
      </c>
      <c r="E6" s="1">
        <f xml:space="preserve"> BITOR( IF( BITAND(Table1[[#This Row],[u22]], $C$2), $C$3, 0), BITAND(Table1[[#This Row],[u22]], $C$1) )</f>
        <v>-1</v>
      </c>
    </row>
    <row r="7" spans="1:5" x14ac:dyDescent="0.25">
      <c r="A7" s="1">
        <v>-5</v>
      </c>
      <c r="B7" s="1" t="str">
        <f>DEC2HEX(Table1[[#This Row],[i32]])</f>
        <v>FFFFFFFFFB</v>
      </c>
      <c r="C7" s="1">
        <f xml:space="preserve"> BITOR(IF(Table1[[#This Row],[i32]] &gt;= 0, 0, $C$2), BITAND(A7, $C$1))</f>
        <v>4194299</v>
      </c>
      <c r="D7" s="1" t="str">
        <f>DEC2HEX(Table1[[#This Row],[u22]])</f>
        <v>3FFFFB</v>
      </c>
      <c r="E7" s="1">
        <f xml:space="preserve"> BITOR( IF( BITAND(Table1[[#This Row],[u22]], $C$2), $C$3, 0), BITAND(Table1[[#This Row],[u22]], $C$1) )</f>
        <v>-5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signed 22 bit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2013-06-30T14:58:34Z</dcterms:modified>
</cp:coreProperties>
</file>