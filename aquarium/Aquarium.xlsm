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8595" windowHeight="8940"/>
  </bookViews>
  <sheets>
    <sheet name="thermistor" sheetId="3" r:id="rId1"/>
  </sheets>
  <functionGroups builtInGroupCount="17"/>
  <definedNames>
    <definedName name="a">thermistor!$B$2</definedName>
    <definedName name="b">thermistor!$B$3</definedName>
    <definedName name="Rref">thermistor!$B$10</definedName>
    <definedName name="SH_c">thermistor!$B$4</definedName>
    <definedName name="T">thermistor!$B$5</definedName>
    <definedName name="Vref">thermistor!$B$9</definedName>
    <definedName name="x">thermistor!$B$7</definedName>
    <definedName name="y">thermistor!$B$6</definedName>
  </definedNames>
  <calcPr calcId="145621"/>
</workbook>
</file>

<file path=xl/calcChain.xml><?xml version="1.0" encoding="utf-8"?>
<calcChain xmlns="http://schemas.openxmlformats.org/spreadsheetml/2006/main">
  <c r="B5" i="3" l="1"/>
  <c r="B13" i="3"/>
  <c r="E4" i="3"/>
  <c r="D4" i="3"/>
  <c r="G4" i="3" l="1"/>
  <c r="B15" i="3"/>
  <c r="B6" i="3"/>
  <c r="B7" i="3" s="1"/>
  <c r="B8" i="3" s="1"/>
  <c r="B16" i="3" l="1"/>
  <c r="B11" i="3"/>
  <c r="E8" i="3"/>
  <c r="E9" i="3" s="1"/>
  <c r="E10" i="3" s="1"/>
</calcChain>
</file>

<file path=xl/sharedStrings.xml><?xml version="1.0" encoding="utf-8"?>
<sst xmlns="http://schemas.openxmlformats.org/spreadsheetml/2006/main" count="31" uniqueCount="27">
  <si>
    <t>a</t>
  </si>
  <si>
    <t>b</t>
  </si>
  <si>
    <t>c</t>
  </si>
  <si>
    <t>T</t>
  </si>
  <si>
    <t>K</t>
  </si>
  <si>
    <t>y =</t>
  </si>
  <si>
    <t>x =</t>
  </si>
  <si>
    <t>R =</t>
  </si>
  <si>
    <t>Vref</t>
  </si>
  <si>
    <t>V</t>
  </si>
  <si>
    <t>Rref</t>
  </si>
  <si>
    <t>Ohm</t>
  </si>
  <si>
    <t>Vadc</t>
  </si>
  <si>
    <t>operating range</t>
  </si>
  <si>
    <t>ADC</t>
  </si>
  <si>
    <t>bits</t>
  </si>
  <si>
    <t>effectively</t>
  </si>
  <si>
    <t>Tmax</t>
  </si>
  <si>
    <t>Tmin</t>
  </si>
  <si>
    <t>Trange</t>
  </si>
  <si>
    <t>PN</t>
  </si>
  <si>
    <t>QTRL2Z-103C3-12</t>
  </si>
  <si>
    <t>Rtot =</t>
  </si>
  <si>
    <t>Amp</t>
  </si>
  <si>
    <t>Power =</t>
  </si>
  <si>
    <t>Current =</t>
  </si>
  <si>
    <t>Watt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</si>
</sst>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9"/>
      <color rgb="FF22222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1" fontId="0" fillId="0" borderId="0" xfId="0" applyNumberFormat="1"/>
    <xf numFmtId="11" fontId="0" fillId="2" borderId="0" xfId="0" applyNumberFormat="1" applyFill="1"/>
    <xf numFmtId="0" fontId="0" fillId="0" borderId="0" xfId="0" applyNumberFormat="1"/>
    <xf numFmtId="0" fontId="0" fillId="2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6"/>
  <sheetViews>
    <sheetView tabSelected="1" workbookViewId="0">
      <selection activeCell="E6" sqref="E6"/>
    </sheetView>
  </sheetViews>
  <sheetFormatPr defaultRowHeight="15" x14ac:dyDescent="0.25"/>
  <cols>
    <col min="1" max="1" width="6.5703125" customWidth="1"/>
    <col min="3" max="3" width="5.140625" customWidth="1"/>
    <col min="5" max="5" width="12" bestFit="1" customWidth="1"/>
  </cols>
  <sheetData>
    <row r="1" spans="1:7" x14ac:dyDescent="0.25">
      <c r="A1" t="s">
        <v>20</v>
      </c>
      <c r="B1" t="s">
        <v>21</v>
      </c>
    </row>
    <row r="2" spans="1:7" x14ac:dyDescent="0.25">
      <c r="A2" t="s">
        <v>0</v>
      </c>
      <c r="B2" s="2">
        <v>1.1127534437700001E-3</v>
      </c>
      <c r="F2" t="s">
        <v>17</v>
      </c>
      <c r="G2">
        <v>37</v>
      </c>
    </row>
    <row r="3" spans="1:7" x14ac:dyDescent="0.25">
      <c r="A3" t="s">
        <v>1</v>
      </c>
      <c r="B3" s="2">
        <v>2.36732362183E-4</v>
      </c>
      <c r="F3" t="s">
        <v>18</v>
      </c>
      <c r="G3">
        <v>10</v>
      </c>
    </row>
    <row r="4" spans="1:7" x14ac:dyDescent="0.25">
      <c r="A4" t="s">
        <v>2</v>
      </c>
      <c r="B4" s="5">
        <v>8.7297858999999997E-8</v>
      </c>
      <c r="D4" t="str">
        <f>Single2String(SH_c)</f>
        <v>33BB7881</v>
      </c>
      <c r="E4">
        <f>String2Single(D4)</f>
        <v>8.7297856055101875E-8</v>
      </c>
      <c r="F4" t="s">
        <v>19</v>
      </c>
      <c r="G4">
        <f>G2-G3</f>
        <v>27</v>
      </c>
    </row>
    <row r="5" spans="1:7" x14ac:dyDescent="0.25">
      <c r="A5" t="s">
        <v>3</v>
      </c>
      <c r="B5" s="3">
        <f>37+273</f>
        <v>310</v>
      </c>
      <c r="C5" t="s">
        <v>4</v>
      </c>
    </row>
    <row r="6" spans="1:7" x14ac:dyDescent="0.25">
      <c r="A6" t="s">
        <v>5</v>
      </c>
      <c r="B6" s="3">
        <f>(a - 1/T) / SH_c</f>
        <v>-24205.09542900592</v>
      </c>
    </row>
    <row r="7" spans="1:7" x14ac:dyDescent="0.25">
      <c r="A7" t="s">
        <v>6</v>
      </c>
      <c r="B7">
        <f>SQRT((b/(3*SH_c))^3 + y^2/4)</f>
        <v>29749.84097309993</v>
      </c>
    </row>
    <row r="8" spans="1:7" x14ac:dyDescent="0.25">
      <c r="A8" t="s">
        <v>7</v>
      </c>
      <c r="B8">
        <f xml:space="preserve"> EXP( (x - y/2)^(1/3) - (x+y/2)^(1/3) )</f>
        <v>5909.9303019753415</v>
      </c>
      <c r="D8" t="s">
        <v>22</v>
      </c>
      <c r="E8">
        <f>B8+Rref</f>
        <v>15909.930301975342</v>
      </c>
      <c r="F8" t="s">
        <v>11</v>
      </c>
    </row>
    <row r="9" spans="1:7" x14ac:dyDescent="0.25">
      <c r="A9" t="s">
        <v>8</v>
      </c>
      <c r="B9" s="4">
        <v>5</v>
      </c>
      <c r="C9" t="s">
        <v>9</v>
      </c>
      <c r="D9" t="s">
        <v>25</v>
      </c>
      <c r="E9" s="1">
        <f>Vref/E8</f>
        <v>3.1426913286849604E-4</v>
      </c>
      <c r="F9" t="s">
        <v>23</v>
      </c>
    </row>
    <row r="10" spans="1:7" x14ac:dyDescent="0.25">
      <c r="A10" t="s">
        <v>10</v>
      </c>
      <c r="B10" s="4">
        <v>10000</v>
      </c>
      <c r="C10" t="s">
        <v>11</v>
      </c>
      <c r="D10" t="s">
        <v>24</v>
      </c>
      <c r="E10" s="1">
        <f>E9^2 * B8</f>
        <v>5.8369478560331596E-4</v>
      </c>
      <c r="F10" t="s">
        <v>26</v>
      </c>
    </row>
    <row r="11" spans="1:7" x14ac:dyDescent="0.25">
      <c r="A11" t="s">
        <v>12</v>
      </c>
      <c r="B11">
        <f xml:space="preserve"> B8* Vref / (Rref + B8)</f>
        <v>1.8573086713150395</v>
      </c>
      <c r="C11" t="s">
        <v>9</v>
      </c>
    </row>
    <row r="13" spans="1:7" x14ac:dyDescent="0.25">
      <c r="B13">
        <f>3.34-1.89</f>
        <v>1.45</v>
      </c>
      <c r="C13" t="s">
        <v>9</v>
      </c>
      <c r="D13" t="s">
        <v>13</v>
      </c>
    </row>
    <row r="14" spans="1:7" x14ac:dyDescent="0.25">
      <c r="A14" t="s">
        <v>14</v>
      </c>
      <c r="B14">
        <v>12</v>
      </c>
      <c r="C14" t="s">
        <v>15</v>
      </c>
    </row>
    <row r="15" spans="1:7" x14ac:dyDescent="0.25">
      <c r="B15">
        <f>B14 + LOG(B13/Vref) / LOG(2)</f>
        <v>10.214124805352848</v>
      </c>
      <c r="C15" t="s">
        <v>15</v>
      </c>
      <c r="D15" t="s">
        <v>16</v>
      </c>
    </row>
    <row r="16" spans="1:7" x14ac:dyDescent="0.25">
      <c r="B16">
        <f>G4/2^B15</f>
        <v>2.2730334051724154E-2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thermistor</vt:lpstr>
      <vt:lpstr>a</vt:lpstr>
      <vt:lpstr>b</vt:lpstr>
      <vt:lpstr>Rref</vt:lpstr>
      <vt:lpstr>SH_c</vt:lpstr>
      <vt:lpstr>T</vt:lpstr>
      <vt:lpstr>Vref</vt:lpstr>
      <vt:lpstr>x</vt:lpstr>
      <vt:lpstr>y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Choi</dc:creator>
  <cp:lastModifiedBy>Henry</cp:lastModifiedBy>
  <dcterms:created xsi:type="dcterms:W3CDTF">2013-03-09T00:01:05Z</dcterms:created>
  <dcterms:modified xsi:type="dcterms:W3CDTF">2013-04-06T17:54:54Z</dcterms:modified>
</cp:coreProperties>
</file>